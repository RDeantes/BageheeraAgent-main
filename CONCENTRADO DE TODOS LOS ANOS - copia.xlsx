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3"/>
  <workbookPr updateLinks="always" defaultThemeVersion="166925"/>
  <mc:AlternateContent xmlns:mc="http://schemas.openxmlformats.org/markup-compatibility/2006">
    <mc:Choice Requires="x15">
      <x15ac:absPath xmlns:x15ac="http://schemas.microsoft.com/office/spreadsheetml/2010/11/ac" url="https://elsaucerestaurante.sharepoint.com/sites/ElSauceadministrativo-7.Sistemas/Shared Documents/"/>
    </mc:Choice>
  </mc:AlternateContent>
  <xr:revisionPtr revIDLastSave="708" documentId="14_{DF9B0950-A1B7-46EA-A36A-03150C777532}" xr6:coauthVersionLast="47" xr6:coauthVersionMax="47" xr10:uidLastSave="{7B9F9849-858D-4C2A-8532-C8280766E189}"/>
  <bookViews>
    <workbookView xWindow="-120" yWindow="-120" windowWidth="20730" windowHeight="11160" firstSheet="5" activeTab="5" xr2:uid="{00000000-000D-0000-FFFF-FFFF00000000}"/>
  </bookViews>
  <sheets>
    <sheet name="2021" sheetId="1" r:id="rId1"/>
    <sheet name="2022" sheetId="2" r:id="rId2"/>
    <sheet name="2023" sheetId="3" r:id="rId3"/>
    <sheet name="2024" sheetId="4" r:id="rId4"/>
    <sheet name="2025" sheetId="5" r:id="rId5"/>
    <sheet name="2026" sheetId="6" r:id="rId6"/>
    <sheet name="Hoja1" sheetId="7" r:id="rId7"/>
  </sheets>
  <externalReferences>
    <externalReference r:id="rId8"/>
  </externalReferenc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130" i="6" l="1"/>
  <c r="R129" i="6"/>
  <c r="R128" i="6"/>
  <c r="R127" i="6"/>
  <c r="R126" i="6"/>
  <c r="R125" i="6"/>
  <c r="R124" i="6"/>
  <c r="R123" i="6"/>
  <c r="R122" i="6"/>
  <c r="Q130" i="6"/>
  <c r="Q129" i="6"/>
  <c r="Q128" i="6"/>
  <c r="Q127" i="6"/>
  <c r="Q126" i="6"/>
  <c r="Q125" i="6"/>
  <c r="Q124" i="6"/>
  <c r="Q123" i="6"/>
  <c r="Q122" i="6"/>
  <c r="C130" i="6"/>
  <c r="O130" i="6"/>
  <c r="O129" i="6"/>
  <c r="O128" i="6"/>
  <c r="O127" i="6"/>
  <c r="O126" i="6"/>
  <c r="O125" i="6"/>
  <c r="O124" i="6"/>
  <c r="O123" i="6"/>
  <c r="O122" i="6"/>
  <c r="N130" i="6"/>
  <c r="N129" i="6"/>
  <c r="N128" i="6"/>
  <c r="N127" i="6"/>
  <c r="N126" i="6"/>
  <c r="N125" i="6"/>
  <c r="N124" i="6"/>
  <c r="N123" i="6"/>
  <c r="N122" i="6"/>
  <c r="M130" i="6"/>
  <c r="M129" i="6"/>
  <c r="M128" i="6"/>
  <c r="M127" i="6"/>
  <c r="M126" i="6"/>
  <c r="M125" i="6"/>
  <c r="M124" i="6"/>
  <c r="M123" i="6"/>
  <c r="M122" i="6"/>
  <c r="L130" i="6"/>
  <c r="L129" i="6"/>
  <c r="L128" i="6"/>
  <c r="L127" i="6"/>
  <c r="L126" i="6"/>
  <c r="L125" i="6"/>
  <c r="L124" i="6"/>
  <c r="L123" i="6"/>
  <c r="L122" i="6"/>
  <c r="K130" i="6"/>
  <c r="K129" i="6"/>
  <c r="K128" i="6"/>
  <c r="K127" i="6"/>
  <c r="K126" i="6"/>
  <c r="K125" i="6"/>
  <c r="K124" i="6"/>
  <c r="K123" i="6"/>
  <c r="K122" i="6"/>
  <c r="I130" i="6"/>
  <c r="I129" i="6"/>
  <c r="I128" i="6"/>
  <c r="I127" i="6"/>
  <c r="I126" i="6"/>
  <c r="I125" i="6"/>
  <c r="I124" i="6"/>
  <c r="I123" i="6"/>
  <c r="I122" i="6"/>
  <c r="H126" i="6"/>
  <c r="H130" i="6"/>
  <c r="H129" i="6"/>
  <c r="H128" i="6"/>
  <c r="H127" i="6"/>
  <c r="H125" i="6"/>
  <c r="H124" i="6"/>
  <c r="H123" i="6"/>
  <c r="H122" i="6"/>
  <c r="G130" i="6"/>
  <c r="G129" i="6"/>
  <c r="G128" i="6"/>
  <c r="G127" i="6"/>
  <c r="G126" i="6"/>
  <c r="G125" i="6"/>
  <c r="G124" i="6"/>
  <c r="G123" i="6"/>
  <c r="G122" i="6"/>
  <c r="F130" i="6"/>
  <c r="F129" i="6"/>
  <c r="F128" i="6"/>
  <c r="F127" i="6"/>
  <c r="F126" i="6"/>
  <c r="F125" i="6"/>
  <c r="F124" i="6"/>
  <c r="F123" i="6"/>
  <c r="F122" i="6"/>
  <c r="D130" i="6"/>
  <c r="D129" i="6"/>
  <c r="D128" i="6"/>
  <c r="D127" i="6"/>
  <c r="D126" i="6"/>
  <c r="D125" i="6"/>
  <c r="D124" i="6"/>
  <c r="D123" i="6"/>
  <c r="D122" i="6"/>
  <c r="C129" i="6"/>
  <c r="C128" i="6"/>
  <c r="C127" i="6"/>
  <c r="C126" i="6"/>
  <c r="C125" i="6"/>
  <c r="C124" i="6"/>
  <c r="C123" i="6"/>
  <c r="C122" i="6"/>
  <c r="P122" i="6"/>
  <c r="S122" i="6"/>
  <c r="P123" i="6"/>
  <c r="S123" i="6"/>
  <c r="P124" i="6"/>
  <c r="S124" i="6"/>
  <c r="P125" i="6"/>
  <c r="S125" i="6"/>
  <c r="P126" i="6"/>
  <c r="S126" i="6"/>
  <c r="P127" i="6"/>
  <c r="S127" i="6"/>
  <c r="P128" i="6"/>
  <c r="S128" i="6"/>
  <c r="P129" i="6"/>
  <c r="S129" i="6"/>
  <c r="P130" i="6"/>
  <c r="S130" i="6"/>
  <c r="R121" i="6"/>
  <c r="R120" i="6"/>
  <c r="R119" i="6"/>
  <c r="R118" i="6"/>
  <c r="R117" i="6"/>
  <c r="R116" i="6"/>
  <c r="R115" i="6"/>
  <c r="R114" i="6"/>
  <c r="R113" i="6"/>
  <c r="R112" i="6"/>
  <c r="R111" i="6"/>
  <c r="R110" i="6"/>
  <c r="Q121" i="6"/>
  <c r="Q120" i="6"/>
  <c r="Q119" i="6"/>
  <c r="Q118" i="6"/>
  <c r="Q117" i="6"/>
  <c r="Q116" i="6"/>
  <c r="Q115" i="6"/>
  <c r="Q114" i="6"/>
  <c r="Q113" i="6"/>
  <c r="Q112" i="6"/>
  <c r="Q111" i="6"/>
  <c r="Q110" i="6"/>
  <c r="O121" i="6"/>
  <c r="O120" i="6"/>
  <c r="O119" i="6"/>
  <c r="O118" i="6"/>
  <c r="O117" i="6"/>
  <c r="O116" i="6"/>
  <c r="O115" i="6"/>
  <c r="O114" i="6"/>
  <c r="O113" i="6"/>
  <c r="O112" i="6"/>
  <c r="O111" i="6"/>
  <c r="O110" i="6"/>
  <c r="N121" i="6"/>
  <c r="N120" i="6"/>
  <c r="N119" i="6"/>
  <c r="N118" i="6"/>
  <c r="N117" i="6"/>
  <c r="N116" i="6"/>
  <c r="N115" i="6"/>
  <c r="N114" i="6"/>
  <c r="N113" i="6"/>
  <c r="N112" i="6"/>
  <c r="N111" i="6"/>
  <c r="N110" i="6"/>
  <c r="M121" i="6"/>
  <c r="M120" i="6"/>
  <c r="M119" i="6"/>
  <c r="M118" i="6"/>
  <c r="M117" i="6"/>
  <c r="M116" i="6"/>
  <c r="M115" i="6"/>
  <c r="M114" i="6"/>
  <c r="M113" i="6"/>
  <c r="M112" i="6"/>
  <c r="M111" i="6"/>
  <c r="M110" i="6"/>
  <c r="L121" i="6"/>
  <c r="L120" i="6"/>
  <c r="L119" i="6"/>
  <c r="L118" i="6"/>
  <c r="L117" i="6"/>
  <c r="L116" i="6"/>
  <c r="L115" i="6"/>
  <c r="L114" i="6"/>
  <c r="L113" i="6"/>
  <c r="L112" i="6"/>
  <c r="L111" i="6"/>
  <c r="L110" i="6"/>
  <c r="K121" i="6"/>
  <c r="K120" i="6"/>
  <c r="K119" i="6"/>
  <c r="K118" i="6"/>
  <c r="K117" i="6"/>
  <c r="K116" i="6"/>
  <c r="K115" i="6"/>
  <c r="K114" i="6"/>
  <c r="K113" i="6"/>
  <c r="K112" i="6"/>
  <c r="K111" i="6"/>
  <c r="K110" i="6"/>
  <c r="I121" i="6"/>
  <c r="I120" i="6"/>
  <c r="I119" i="6"/>
  <c r="I118" i="6"/>
  <c r="I117" i="6"/>
  <c r="I116" i="6"/>
  <c r="I115" i="6"/>
  <c r="I114" i="6"/>
  <c r="I113" i="6"/>
  <c r="I112" i="6"/>
  <c r="I111" i="6"/>
  <c r="I110" i="6"/>
  <c r="H121" i="6"/>
  <c r="H120" i="6"/>
  <c r="H119" i="6"/>
  <c r="H118" i="6"/>
  <c r="H117" i="6"/>
  <c r="H116" i="6"/>
  <c r="H115" i="6"/>
  <c r="H114" i="6"/>
  <c r="H113" i="6"/>
  <c r="H112" i="6"/>
  <c r="H111" i="6"/>
  <c r="H110" i="6"/>
  <c r="G121" i="6"/>
  <c r="G120" i="6"/>
  <c r="G119" i="6"/>
  <c r="G118" i="6"/>
  <c r="G117" i="6"/>
  <c r="G116" i="6"/>
  <c r="G115" i="6"/>
  <c r="G114" i="6"/>
  <c r="G113" i="6"/>
  <c r="G112" i="6"/>
  <c r="G111" i="6"/>
  <c r="G110" i="6"/>
  <c r="F121" i="6"/>
  <c r="F120" i="6"/>
  <c r="F119" i="6"/>
  <c r="F118" i="6"/>
  <c r="F117" i="6"/>
  <c r="F116" i="6"/>
  <c r="F115" i="6"/>
  <c r="F114" i="6"/>
  <c r="F113" i="6"/>
  <c r="F112" i="6"/>
  <c r="F111" i="6"/>
  <c r="F110" i="6"/>
  <c r="D121" i="6"/>
  <c r="D120" i="6"/>
  <c r="D119" i="6"/>
  <c r="D118" i="6"/>
  <c r="D117" i="6"/>
  <c r="D116" i="6"/>
  <c r="D115" i="6"/>
  <c r="D114" i="6"/>
  <c r="D113" i="6"/>
  <c r="D112" i="6"/>
  <c r="D111" i="6"/>
  <c r="D110" i="6"/>
  <c r="C121" i="6"/>
  <c r="P121" i="6" s="1"/>
  <c r="S121" i="6" s="1"/>
  <c r="C120" i="6"/>
  <c r="P120" i="6" s="1"/>
  <c r="S120" i="6" s="1"/>
  <c r="C119" i="6"/>
  <c r="P119" i="6" s="1"/>
  <c r="S119" i="6" s="1"/>
  <c r="C118" i="6"/>
  <c r="P118" i="6" s="1"/>
  <c r="S118" i="6" s="1"/>
  <c r="C117" i="6"/>
  <c r="P117" i="6" s="1"/>
  <c r="S117" i="6" s="1"/>
  <c r="C116" i="6"/>
  <c r="P116" i="6" s="1"/>
  <c r="S116" i="6" s="1"/>
  <c r="C115" i="6"/>
  <c r="P115" i="6" s="1"/>
  <c r="S115" i="6" s="1"/>
  <c r="C114" i="6"/>
  <c r="P114" i="6" s="1"/>
  <c r="S114" i="6" s="1"/>
  <c r="C113" i="6"/>
  <c r="P113" i="6" s="1"/>
  <c r="S113" i="6" s="1"/>
  <c r="C112" i="6"/>
  <c r="P112" i="6" s="1"/>
  <c r="S112" i="6" s="1"/>
  <c r="C111" i="6"/>
  <c r="P111" i="6" s="1"/>
  <c r="S111" i="6" s="1"/>
  <c r="C110" i="6"/>
  <c r="P110" i="6" s="1"/>
  <c r="S110" i="6" s="1"/>
  <c r="P152" i="7"/>
  <c r="S152" i="7" s="1"/>
  <c r="P151" i="7"/>
  <c r="S151" i="7" s="1"/>
  <c r="P150" i="7"/>
  <c r="S150" i="7" s="1"/>
  <c r="P149" i="7"/>
  <c r="S149" i="7" s="1"/>
  <c r="P148" i="7"/>
  <c r="S148" i="7" s="1"/>
  <c r="P147" i="7"/>
  <c r="S147" i="7" s="1"/>
  <c r="P146" i="7"/>
  <c r="S146" i="7" s="1"/>
  <c r="P145" i="7"/>
  <c r="S145" i="7" s="1"/>
  <c r="P144" i="7"/>
  <c r="S144" i="7" s="1"/>
  <c r="P143" i="7"/>
  <c r="S143" i="7" s="1"/>
  <c r="P142" i="7"/>
  <c r="S142" i="7" s="1"/>
  <c r="P141" i="7"/>
  <c r="S141" i="7" s="1"/>
  <c r="P140" i="7"/>
  <c r="S140" i="7" s="1"/>
  <c r="P139" i="7"/>
  <c r="S139" i="7" s="1"/>
  <c r="P138" i="7"/>
  <c r="S138" i="7" s="1"/>
  <c r="P137" i="7"/>
  <c r="S137" i="7" s="1"/>
  <c r="P136" i="7"/>
  <c r="S136" i="7" s="1"/>
  <c r="P135" i="7"/>
  <c r="S135" i="7" s="1"/>
  <c r="P134" i="7"/>
  <c r="S134" i="7" s="1"/>
  <c r="P133" i="7"/>
  <c r="S133" i="7" s="1"/>
  <c r="P132" i="7"/>
  <c r="S132" i="7" s="1"/>
  <c r="P131" i="7"/>
  <c r="S131" i="7" s="1"/>
  <c r="P130" i="7"/>
  <c r="S130" i="7" s="1"/>
  <c r="P129" i="7"/>
  <c r="S129" i="7" s="1"/>
  <c r="P128" i="7"/>
  <c r="S128" i="7" s="1"/>
  <c r="P127" i="7"/>
  <c r="S127" i="7" s="1"/>
  <c r="P126" i="7"/>
  <c r="S126" i="7" s="1"/>
  <c r="P125" i="7"/>
  <c r="S125" i="7" s="1"/>
  <c r="P124" i="7"/>
  <c r="S124" i="7" s="1"/>
  <c r="P123" i="7"/>
  <c r="S123" i="7" s="1"/>
  <c r="P122" i="7"/>
  <c r="S122" i="7" s="1"/>
  <c r="R121" i="7"/>
  <c r="Q121" i="7"/>
  <c r="O121" i="7"/>
  <c r="N121" i="7"/>
  <c r="M121" i="7"/>
  <c r="L121" i="7"/>
  <c r="K121" i="7"/>
  <c r="I121" i="7"/>
  <c r="H121" i="7"/>
  <c r="G121" i="7"/>
  <c r="F121" i="7"/>
  <c r="D121" i="7"/>
  <c r="C121" i="7"/>
  <c r="P121" i="7" s="1"/>
  <c r="S121" i="7" s="1"/>
  <c r="R120" i="7"/>
  <c r="Q120" i="7"/>
  <c r="O120" i="7"/>
  <c r="N120" i="7"/>
  <c r="M120" i="7"/>
  <c r="L120" i="7"/>
  <c r="K120" i="7"/>
  <c r="I120" i="7"/>
  <c r="H120" i="7"/>
  <c r="G120" i="7"/>
  <c r="F120" i="7"/>
  <c r="D120" i="7"/>
  <c r="C120" i="7"/>
  <c r="P120" i="7" s="1"/>
  <c r="S120" i="7" s="1"/>
  <c r="R119" i="7"/>
  <c r="Q119" i="7"/>
  <c r="O119" i="7"/>
  <c r="N119" i="7"/>
  <c r="M119" i="7"/>
  <c r="L119" i="7"/>
  <c r="K119" i="7"/>
  <c r="I119" i="7"/>
  <c r="H119" i="7"/>
  <c r="G119" i="7"/>
  <c r="F119" i="7"/>
  <c r="D119" i="7"/>
  <c r="C119" i="7"/>
  <c r="P119" i="7" s="1"/>
  <c r="S119" i="7" s="1"/>
  <c r="R118" i="7"/>
  <c r="Q118" i="7"/>
  <c r="O118" i="7"/>
  <c r="N118" i="7"/>
  <c r="M118" i="7"/>
  <c r="L118" i="7"/>
  <c r="K118" i="7"/>
  <c r="I118" i="7"/>
  <c r="H118" i="7"/>
  <c r="G118" i="7"/>
  <c r="F118" i="7"/>
  <c r="D118" i="7"/>
  <c r="C118" i="7"/>
  <c r="P118" i="7" s="1"/>
  <c r="S118" i="7" s="1"/>
  <c r="R117" i="7"/>
  <c r="Q117" i="7"/>
  <c r="O117" i="7"/>
  <c r="N117" i="7"/>
  <c r="M117" i="7"/>
  <c r="L117" i="7"/>
  <c r="K117" i="7"/>
  <c r="I117" i="7"/>
  <c r="H117" i="7"/>
  <c r="G117" i="7"/>
  <c r="F117" i="7"/>
  <c r="D117" i="7"/>
  <c r="C117" i="7"/>
  <c r="P117" i="7" s="1"/>
  <c r="S117" i="7" s="1"/>
  <c r="R116" i="7"/>
  <c r="Q116" i="7"/>
  <c r="O116" i="7"/>
  <c r="N116" i="7"/>
  <c r="M116" i="7"/>
  <c r="L116" i="7"/>
  <c r="K116" i="7"/>
  <c r="I116" i="7"/>
  <c r="H116" i="7"/>
  <c r="G116" i="7"/>
  <c r="F116" i="7"/>
  <c r="D116" i="7"/>
  <c r="C116" i="7"/>
  <c r="P116" i="7" s="1"/>
  <c r="S116" i="7" s="1"/>
  <c r="R115" i="7"/>
  <c r="Q115" i="7"/>
  <c r="O115" i="7"/>
  <c r="N115" i="7"/>
  <c r="M115" i="7"/>
  <c r="L115" i="7"/>
  <c r="K115" i="7"/>
  <c r="I115" i="7"/>
  <c r="H115" i="7"/>
  <c r="G115" i="7"/>
  <c r="F115" i="7"/>
  <c r="D115" i="7"/>
  <c r="C115" i="7"/>
  <c r="P115" i="7" s="1"/>
  <c r="S115" i="7" s="1"/>
  <c r="R114" i="7"/>
  <c r="Q114" i="7"/>
  <c r="O114" i="7"/>
  <c r="N114" i="7"/>
  <c r="M114" i="7"/>
  <c r="L114" i="7"/>
  <c r="K114" i="7"/>
  <c r="I114" i="7"/>
  <c r="H114" i="7"/>
  <c r="G114" i="7"/>
  <c r="F114" i="7"/>
  <c r="D114" i="7"/>
  <c r="C114" i="7"/>
  <c r="P114" i="7" s="1"/>
  <c r="S114" i="7" s="1"/>
  <c r="R113" i="7"/>
  <c r="Q113" i="7"/>
  <c r="O113" i="7"/>
  <c r="N113" i="7"/>
  <c r="M113" i="7"/>
  <c r="L113" i="7"/>
  <c r="K113" i="7"/>
  <c r="I113" i="7"/>
  <c r="H113" i="7"/>
  <c r="G113" i="7"/>
  <c r="F113" i="7"/>
  <c r="D113" i="7"/>
  <c r="C113" i="7"/>
  <c r="P113" i="7" s="1"/>
  <c r="S113" i="7" s="1"/>
  <c r="R112" i="7"/>
  <c r="Q112" i="7"/>
  <c r="O112" i="7"/>
  <c r="N112" i="7"/>
  <c r="M112" i="7"/>
  <c r="L112" i="7"/>
  <c r="K112" i="7"/>
  <c r="I112" i="7"/>
  <c r="H112" i="7"/>
  <c r="G112" i="7"/>
  <c r="F112" i="7"/>
  <c r="D112" i="7"/>
  <c r="C112" i="7"/>
  <c r="P112" i="7" s="1"/>
  <c r="S112" i="7" s="1"/>
  <c r="R111" i="7"/>
  <c r="Q111" i="7"/>
  <c r="O111" i="7"/>
  <c r="N111" i="7"/>
  <c r="M111" i="7"/>
  <c r="L111" i="7"/>
  <c r="K111" i="7"/>
  <c r="I111" i="7"/>
  <c r="H111" i="7"/>
  <c r="G111" i="7"/>
  <c r="F111" i="7"/>
  <c r="D111" i="7"/>
  <c r="C111" i="7"/>
  <c r="P111" i="7" s="1"/>
  <c r="S111" i="7" s="1"/>
  <c r="R110" i="7"/>
  <c r="Q110" i="7"/>
  <c r="O110" i="7"/>
  <c r="N110" i="7"/>
  <c r="M110" i="7"/>
  <c r="L110" i="7"/>
  <c r="K110" i="7"/>
  <c r="I110" i="7"/>
  <c r="H110" i="7"/>
  <c r="G110" i="7"/>
  <c r="F110" i="7"/>
  <c r="D110" i="7"/>
  <c r="C110" i="7"/>
  <c r="P110" i="7" s="1"/>
  <c r="S110" i="7" s="1"/>
  <c r="R109" i="7"/>
  <c r="Q109" i="7"/>
  <c r="O109" i="7"/>
  <c r="N109" i="7"/>
  <c r="M109" i="7"/>
  <c r="L109" i="7"/>
  <c r="K109" i="7"/>
  <c r="I109" i="7"/>
  <c r="H109" i="7"/>
  <c r="G109" i="7"/>
  <c r="F109" i="7"/>
  <c r="D109" i="7"/>
  <c r="C109" i="7"/>
  <c r="P109" i="7" s="1"/>
  <c r="S109" i="7" s="1"/>
  <c r="R108" i="7"/>
  <c r="Q108" i="7"/>
  <c r="O108" i="7"/>
  <c r="N108" i="7"/>
  <c r="M108" i="7"/>
  <c r="L108" i="7"/>
  <c r="K108" i="7"/>
  <c r="I108" i="7"/>
  <c r="H108" i="7"/>
  <c r="G108" i="7"/>
  <c r="F108" i="7"/>
  <c r="D108" i="7"/>
  <c r="C108" i="7"/>
  <c r="P108" i="7" s="1"/>
  <c r="S108" i="7" s="1"/>
  <c r="R107" i="7"/>
  <c r="Q107" i="7"/>
  <c r="O107" i="7"/>
  <c r="N107" i="7"/>
  <c r="M107" i="7"/>
  <c r="L107" i="7"/>
  <c r="K107" i="7"/>
  <c r="J107" i="7"/>
  <c r="I107" i="7"/>
  <c r="H107" i="7"/>
  <c r="G107" i="7"/>
  <c r="F107" i="7"/>
  <c r="D107" i="7"/>
  <c r="C107" i="7"/>
  <c r="P107" i="7" s="1"/>
  <c r="S107" i="7" s="1"/>
  <c r="P106" i="7"/>
  <c r="S106" i="7" s="1"/>
  <c r="P105" i="7"/>
  <c r="S105" i="7" s="1"/>
  <c r="P104" i="7"/>
  <c r="S104" i="7" s="1"/>
  <c r="P103" i="7"/>
  <c r="S103" i="7" s="1"/>
  <c r="P102" i="7"/>
  <c r="S102" i="7" s="1"/>
  <c r="P101" i="7"/>
  <c r="S101" i="7" s="1"/>
  <c r="P100" i="7"/>
  <c r="S100" i="7" s="1"/>
  <c r="P99" i="7"/>
  <c r="S99" i="7" s="1"/>
  <c r="P98" i="7"/>
  <c r="S98" i="7" s="1"/>
  <c r="P97" i="7"/>
  <c r="S97" i="7" s="1"/>
  <c r="P96" i="7"/>
  <c r="S96" i="7" s="1"/>
  <c r="P95" i="7"/>
  <c r="S95" i="7" s="1"/>
  <c r="P94" i="7"/>
  <c r="S94" i="7" s="1"/>
  <c r="P93" i="7"/>
  <c r="S93" i="7" s="1"/>
  <c r="P92" i="7"/>
  <c r="S92" i="7" s="1"/>
  <c r="P91" i="7"/>
  <c r="S91" i="7" s="1"/>
  <c r="P90" i="7"/>
  <c r="S90" i="7" s="1"/>
  <c r="P89" i="7"/>
  <c r="S89" i="7" s="1"/>
  <c r="P88" i="7"/>
  <c r="S88" i="7" s="1"/>
  <c r="P87" i="7"/>
  <c r="S87" i="7" s="1"/>
  <c r="P86" i="7"/>
  <c r="S86" i="7" s="1"/>
  <c r="P85" i="7"/>
  <c r="S85" i="7" s="1"/>
  <c r="P84" i="7"/>
  <c r="S84" i="7" s="1"/>
  <c r="P83" i="7"/>
  <c r="S83" i="7" s="1"/>
  <c r="P82" i="7"/>
  <c r="S82" i="7" s="1"/>
  <c r="P81" i="7"/>
  <c r="S81" i="7" s="1"/>
  <c r="P80" i="7"/>
  <c r="S80" i="7" s="1"/>
  <c r="P79" i="7"/>
  <c r="S79" i="7" s="1"/>
  <c r="P78" i="7"/>
  <c r="S78" i="7" s="1"/>
  <c r="P77" i="7"/>
  <c r="S77" i="7" s="1"/>
  <c r="P76" i="7"/>
  <c r="S76" i="7" s="1"/>
  <c r="P75" i="7"/>
  <c r="S75" i="7" s="1"/>
  <c r="P74" i="7"/>
  <c r="S74" i="7" s="1"/>
  <c r="P73" i="7"/>
  <c r="S73" i="7" s="1"/>
  <c r="P72" i="7"/>
  <c r="S72" i="7" s="1"/>
  <c r="P71" i="7"/>
  <c r="S71" i="7" s="1"/>
  <c r="P70" i="7"/>
  <c r="S70" i="7" s="1"/>
  <c r="P69" i="7"/>
  <c r="S69" i="7" s="1"/>
  <c r="P68" i="7"/>
  <c r="S68" i="7" s="1"/>
  <c r="P67" i="7"/>
  <c r="S67" i="7" s="1"/>
  <c r="P66" i="7"/>
  <c r="S66" i="7" s="1"/>
  <c r="P65" i="7"/>
  <c r="S65" i="7" s="1"/>
  <c r="P64" i="7"/>
  <c r="S64" i="7" s="1"/>
  <c r="P63" i="7"/>
  <c r="S63" i="7" s="1"/>
  <c r="P62" i="7"/>
  <c r="S62" i="7" s="1"/>
  <c r="P61" i="7"/>
  <c r="S61" i="7" s="1"/>
  <c r="P60" i="7"/>
  <c r="S60" i="7" s="1"/>
  <c r="P59" i="7"/>
  <c r="S59" i="7" s="1"/>
  <c r="P58" i="7"/>
  <c r="S58" i="7" s="1"/>
  <c r="P57" i="7"/>
  <c r="S57" i="7" s="1"/>
  <c r="P56" i="7"/>
  <c r="S56" i="7" s="1"/>
  <c r="P55" i="7"/>
  <c r="S55" i="7" s="1"/>
  <c r="P54" i="7"/>
  <c r="S54" i="7" s="1"/>
  <c r="P53" i="7"/>
  <c r="S53" i="7" s="1"/>
  <c r="P52" i="7"/>
  <c r="S52" i="7" s="1"/>
  <c r="P51" i="7"/>
  <c r="S51" i="7" s="1"/>
  <c r="P50" i="7"/>
  <c r="S50" i="7" s="1"/>
  <c r="P49" i="7"/>
  <c r="S49" i="7" s="1"/>
  <c r="P48" i="7"/>
  <c r="S48" i="7" s="1"/>
  <c r="S44" i="7"/>
  <c r="S43" i="7"/>
  <c r="S42" i="7"/>
  <c r="S41" i="7"/>
  <c r="S40" i="7"/>
  <c r="S39" i="7"/>
  <c r="S38" i="7"/>
  <c r="S37" i="7"/>
  <c r="S36" i="7"/>
  <c r="S35" i="7"/>
  <c r="S34" i="7"/>
  <c r="S33" i="7"/>
  <c r="S32" i="7"/>
  <c r="S31" i="7"/>
  <c r="S30" i="7"/>
  <c r="S29" i="7"/>
  <c r="S28" i="7"/>
  <c r="S27" i="7"/>
  <c r="S26" i="7"/>
  <c r="S25" i="7"/>
  <c r="S24" i="7"/>
  <c r="S23" i="7"/>
  <c r="S22" i="7"/>
  <c r="S21" i="7"/>
  <c r="S20" i="7"/>
  <c r="S19" i="7"/>
  <c r="S18" i="7"/>
  <c r="S17" i="7"/>
  <c r="S16" i="7"/>
  <c r="S15" i="7"/>
  <c r="S14" i="7"/>
  <c r="S13" i="7"/>
  <c r="S12" i="7"/>
  <c r="S11" i="7"/>
  <c r="S10" i="7"/>
  <c r="S9" i="7"/>
  <c r="S8" i="7"/>
  <c r="S7" i="7"/>
  <c r="S6" i="7"/>
  <c r="S5" i="7"/>
  <c r="S4" i="7"/>
  <c r="S3" i="7"/>
  <c r="R109" i="6"/>
  <c r="Q109" i="6"/>
  <c r="O109" i="6"/>
  <c r="N109" i="6"/>
  <c r="N108" i="6"/>
  <c r="M109" i="6"/>
  <c r="L107" i="6"/>
  <c r="L108" i="6"/>
  <c r="O108" i="6"/>
  <c r="I109" i="6"/>
  <c r="I108" i="6"/>
  <c r="K109" i="6"/>
  <c r="K108" i="6"/>
  <c r="H109" i="6"/>
  <c r="H108" i="6"/>
  <c r="C109" i="6"/>
  <c r="D109" i="6"/>
  <c r="D108" i="6"/>
  <c r="C108" i="6"/>
  <c r="C107" i="6"/>
  <c r="R108" i="6"/>
  <c r="M108" i="6"/>
  <c r="Q108" i="6"/>
  <c r="G109" i="6"/>
  <c r="Q107" i="6"/>
  <c r="L109" i="6"/>
  <c r="G108" i="6"/>
  <c r="F109" i="6"/>
  <c r="F108" i="6"/>
  <c r="F107" i="6"/>
  <c r="G107" i="6"/>
  <c r="H107" i="6"/>
  <c r="I107" i="6"/>
  <c r="J107" i="6"/>
  <c r="K107" i="6"/>
  <c r="M107" i="6"/>
  <c r="N107" i="6"/>
  <c r="O107" i="6"/>
  <c r="R107" i="6"/>
  <c r="D107" i="6"/>
  <c r="P108" i="6" l="1"/>
  <c r="S108" i="6" s="1"/>
  <c r="P107" i="6"/>
  <c r="P102" i="6"/>
  <c r="S102" i="6" s="1"/>
  <c r="P101" i="6"/>
  <c r="S101" i="6" s="1"/>
  <c r="P100" i="6"/>
  <c r="S100" i="6" s="1"/>
  <c r="P99" i="6"/>
  <c r="S99" i="6" s="1"/>
  <c r="P98" i="6"/>
  <c r="S98" i="6" s="1"/>
  <c r="P97" i="6"/>
  <c r="S97" i="6" s="1"/>
  <c r="P96" i="6"/>
  <c r="S96" i="6" s="1"/>
  <c r="P95" i="6"/>
  <c r="S95" i="6" s="1"/>
  <c r="P94" i="6"/>
  <c r="S94" i="6" s="1"/>
  <c r="P93" i="6"/>
  <c r="S93" i="6" s="1"/>
  <c r="P92" i="6"/>
  <c r="S92" i="6" s="1"/>
  <c r="P91" i="6"/>
  <c r="S91" i="6" s="1"/>
  <c r="P90" i="6"/>
  <c r="S90" i="6" s="1"/>
  <c r="P89" i="6"/>
  <c r="S89" i="6" s="1"/>
  <c r="P88" i="6"/>
  <c r="S88" i="6" s="1"/>
  <c r="P87" i="6"/>
  <c r="S87" i="6" s="1"/>
  <c r="P86" i="6"/>
  <c r="S86" i="6" s="1"/>
  <c r="P85" i="6"/>
  <c r="S85" i="6" s="1"/>
  <c r="P84" i="6"/>
  <c r="S84" i="6" s="1"/>
  <c r="P83" i="6"/>
  <c r="S83" i="6" s="1"/>
  <c r="P82" i="6"/>
  <c r="S82" i="6" s="1"/>
  <c r="P81" i="6"/>
  <c r="S81" i="6" s="1"/>
  <c r="P80" i="6"/>
  <c r="S80" i="6" s="1"/>
  <c r="P79" i="6"/>
  <c r="S79" i="6" s="1"/>
  <c r="P78" i="6"/>
  <c r="S78" i="6" s="1"/>
  <c r="P77" i="6"/>
  <c r="S77" i="6" s="1"/>
  <c r="P76" i="6"/>
  <c r="S76" i="6" s="1"/>
  <c r="P75" i="6"/>
  <c r="S75" i="6" s="1"/>
  <c r="P74" i="6"/>
  <c r="S74" i="6" s="1"/>
  <c r="P73" i="6"/>
  <c r="S73" i="6" s="1"/>
  <c r="P72" i="6"/>
  <c r="S72" i="6" s="1"/>
  <c r="P71" i="6"/>
  <c r="S71" i="6" s="1"/>
  <c r="P70" i="6"/>
  <c r="S70" i="6" s="1"/>
  <c r="P69" i="6"/>
  <c r="S69" i="6" s="1"/>
  <c r="P68" i="6"/>
  <c r="S68" i="6" s="1"/>
  <c r="P67" i="6"/>
  <c r="S67" i="6" s="1"/>
  <c r="P66" i="6"/>
  <c r="S66" i="6" s="1"/>
  <c r="P65" i="6"/>
  <c r="S65" i="6" s="1"/>
  <c r="P64" i="6"/>
  <c r="S64" i="6" s="1"/>
  <c r="P63" i="6"/>
  <c r="S63" i="6" s="1"/>
  <c r="P62" i="6"/>
  <c r="S62" i="6" s="1"/>
  <c r="P61" i="6"/>
  <c r="S61" i="6" s="1"/>
  <c r="P60" i="6"/>
  <c r="S60" i="6" s="1"/>
  <c r="P59" i="6"/>
  <c r="S59" i="6" s="1"/>
  <c r="P58" i="6"/>
  <c r="S58" i="6" s="1"/>
  <c r="P57" i="6"/>
  <c r="S57" i="6" s="1"/>
  <c r="P56" i="6"/>
  <c r="S56" i="6" s="1"/>
  <c r="P55" i="6"/>
  <c r="S55" i="6" s="1"/>
  <c r="P54" i="6"/>
  <c r="S54" i="6" s="1"/>
  <c r="P53" i="6"/>
  <c r="S53" i="6" s="1"/>
  <c r="P52" i="6"/>
  <c r="S52" i="6" s="1"/>
  <c r="P51" i="6"/>
  <c r="S51" i="6" s="1"/>
  <c r="P50" i="6"/>
  <c r="S50" i="6" s="1"/>
  <c r="P49" i="6"/>
  <c r="S49" i="6" s="1"/>
  <c r="P48" i="6"/>
  <c r="S48" i="6" s="1"/>
  <c r="S44" i="6"/>
  <c r="S43" i="6"/>
  <c r="S42" i="6"/>
  <c r="S41" i="6"/>
  <c r="S40" i="6"/>
  <c r="S39" i="6"/>
  <c r="S38" i="6"/>
  <c r="S37" i="6"/>
  <c r="S36" i="6"/>
  <c r="S35" i="6"/>
  <c r="S34" i="6"/>
  <c r="S33" i="6"/>
  <c r="S32" i="6"/>
  <c r="S31" i="6"/>
  <c r="S30" i="6"/>
  <c r="S29" i="6"/>
  <c r="S28" i="6"/>
  <c r="S27" i="6"/>
  <c r="S26" i="6"/>
  <c r="S25" i="6"/>
  <c r="S24" i="6"/>
  <c r="S23" i="6"/>
  <c r="S22" i="6"/>
  <c r="S21" i="6"/>
  <c r="S20" i="6"/>
  <c r="S19" i="6"/>
  <c r="S18" i="6"/>
  <c r="S17" i="6"/>
  <c r="S16" i="6"/>
  <c r="S15" i="6"/>
  <c r="S14" i="6"/>
  <c r="S13" i="6"/>
  <c r="S12" i="6"/>
  <c r="S11" i="6"/>
  <c r="S10" i="6"/>
  <c r="S9" i="6"/>
  <c r="S8" i="6"/>
  <c r="S7" i="6"/>
  <c r="S6" i="6"/>
  <c r="S5" i="6"/>
  <c r="S4" i="6"/>
  <c r="S3" i="6"/>
  <c r="P366" i="5"/>
  <c r="S366" i="5" s="1"/>
  <c r="P365" i="5"/>
  <c r="S365" i="5" s="1"/>
  <c r="P364" i="5"/>
  <c r="S364" i="5" s="1"/>
  <c r="P363" i="5"/>
  <c r="S363" i="5" s="1"/>
  <c r="P362" i="5"/>
  <c r="S362" i="5" s="1"/>
  <c r="P361" i="5"/>
  <c r="S361" i="5" s="1"/>
  <c r="P360" i="5"/>
  <c r="S360" i="5" s="1"/>
  <c r="P359" i="5"/>
  <c r="S359" i="5" s="1"/>
  <c r="P358" i="5"/>
  <c r="S358" i="5" s="1"/>
  <c r="P357" i="5"/>
  <c r="S357" i="5" s="1"/>
  <c r="P356" i="5"/>
  <c r="S356" i="5" s="1"/>
  <c r="P355" i="5"/>
  <c r="S355" i="5" s="1"/>
  <c r="P354" i="5"/>
  <c r="S354" i="5" s="1"/>
  <c r="P353" i="5"/>
  <c r="S353" i="5" s="1"/>
  <c r="P352" i="5"/>
  <c r="S352" i="5" s="1"/>
  <c r="P351" i="5"/>
  <c r="S351" i="5" s="1"/>
  <c r="P350" i="5"/>
  <c r="S350" i="5" s="1"/>
  <c r="P349" i="5"/>
  <c r="S349" i="5" s="1"/>
  <c r="P348" i="5"/>
  <c r="S348" i="5" s="1"/>
  <c r="P347" i="5"/>
  <c r="S347" i="5" s="1"/>
  <c r="P346" i="5"/>
  <c r="S346" i="5" s="1"/>
  <c r="P345" i="5"/>
  <c r="S345" i="5" s="1"/>
  <c r="P344" i="5"/>
  <c r="S344" i="5" s="1"/>
  <c r="P343" i="5"/>
  <c r="S343" i="5" s="1"/>
  <c r="P342" i="5"/>
  <c r="S342" i="5" s="1"/>
  <c r="P341" i="5"/>
  <c r="S341" i="5" s="1"/>
  <c r="P340" i="5"/>
  <c r="S340" i="5" s="1"/>
  <c r="P339" i="5"/>
  <c r="S339" i="5" s="1"/>
  <c r="P338" i="5"/>
  <c r="S338" i="5" s="1"/>
  <c r="P337" i="5"/>
  <c r="S337" i="5" s="1"/>
  <c r="P336" i="5"/>
  <c r="S336" i="5" s="1"/>
  <c r="P335" i="5"/>
  <c r="S335" i="5" s="1"/>
  <c r="P334" i="5"/>
  <c r="S334" i="5" s="1"/>
  <c r="P333" i="5"/>
  <c r="S333" i="5" s="1"/>
  <c r="P332" i="5"/>
  <c r="S332" i="5" s="1"/>
  <c r="P331" i="5"/>
  <c r="S331" i="5" s="1"/>
  <c r="P330" i="5"/>
  <c r="S330" i="5" s="1"/>
  <c r="P329" i="5"/>
  <c r="S329" i="5" s="1"/>
  <c r="P328" i="5"/>
  <c r="S328" i="5" s="1"/>
  <c r="P327" i="5"/>
  <c r="S327" i="5" s="1"/>
  <c r="P326" i="5"/>
  <c r="S326" i="5" s="1"/>
  <c r="P325" i="5"/>
  <c r="S325" i="5" s="1"/>
  <c r="P324" i="5"/>
  <c r="S324" i="5" s="1"/>
  <c r="P323" i="5"/>
  <c r="S323" i="5" s="1"/>
  <c r="P322" i="5"/>
  <c r="S322" i="5" s="1"/>
  <c r="P321" i="5"/>
  <c r="S321" i="5" s="1"/>
  <c r="P320" i="5"/>
  <c r="S320" i="5" s="1"/>
  <c r="P319" i="5"/>
  <c r="S319" i="5" s="1"/>
  <c r="P318" i="5"/>
  <c r="S318" i="5" s="1"/>
  <c r="P317" i="5"/>
  <c r="S317" i="5" s="1"/>
  <c r="P316" i="5"/>
  <c r="S316" i="5" s="1"/>
  <c r="P315" i="5"/>
  <c r="S315" i="5" s="1"/>
  <c r="P314" i="5"/>
  <c r="S314" i="5" s="1"/>
  <c r="P313" i="5"/>
  <c r="S313" i="5" s="1"/>
  <c r="P312" i="5"/>
  <c r="S312" i="5" s="1"/>
  <c r="P311" i="5"/>
  <c r="S311" i="5" s="1"/>
  <c r="P310" i="5"/>
  <c r="S310" i="5" s="1"/>
  <c r="P309" i="5"/>
  <c r="S309" i="5" s="1"/>
  <c r="P308" i="5"/>
  <c r="S308" i="5" s="1"/>
  <c r="P307" i="5"/>
  <c r="S307" i="5" s="1"/>
  <c r="P306" i="5"/>
  <c r="S306" i="5" s="1"/>
  <c r="P305" i="5"/>
  <c r="S305" i="5" s="1"/>
  <c r="P304" i="5"/>
  <c r="S304" i="5" s="1"/>
  <c r="P303" i="5"/>
  <c r="S303" i="5" s="1"/>
  <c r="P302" i="5"/>
  <c r="S302" i="5" s="1"/>
  <c r="P301" i="5"/>
  <c r="S301" i="5" s="1"/>
  <c r="P300" i="5"/>
  <c r="S300" i="5" s="1"/>
  <c r="P299" i="5"/>
  <c r="S299" i="5" s="1"/>
  <c r="P298" i="5"/>
  <c r="S298" i="5" s="1"/>
  <c r="P297" i="5"/>
  <c r="S297" i="5" s="1"/>
  <c r="P296" i="5"/>
  <c r="S296" i="5" s="1"/>
  <c r="P295" i="5"/>
  <c r="S295" i="5" s="1"/>
  <c r="P294" i="5"/>
  <c r="S294" i="5" s="1"/>
  <c r="P293" i="5"/>
  <c r="S293" i="5" s="1"/>
  <c r="P292" i="5"/>
  <c r="S292" i="5" s="1"/>
  <c r="P291" i="5"/>
  <c r="S291" i="5" s="1"/>
  <c r="P290" i="5"/>
  <c r="S290" i="5" s="1"/>
  <c r="P289" i="5"/>
  <c r="S289" i="5" s="1"/>
  <c r="P288" i="5"/>
  <c r="S288" i="5" s="1"/>
  <c r="P287" i="5"/>
  <c r="S287" i="5" s="1"/>
  <c r="P286" i="5"/>
  <c r="S286" i="5" s="1"/>
  <c r="P285" i="5"/>
  <c r="S285" i="5" s="1"/>
  <c r="P284" i="5"/>
  <c r="S284" i="5" s="1"/>
  <c r="P283" i="5"/>
  <c r="S283" i="5" s="1"/>
  <c r="P282" i="5"/>
  <c r="S282" i="5" s="1"/>
  <c r="P281" i="5"/>
  <c r="S281" i="5" s="1"/>
  <c r="P280" i="5"/>
  <c r="S280" i="5" s="1"/>
  <c r="P279" i="5"/>
  <c r="S279" i="5" s="1"/>
  <c r="P278" i="5"/>
  <c r="S278" i="5" s="1"/>
  <c r="P277" i="5"/>
  <c r="S277" i="5" s="1"/>
  <c r="P276" i="5"/>
  <c r="S276" i="5" s="1"/>
  <c r="P275" i="5"/>
  <c r="S275" i="5" s="1"/>
  <c r="P274" i="5"/>
  <c r="S274" i="5" s="1"/>
  <c r="P273" i="5"/>
  <c r="S273" i="5" s="1"/>
  <c r="P272" i="5"/>
  <c r="S272" i="5" s="1"/>
  <c r="P271" i="5"/>
  <c r="S271" i="5" s="1"/>
  <c r="P270" i="5"/>
  <c r="S270" i="5" s="1"/>
  <c r="P269" i="5"/>
  <c r="S269" i="5" s="1"/>
  <c r="P268" i="5"/>
  <c r="S268" i="5" s="1"/>
  <c r="P267" i="5"/>
  <c r="S267" i="5" s="1"/>
  <c r="P266" i="5"/>
  <c r="S266" i="5" s="1"/>
  <c r="P265" i="5"/>
  <c r="S265" i="5" s="1"/>
  <c r="P264" i="5"/>
  <c r="S264" i="5" s="1"/>
  <c r="P263" i="5"/>
  <c r="S263" i="5" s="1"/>
  <c r="P262" i="5"/>
  <c r="S262" i="5" s="1"/>
  <c r="P261" i="5"/>
  <c r="S261" i="5" s="1"/>
  <c r="P260" i="5"/>
  <c r="S260" i="5" s="1"/>
  <c r="P259" i="5"/>
  <c r="S259" i="5" s="1"/>
  <c r="P258" i="5"/>
  <c r="S258" i="5" s="1"/>
  <c r="P257" i="5"/>
  <c r="S257" i="5" s="1"/>
  <c r="P256" i="5"/>
  <c r="S256" i="5" s="1"/>
  <c r="P255" i="5"/>
  <c r="S255" i="5" s="1"/>
  <c r="P254" i="5"/>
  <c r="S254" i="5" s="1"/>
  <c r="P253" i="5"/>
  <c r="S253" i="5" s="1"/>
  <c r="P252" i="5"/>
  <c r="S252" i="5" s="1"/>
  <c r="P251" i="5"/>
  <c r="S251" i="5" s="1"/>
  <c r="P250" i="5"/>
  <c r="S250" i="5" s="1"/>
  <c r="P249" i="5"/>
  <c r="S249" i="5" s="1"/>
  <c r="P248" i="5"/>
  <c r="S248" i="5" s="1"/>
  <c r="P247" i="5"/>
  <c r="S247" i="5" s="1"/>
  <c r="P246" i="5"/>
  <c r="S246" i="5" s="1"/>
  <c r="P245" i="5"/>
  <c r="S245" i="5" s="1"/>
  <c r="P244" i="5"/>
  <c r="S244" i="5" s="1"/>
  <c r="P243" i="5"/>
  <c r="S243" i="5" s="1"/>
  <c r="P242" i="5"/>
  <c r="S242" i="5" s="1"/>
  <c r="P241" i="5"/>
  <c r="S241" i="5" s="1"/>
  <c r="P240" i="5"/>
  <c r="S240" i="5" s="1"/>
  <c r="P239" i="5"/>
  <c r="S239" i="5" s="1"/>
  <c r="P238" i="5"/>
  <c r="S238" i="5" s="1"/>
  <c r="P237" i="5"/>
  <c r="S237" i="5" s="1"/>
  <c r="P236" i="5"/>
  <c r="S236" i="5" s="1"/>
  <c r="P235" i="5"/>
  <c r="S235" i="5" s="1"/>
  <c r="P234" i="5"/>
  <c r="S234" i="5" s="1"/>
  <c r="P233" i="5"/>
  <c r="S233" i="5" s="1"/>
  <c r="P232" i="5"/>
  <c r="S232" i="5" s="1"/>
  <c r="P231" i="5"/>
  <c r="S231" i="5" s="1"/>
  <c r="P230" i="5"/>
  <c r="S230" i="5" s="1"/>
  <c r="P229" i="5"/>
  <c r="S229" i="5" s="1"/>
  <c r="P228" i="5"/>
  <c r="S228" i="5" s="1"/>
  <c r="P227" i="5"/>
  <c r="S227" i="5" s="1"/>
  <c r="P226" i="5"/>
  <c r="S226" i="5" s="1"/>
  <c r="P225" i="5"/>
  <c r="S225" i="5" s="1"/>
  <c r="P224" i="5"/>
  <c r="S224" i="5" s="1"/>
  <c r="P223" i="5"/>
  <c r="S223" i="5" s="1"/>
  <c r="P222" i="5"/>
  <c r="S222" i="5" s="1"/>
  <c r="P221" i="5"/>
  <c r="S221" i="5" s="1"/>
  <c r="P220" i="5"/>
  <c r="S220" i="5" s="1"/>
  <c r="P219" i="5"/>
  <c r="S219" i="5" s="1"/>
  <c r="P218" i="5"/>
  <c r="S218" i="5" s="1"/>
  <c r="P217" i="5"/>
  <c r="S217" i="5" s="1"/>
  <c r="P216" i="5"/>
  <c r="S216" i="5" s="1"/>
  <c r="P215" i="5"/>
  <c r="S215" i="5" s="1"/>
  <c r="P214" i="5"/>
  <c r="S214" i="5" s="1"/>
  <c r="P213" i="5"/>
  <c r="S213" i="5" s="1"/>
  <c r="P212" i="5"/>
  <c r="S212" i="5" s="1"/>
  <c r="P211" i="5"/>
  <c r="S211" i="5" s="1"/>
  <c r="P210" i="5"/>
  <c r="S210" i="5" s="1"/>
  <c r="P209" i="5"/>
  <c r="S209" i="5" s="1"/>
  <c r="P208" i="5"/>
  <c r="S208" i="5" s="1"/>
  <c r="P207" i="5"/>
  <c r="S207" i="5" s="1"/>
  <c r="P206" i="5"/>
  <c r="S206" i="5" s="1"/>
  <c r="P205" i="5"/>
  <c r="S205" i="5" s="1"/>
  <c r="P204" i="5"/>
  <c r="S204" i="5" s="1"/>
  <c r="P203" i="5"/>
  <c r="S203" i="5" s="1"/>
  <c r="P202" i="5"/>
  <c r="S202" i="5" s="1"/>
  <c r="P201" i="5"/>
  <c r="S201" i="5" s="1"/>
  <c r="P200" i="5"/>
  <c r="S200" i="5" s="1"/>
  <c r="P199" i="5"/>
  <c r="S199" i="5" s="1"/>
  <c r="P198" i="5"/>
  <c r="S198" i="5" s="1"/>
  <c r="P197" i="5"/>
  <c r="S197" i="5" s="1"/>
  <c r="P196" i="5"/>
  <c r="S196" i="5" s="1"/>
  <c r="P195" i="5"/>
  <c r="S195" i="5" s="1"/>
  <c r="P194" i="5"/>
  <c r="S194" i="5" s="1"/>
  <c r="P193" i="5"/>
  <c r="S193" i="5" s="1"/>
  <c r="P192" i="5"/>
  <c r="S192" i="5" s="1"/>
  <c r="P191" i="5"/>
  <c r="S191" i="5" s="1"/>
  <c r="P190" i="5"/>
  <c r="S190" i="5" s="1"/>
  <c r="P189" i="5"/>
  <c r="S189" i="5" s="1"/>
  <c r="P188" i="5"/>
  <c r="S188" i="5" s="1"/>
  <c r="P187" i="5"/>
  <c r="S187" i="5" s="1"/>
  <c r="P186" i="5"/>
  <c r="S186" i="5" s="1"/>
  <c r="P185" i="5"/>
  <c r="S185" i="5" s="1"/>
  <c r="P184" i="5"/>
  <c r="S184" i="5" s="1"/>
  <c r="P183" i="5"/>
  <c r="S183" i="5" s="1"/>
  <c r="P182" i="5"/>
  <c r="S182" i="5" s="1"/>
  <c r="P181" i="5"/>
  <c r="S181" i="5" s="1"/>
  <c r="P180" i="5"/>
  <c r="S180" i="5" s="1"/>
  <c r="P179" i="5"/>
  <c r="S179" i="5" s="1"/>
  <c r="P178" i="5"/>
  <c r="S178" i="5" s="1"/>
  <c r="P177" i="5"/>
  <c r="S177" i="5" s="1"/>
  <c r="P176" i="5"/>
  <c r="S176" i="5" s="1"/>
  <c r="P175" i="5"/>
  <c r="S175" i="5" s="1"/>
  <c r="P174" i="5"/>
  <c r="S174" i="5" s="1"/>
  <c r="P173" i="5"/>
  <c r="S173" i="5" s="1"/>
  <c r="P172" i="5"/>
  <c r="S172" i="5" s="1"/>
  <c r="P171" i="5"/>
  <c r="S171" i="5" s="1"/>
  <c r="P170" i="5"/>
  <c r="S170" i="5" s="1"/>
  <c r="P169" i="5"/>
  <c r="S169" i="5" s="1"/>
  <c r="P168" i="5"/>
  <c r="S168" i="5" s="1"/>
  <c r="P167" i="5"/>
  <c r="S167" i="5" s="1"/>
  <c r="P166" i="5"/>
  <c r="S166" i="5" s="1"/>
  <c r="P165" i="5"/>
  <c r="S165" i="5" s="1"/>
  <c r="P164" i="5"/>
  <c r="S164" i="5" s="1"/>
  <c r="P163" i="5"/>
  <c r="S163" i="5" s="1"/>
  <c r="P162" i="5"/>
  <c r="S162" i="5" s="1"/>
  <c r="P161" i="5"/>
  <c r="S161" i="5" s="1"/>
  <c r="P160" i="5"/>
  <c r="S160" i="5" s="1"/>
  <c r="P159" i="5"/>
  <c r="S159" i="5" s="1"/>
  <c r="P158" i="5"/>
  <c r="S158" i="5" s="1"/>
  <c r="P157" i="5"/>
  <c r="S157" i="5" s="1"/>
  <c r="P156" i="5"/>
  <c r="S156" i="5" s="1"/>
  <c r="P155" i="5"/>
  <c r="S155" i="5" s="1"/>
  <c r="P154" i="5"/>
  <c r="S154" i="5" s="1"/>
  <c r="P153" i="5"/>
  <c r="S153" i="5" s="1"/>
  <c r="P152" i="5"/>
  <c r="S152" i="5" s="1"/>
  <c r="P151" i="5"/>
  <c r="S151" i="5" s="1"/>
  <c r="P150" i="5"/>
  <c r="S150" i="5" s="1"/>
  <c r="P149" i="5"/>
  <c r="S149" i="5" s="1"/>
  <c r="P148" i="5"/>
  <c r="S148" i="5" s="1"/>
  <c r="P147" i="5"/>
  <c r="S147" i="5" s="1"/>
  <c r="P146" i="5"/>
  <c r="S146" i="5" s="1"/>
  <c r="P145" i="5"/>
  <c r="S145" i="5" s="1"/>
  <c r="P144" i="5"/>
  <c r="S144" i="5" s="1"/>
  <c r="P143" i="5"/>
  <c r="S143" i="5" s="1"/>
  <c r="P142" i="5"/>
  <c r="S142" i="5" s="1"/>
  <c r="P141" i="5"/>
  <c r="S141" i="5" s="1"/>
  <c r="P140" i="5"/>
  <c r="S140" i="5" s="1"/>
  <c r="P139" i="5"/>
  <c r="S139" i="5" s="1"/>
  <c r="P138" i="5"/>
  <c r="S138" i="5" s="1"/>
  <c r="P137" i="5"/>
  <c r="S137" i="5" s="1"/>
  <c r="P136" i="5"/>
  <c r="S136" i="5" s="1"/>
  <c r="P135" i="5"/>
  <c r="S135" i="5" s="1"/>
  <c r="P134" i="5"/>
  <c r="S134" i="5" s="1"/>
  <c r="P133" i="5"/>
  <c r="S133" i="5" s="1"/>
  <c r="P132" i="5"/>
  <c r="S132" i="5" s="1"/>
  <c r="P131" i="5"/>
  <c r="S131" i="5" s="1"/>
  <c r="P130" i="5"/>
  <c r="S130" i="5" s="1"/>
  <c r="P129" i="5"/>
  <c r="S129" i="5" s="1"/>
  <c r="P128" i="5"/>
  <c r="S128" i="5" s="1"/>
  <c r="P127" i="5"/>
  <c r="S127" i="5" s="1"/>
  <c r="P126" i="5"/>
  <c r="S126" i="5" s="1"/>
  <c r="P125" i="5"/>
  <c r="S125" i="5" s="1"/>
  <c r="P124" i="5"/>
  <c r="S124" i="5" s="1"/>
  <c r="P123" i="5"/>
  <c r="S123" i="5" s="1"/>
  <c r="P122" i="5"/>
  <c r="S122" i="5" s="1"/>
  <c r="P121" i="5"/>
  <c r="S121" i="5" s="1"/>
  <c r="P120" i="5"/>
  <c r="S120" i="5" s="1"/>
  <c r="P119" i="5"/>
  <c r="S119" i="5" s="1"/>
  <c r="P118" i="5"/>
  <c r="S118" i="5" s="1"/>
  <c r="P117" i="5"/>
  <c r="S117" i="5" s="1"/>
  <c r="P116" i="5"/>
  <c r="S116" i="5" s="1"/>
  <c r="P115" i="5"/>
  <c r="S115" i="5" s="1"/>
  <c r="P114" i="5"/>
  <c r="S114" i="5" s="1"/>
  <c r="P113" i="5"/>
  <c r="S113" i="5" s="1"/>
  <c r="P112" i="5"/>
  <c r="S112" i="5" s="1"/>
  <c r="P111" i="5"/>
  <c r="S111" i="5" s="1"/>
  <c r="P110" i="5"/>
  <c r="S110" i="5" s="1"/>
  <c r="P109" i="5"/>
  <c r="S109" i="5" s="1"/>
  <c r="P108" i="5"/>
  <c r="S108" i="5" s="1"/>
  <c r="P107" i="5"/>
  <c r="S107" i="5" s="1"/>
  <c r="P106" i="5"/>
  <c r="S106" i="5" s="1"/>
  <c r="P105" i="5"/>
  <c r="S105" i="5" s="1"/>
  <c r="P104" i="5"/>
  <c r="S104" i="5" s="1"/>
  <c r="P103" i="5"/>
  <c r="S103" i="5" s="1"/>
  <c r="P102" i="5"/>
  <c r="S102" i="5" s="1"/>
  <c r="P101" i="5"/>
  <c r="S101" i="5" s="1"/>
  <c r="P100" i="5"/>
  <c r="S100" i="5" s="1"/>
  <c r="P99" i="5"/>
  <c r="S99" i="5" s="1"/>
  <c r="P98" i="5"/>
  <c r="S98" i="5" s="1"/>
  <c r="P97" i="5"/>
  <c r="S97" i="5" s="1"/>
  <c r="P96" i="5"/>
  <c r="S96" i="5" s="1"/>
  <c r="P95" i="5"/>
  <c r="S95" i="5" s="1"/>
  <c r="P94" i="5"/>
  <c r="S94" i="5" s="1"/>
  <c r="P93" i="5"/>
  <c r="S93" i="5" s="1"/>
  <c r="P92" i="5"/>
  <c r="S92" i="5" s="1"/>
  <c r="P91" i="5"/>
  <c r="S91" i="5" s="1"/>
  <c r="P90" i="5"/>
  <c r="S90" i="5" s="1"/>
  <c r="P89" i="5"/>
  <c r="S89" i="5" s="1"/>
  <c r="P88" i="5"/>
  <c r="S88" i="5" s="1"/>
  <c r="P87" i="5"/>
  <c r="S87" i="5" s="1"/>
  <c r="P86" i="5"/>
  <c r="S86" i="5" s="1"/>
  <c r="P85" i="5"/>
  <c r="S85" i="5" s="1"/>
  <c r="P84" i="5"/>
  <c r="S84" i="5" s="1"/>
  <c r="P83" i="5"/>
  <c r="S83" i="5" s="1"/>
  <c r="P82" i="5"/>
  <c r="S82" i="5" s="1"/>
  <c r="P81" i="5"/>
  <c r="S81" i="5" s="1"/>
  <c r="P80" i="5"/>
  <c r="S80" i="5" s="1"/>
  <c r="P79" i="5"/>
  <c r="S79" i="5" s="1"/>
  <c r="P78" i="5"/>
  <c r="S78" i="5" s="1"/>
  <c r="P77" i="5"/>
  <c r="S77" i="5" s="1"/>
  <c r="P76" i="5"/>
  <c r="S76" i="5" s="1"/>
  <c r="P75" i="5"/>
  <c r="S75" i="5" s="1"/>
  <c r="P74" i="5"/>
  <c r="S74" i="5" s="1"/>
  <c r="P73" i="5"/>
  <c r="S73" i="5" s="1"/>
  <c r="P72" i="5"/>
  <c r="S72" i="5" s="1"/>
  <c r="P71" i="5"/>
  <c r="S71" i="5" s="1"/>
  <c r="P70" i="5"/>
  <c r="S70" i="5" s="1"/>
  <c r="P69" i="5"/>
  <c r="S69" i="5" s="1"/>
  <c r="P68" i="5"/>
  <c r="S68" i="5" s="1"/>
  <c r="P67" i="5"/>
  <c r="S67" i="5" s="1"/>
  <c r="P66" i="5"/>
  <c r="S66" i="5" s="1"/>
  <c r="P65" i="5"/>
  <c r="S65" i="5" s="1"/>
  <c r="P64" i="5"/>
  <c r="S64" i="5" s="1"/>
  <c r="P63" i="5"/>
  <c r="S63" i="5" s="1"/>
  <c r="P62" i="5"/>
  <c r="S62" i="5" s="1"/>
  <c r="P61" i="5"/>
  <c r="S61" i="5" s="1"/>
  <c r="P60" i="5"/>
  <c r="S60" i="5" s="1"/>
  <c r="P59" i="5"/>
  <c r="S59" i="5" s="1"/>
  <c r="P58" i="5"/>
  <c r="S58" i="5" s="1"/>
  <c r="P57" i="5"/>
  <c r="S57" i="5" s="1"/>
  <c r="P56" i="5"/>
  <c r="S56" i="5" s="1"/>
  <c r="P55" i="5"/>
  <c r="S55" i="5" s="1"/>
  <c r="P54" i="5"/>
  <c r="S54" i="5" s="1"/>
  <c r="P53" i="5"/>
  <c r="S53" i="5" s="1"/>
  <c r="P52" i="5"/>
  <c r="S52" i="5" s="1"/>
  <c r="P51" i="5"/>
  <c r="S51" i="5" s="1"/>
  <c r="P50" i="5"/>
  <c r="S50" i="5" s="1"/>
  <c r="P49" i="5"/>
  <c r="S49" i="5" s="1"/>
  <c r="P48" i="5"/>
  <c r="S48" i="5" s="1"/>
  <c r="P47" i="5"/>
  <c r="S47" i="5" s="1"/>
  <c r="P46" i="5"/>
  <c r="S46" i="5" s="1"/>
  <c r="P45" i="5"/>
  <c r="S45" i="5" s="1"/>
  <c r="P44" i="5"/>
  <c r="S44" i="5" s="1"/>
  <c r="P43" i="5"/>
  <c r="S43" i="5" s="1"/>
  <c r="P42" i="5"/>
  <c r="S42" i="5" s="1"/>
  <c r="P41" i="5"/>
  <c r="S41" i="5" s="1"/>
  <c r="P40" i="5"/>
  <c r="S40" i="5" s="1"/>
  <c r="P39" i="5"/>
  <c r="S39" i="5" s="1"/>
  <c r="P38" i="5"/>
  <c r="S38" i="5" s="1"/>
  <c r="P37" i="5"/>
  <c r="S37" i="5" s="1"/>
  <c r="P36" i="5"/>
  <c r="S36" i="5" s="1"/>
  <c r="P35" i="5"/>
  <c r="S35" i="5" s="1"/>
  <c r="P34" i="5"/>
  <c r="S34" i="5" s="1"/>
  <c r="P33" i="5"/>
  <c r="S33" i="5" s="1"/>
  <c r="P32" i="5"/>
  <c r="S32" i="5" s="1"/>
  <c r="P31" i="5"/>
  <c r="S31" i="5" s="1"/>
  <c r="P30" i="5"/>
  <c r="S30" i="5" s="1"/>
  <c r="P29" i="5"/>
  <c r="S29" i="5" s="1"/>
  <c r="P28" i="5"/>
  <c r="S28" i="5" s="1"/>
  <c r="P27" i="5"/>
  <c r="S27" i="5" s="1"/>
  <c r="P26" i="5"/>
  <c r="S26" i="5" s="1"/>
  <c r="P25" i="5"/>
  <c r="S25" i="5" s="1"/>
  <c r="P24" i="5"/>
  <c r="S24" i="5" s="1"/>
  <c r="P23" i="5"/>
  <c r="S23" i="5" s="1"/>
  <c r="P22" i="5"/>
  <c r="S22" i="5" s="1"/>
  <c r="P21" i="5"/>
  <c r="S21" i="5" s="1"/>
  <c r="P20" i="5"/>
  <c r="S20" i="5" s="1"/>
  <c r="P19" i="5"/>
  <c r="S19" i="5" s="1"/>
  <c r="P18" i="5"/>
  <c r="S18" i="5" s="1"/>
  <c r="P17" i="5"/>
  <c r="S17" i="5" s="1"/>
  <c r="P16" i="5"/>
  <c r="S16" i="5" s="1"/>
  <c r="P15" i="5"/>
  <c r="S15" i="5" s="1"/>
  <c r="P14" i="5"/>
  <c r="S14" i="5" s="1"/>
  <c r="P13" i="5"/>
  <c r="S13" i="5" s="1"/>
  <c r="P12" i="5"/>
  <c r="S12" i="5" s="1"/>
  <c r="P11" i="5"/>
  <c r="S11" i="5" s="1"/>
  <c r="P10" i="5"/>
  <c r="S10" i="5" s="1"/>
  <c r="P9" i="5"/>
  <c r="S9" i="5" s="1"/>
  <c r="P8" i="5"/>
  <c r="S8" i="5" s="1"/>
  <c r="P7" i="5"/>
  <c r="S7" i="5" s="1"/>
  <c r="P6" i="5"/>
  <c r="S6" i="5" s="1"/>
  <c r="P5" i="5"/>
  <c r="S5" i="5" s="1"/>
  <c r="P4" i="5"/>
  <c r="S4" i="5" s="1"/>
  <c r="P3" i="5"/>
  <c r="S3" i="5" s="1"/>
  <c r="Q367" i="4"/>
  <c r="T367" i="4" s="1"/>
  <c r="Q366" i="4"/>
  <c r="T366" i="4" s="1"/>
  <c r="Q365" i="4"/>
  <c r="T365" i="4" s="1"/>
  <c r="Q364" i="4"/>
  <c r="T364" i="4" s="1"/>
  <c r="Q363" i="4"/>
  <c r="T363" i="4" s="1"/>
  <c r="Q362" i="4"/>
  <c r="T362" i="4" s="1"/>
  <c r="Q361" i="4"/>
  <c r="T361" i="4" s="1"/>
  <c r="Q360" i="4"/>
  <c r="T360" i="4" s="1"/>
  <c r="Q359" i="4"/>
  <c r="T359" i="4" s="1"/>
  <c r="Q358" i="4"/>
  <c r="T358" i="4" s="1"/>
  <c r="Q357" i="4"/>
  <c r="T357" i="4" s="1"/>
  <c r="Q356" i="4"/>
  <c r="T356" i="4" s="1"/>
  <c r="Q355" i="4"/>
  <c r="T355" i="4" s="1"/>
  <c r="Q354" i="4"/>
  <c r="T354" i="4" s="1"/>
  <c r="Q353" i="4"/>
  <c r="T353" i="4" s="1"/>
  <c r="Q352" i="4"/>
  <c r="T352" i="4" s="1"/>
  <c r="Q351" i="4"/>
  <c r="T351" i="4" s="1"/>
  <c r="Q350" i="4"/>
  <c r="T350" i="4" s="1"/>
  <c r="Q349" i="4"/>
  <c r="T349" i="4" s="1"/>
  <c r="Q348" i="4"/>
  <c r="T348" i="4" s="1"/>
  <c r="Q347" i="4"/>
  <c r="T347" i="4" s="1"/>
  <c r="Q346" i="4"/>
  <c r="T346" i="4" s="1"/>
  <c r="Q345" i="4"/>
  <c r="T345" i="4" s="1"/>
  <c r="Q344" i="4"/>
  <c r="T344" i="4" s="1"/>
  <c r="Q343" i="4"/>
  <c r="T343" i="4" s="1"/>
  <c r="Q342" i="4"/>
  <c r="T342" i="4" s="1"/>
  <c r="Q341" i="4"/>
  <c r="T341" i="4" s="1"/>
  <c r="Q340" i="4"/>
  <c r="T340" i="4" s="1"/>
  <c r="Q339" i="4"/>
  <c r="T339" i="4" s="1"/>
  <c r="Q338" i="4"/>
  <c r="T338" i="4" s="1"/>
  <c r="Q337" i="4"/>
  <c r="T337" i="4" s="1"/>
  <c r="Q336" i="4"/>
  <c r="T336" i="4" s="1"/>
  <c r="Q335" i="4"/>
  <c r="T335" i="4" s="1"/>
  <c r="Q334" i="4"/>
  <c r="T334" i="4" s="1"/>
  <c r="Q333" i="4"/>
  <c r="T333" i="4" s="1"/>
  <c r="Q332" i="4"/>
  <c r="T332" i="4" s="1"/>
  <c r="Q331" i="4"/>
  <c r="T331" i="4" s="1"/>
  <c r="Q330" i="4"/>
  <c r="T330" i="4" s="1"/>
  <c r="Q329" i="4"/>
  <c r="T329" i="4" s="1"/>
  <c r="Q328" i="4"/>
  <c r="T328" i="4" s="1"/>
  <c r="Q327" i="4"/>
  <c r="T327" i="4" s="1"/>
  <c r="Q326" i="4"/>
  <c r="T326" i="4" s="1"/>
  <c r="Q325" i="4"/>
  <c r="T325" i="4" s="1"/>
  <c r="Q324" i="4"/>
  <c r="T324" i="4" s="1"/>
  <c r="Q323" i="4"/>
  <c r="T323" i="4" s="1"/>
  <c r="Q322" i="4"/>
  <c r="T322" i="4" s="1"/>
  <c r="Q321" i="4"/>
  <c r="T321" i="4" s="1"/>
  <c r="Q320" i="4"/>
  <c r="T320" i="4" s="1"/>
  <c r="Q319" i="4"/>
  <c r="T319" i="4" s="1"/>
  <c r="Q318" i="4"/>
  <c r="T318" i="4" s="1"/>
  <c r="Q317" i="4"/>
  <c r="T317" i="4" s="1"/>
  <c r="Q316" i="4"/>
  <c r="T316" i="4" s="1"/>
  <c r="Q315" i="4"/>
  <c r="T315" i="4" s="1"/>
  <c r="Q314" i="4"/>
  <c r="T314" i="4" s="1"/>
  <c r="Q313" i="4"/>
  <c r="T313" i="4" s="1"/>
  <c r="Q312" i="4"/>
  <c r="T312" i="4" s="1"/>
  <c r="Q311" i="4"/>
  <c r="T311" i="4" s="1"/>
  <c r="Q310" i="4"/>
  <c r="T310" i="4" s="1"/>
  <c r="Q309" i="4"/>
  <c r="T309" i="4" s="1"/>
  <c r="Q308" i="4"/>
  <c r="T308" i="4" s="1"/>
  <c r="Q307" i="4"/>
  <c r="T307" i="4" s="1"/>
  <c r="Q306" i="4"/>
  <c r="T306" i="4" s="1"/>
  <c r="Q305" i="4"/>
  <c r="T305" i="4" s="1"/>
  <c r="Q304" i="4"/>
  <c r="T304" i="4" s="1"/>
  <c r="Q303" i="4"/>
  <c r="T303" i="4" s="1"/>
  <c r="Q302" i="4"/>
  <c r="T302" i="4" s="1"/>
  <c r="Q301" i="4"/>
  <c r="T301" i="4" s="1"/>
  <c r="Q300" i="4"/>
  <c r="T300" i="4" s="1"/>
  <c r="Q299" i="4"/>
  <c r="T299" i="4" s="1"/>
  <c r="Q298" i="4"/>
  <c r="T298" i="4" s="1"/>
  <c r="Q297" i="4"/>
  <c r="T297" i="4" s="1"/>
  <c r="Q296" i="4"/>
  <c r="T296" i="4" s="1"/>
  <c r="Q295" i="4"/>
  <c r="T295" i="4" s="1"/>
  <c r="Q294" i="4"/>
  <c r="T294" i="4" s="1"/>
  <c r="Q293" i="4"/>
  <c r="T293" i="4" s="1"/>
  <c r="Q292" i="4"/>
  <c r="T292" i="4" s="1"/>
  <c r="Q291" i="4"/>
  <c r="T291" i="4" s="1"/>
  <c r="Q290" i="4"/>
  <c r="T290" i="4" s="1"/>
  <c r="Q289" i="4"/>
  <c r="T289" i="4" s="1"/>
  <c r="Q288" i="4"/>
  <c r="T288" i="4" s="1"/>
  <c r="Q287" i="4"/>
  <c r="T287" i="4" s="1"/>
  <c r="Q286" i="4"/>
  <c r="T286" i="4" s="1"/>
  <c r="Q285" i="4"/>
  <c r="T285" i="4" s="1"/>
  <c r="Q284" i="4"/>
  <c r="T284" i="4" s="1"/>
  <c r="Q283" i="4"/>
  <c r="T283" i="4" s="1"/>
  <c r="Q282" i="4"/>
  <c r="T282" i="4" s="1"/>
  <c r="Q281" i="4"/>
  <c r="T281" i="4" s="1"/>
  <c r="Q280" i="4"/>
  <c r="T280" i="4" s="1"/>
  <c r="Q279" i="4"/>
  <c r="T279" i="4" s="1"/>
  <c r="Q278" i="4"/>
  <c r="T278" i="4" s="1"/>
  <c r="Q277" i="4"/>
  <c r="T277" i="4" s="1"/>
  <c r="Q276" i="4"/>
  <c r="T276" i="4" s="1"/>
  <c r="Q275" i="4"/>
  <c r="T275" i="4" s="1"/>
  <c r="Q274" i="4"/>
  <c r="T274" i="4" s="1"/>
  <c r="Q273" i="4"/>
  <c r="T273" i="4" s="1"/>
  <c r="Q272" i="4"/>
  <c r="T272" i="4" s="1"/>
  <c r="Q271" i="4"/>
  <c r="T271" i="4" s="1"/>
  <c r="Q270" i="4"/>
  <c r="T270" i="4" s="1"/>
  <c r="Q269" i="4"/>
  <c r="T269" i="4" s="1"/>
  <c r="Q268" i="4"/>
  <c r="T268" i="4" s="1"/>
  <c r="Q267" i="4"/>
  <c r="T267" i="4" s="1"/>
  <c r="Q266" i="4"/>
  <c r="T266" i="4" s="1"/>
  <c r="Q265" i="4"/>
  <c r="T265" i="4" s="1"/>
  <c r="Q264" i="4"/>
  <c r="T264" i="4" s="1"/>
  <c r="Q263" i="4"/>
  <c r="T263" i="4" s="1"/>
  <c r="Q262" i="4"/>
  <c r="T262" i="4" s="1"/>
  <c r="Q261" i="4"/>
  <c r="T261" i="4" s="1"/>
  <c r="Q260" i="4"/>
  <c r="T260" i="4" s="1"/>
  <c r="Q259" i="4"/>
  <c r="T259" i="4" s="1"/>
  <c r="Q258" i="4"/>
  <c r="T258" i="4" s="1"/>
  <c r="Q257" i="4"/>
  <c r="T257" i="4" s="1"/>
  <c r="Q256" i="4"/>
  <c r="T256" i="4" s="1"/>
  <c r="Q255" i="4"/>
  <c r="T255" i="4" s="1"/>
  <c r="Q254" i="4"/>
  <c r="T254" i="4" s="1"/>
  <c r="Q253" i="4"/>
  <c r="T253" i="4" s="1"/>
  <c r="Q252" i="4"/>
  <c r="T252" i="4" s="1"/>
  <c r="Q251" i="4"/>
  <c r="T251" i="4" s="1"/>
  <c r="Q250" i="4"/>
  <c r="T250" i="4" s="1"/>
  <c r="Q249" i="4"/>
  <c r="T249" i="4" s="1"/>
  <c r="Q248" i="4"/>
  <c r="T248" i="4" s="1"/>
  <c r="Q247" i="4"/>
  <c r="T247" i="4" s="1"/>
  <c r="Q246" i="4"/>
  <c r="T246" i="4" s="1"/>
  <c r="Q245" i="4"/>
  <c r="T245" i="4" s="1"/>
  <c r="Q244" i="4"/>
  <c r="T244" i="4" s="1"/>
  <c r="Q243" i="4"/>
  <c r="T243" i="4" s="1"/>
  <c r="Q242" i="4"/>
  <c r="T242" i="4" s="1"/>
  <c r="Q241" i="4"/>
  <c r="T241" i="4" s="1"/>
  <c r="Q240" i="4"/>
  <c r="T240" i="4" s="1"/>
  <c r="Q239" i="4"/>
  <c r="T239" i="4" s="1"/>
  <c r="Q238" i="4"/>
  <c r="T238" i="4" s="1"/>
  <c r="Q237" i="4"/>
  <c r="T237" i="4" s="1"/>
  <c r="Q236" i="4"/>
  <c r="T236" i="4" s="1"/>
  <c r="Q235" i="4"/>
  <c r="T235" i="4" s="1"/>
  <c r="Q234" i="4"/>
  <c r="T234" i="4" s="1"/>
  <c r="Q233" i="4"/>
  <c r="T233" i="4" s="1"/>
  <c r="Q232" i="4"/>
  <c r="T232" i="4" s="1"/>
  <c r="Q231" i="4"/>
  <c r="T231" i="4" s="1"/>
  <c r="Q230" i="4"/>
  <c r="T230" i="4" s="1"/>
  <c r="Q229" i="4"/>
  <c r="T229" i="4" s="1"/>
  <c r="Q228" i="4"/>
  <c r="T228" i="4" s="1"/>
  <c r="Q227" i="4"/>
  <c r="T227" i="4" s="1"/>
  <c r="Q226" i="4"/>
  <c r="T226" i="4" s="1"/>
  <c r="Q225" i="4"/>
  <c r="T225" i="4" s="1"/>
  <c r="Q224" i="4"/>
  <c r="T224" i="4" s="1"/>
  <c r="Q223" i="4"/>
  <c r="T223" i="4" s="1"/>
  <c r="Q222" i="4"/>
  <c r="T222" i="4" s="1"/>
  <c r="Q221" i="4"/>
  <c r="T221" i="4" s="1"/>
  <c r="Q220" i="4"/>
  <c r="T220" i="4" s="1"/>
  <c r="Q219" i="4"/>
  <c r="T219" i="4" s="1"/>
  <c r="Q218" i="4"/>
  <c r="T218" i="4" s="1"/>
  <c r="Q217" i="4"/>
  <c r="T217" i="4" s="1"/>
  <c r="Q216" i="4"/>
  <c r="T216" i="4" s="1"/>
  <c r="Q215" i="4"/>
  <c r="T215" i="4" s="1"/>
  <c r="Q214" i="4"/>
  <c r="T214" i="4" s="1"/>
  <c r="Q213" i="4"/>
  <c r="T213" i="4" s="1"/>
  <c r="Q212" i="4"/>
  <c r="T212" i="4" s="1"/>
  <c r="Q211" i="4"/>
  <c r="T211" i="4" s="1"/>
  <c r="Q210" i="4"/>
  <c r="T210" i="4" s="1"/>
  <c r="Q209" i="4"/>
  <c r="T209" i="4" s="1"/>
  <c r="Q208" i="4"/>
  <c r="T208" i="4" s="1"/>
  <c r="Q207" i="4"/>
  <c r="T207" i="4" s="1"/>
  <c r="Q206" i="4"/>
  <c r="T206" i="4" s="1"/>
  <c r="Q205" i="4"/>
  <c r="T205" i="4" s="1"/>
  <c r="Q204" i="4"/>
  <c r="T204" i="4" s="1"/>
  <c r="Q203" i="4"/>
  <c r="T203" i="4" s="1"/>
  <c r="Q202" i="4"/>
  <c r="T202" i="4" s="1"/>
  <c r="Q201" i="4"/>
  <c r="T201" i="4" s="1"/>
  <c r="Q200" i="4"/>
  <c r="T200" i="4" s="1"/>
  <c r="Q199" i="4"/>
  <c r="T199" i="4" s="1"/>
  <c r="Q198" i="4"/>
  <c r="T198" i="4" s="1"/>
  <c r="Q197" i="4"/>
  <c r="T197" i="4" s="1"/>
  <c r="Q196" i="4"/>
  <c r="T196" i="4" s="1"/>
  <c r="Q195" i="4"/>
  <c r="T195" i="4" s="1"/>
  <c r="Q194" i="4"/>
  <c r="T194" i="4" s="1"/>
  <c r="Q193" i="4"/>
  <c r="T193" i="4" s="1"/>
  <c r="Q192" i="4"/>
  <c r="T192" i="4" s="1"/>
  <c r="Q191" i="4"/>
  <c r="T191" i="4" s="1"/>
  <c r="Q190" i="4"/>
  <c r="T190" i="4" s="1"/>
  <c r="Q189" i="4"/>
  <c r="T189" i="4" s="1"/>
  <c r="Q188" i="4"/>
  <c r="T188" i="4" s="1"/>
  <c r="Q187" i="4"/>
  <c r="T187" i="4" s="1"/>
  <c r="Q186" i="4"/>
  <c r="T186" i="4" s="1"/>
  <c r="Q185" i="4"/>
  <c r="T185" i="4" s="1"/>
  <c r="Q184" i="4"/>
  <c r="T184" i="4" s="1"/>
  <c r="Q183" i="4"/>
  <c r="T183" i="4" s="1"/>
  <c r="Q182" i="4"/>
  <c r="T182" i="4" s="1"/>
  <c r="Q181" i="4"/>
  <c r="T181" i="4" s="1"/>
  <c r="Q180" i="4"/>
  <c r="T180" i="4" s="1"/>
  <c r="Q179" i="4"/>
  <c r="T179" i="4" s="1"/>
  <c r="Q178" i="4"/>
  <c r="T178" i="4" s="1"/>
  <c r="Q177" i="4"/>
  <c r="T177" i="4" s="1"/>
  <c r="Q176" i="4"/>
  <c r="T176" i="4" s="1"/>
  <c r="Q175" i="4"/>
  <c r="T175" i="4" s="1"/>
  <c r="Q174" i="4"/>
  <c r="T174" i="4" s="1"/>
  <c r="Q173" i="4"/>
  <c r="T173" i="4" s="1"/>
  <c r="Q172" i="4"/>
  <c r="T172" i="4" s="1"/>
  <c r="Q171" i="4"/>
  <c r="T171" i="4" s="1"/>
  <c r="Q170" i="4"/>
  <c r="T170" i="4" s="1"/>
  <c r="Q169" i="4"/>
  <c r="T169" i="4" s="1"/>
  <c r="Q168" i="4"/>
  <c r="T168" i="4" s="1"/>
  <c r="Q167" i="4"/>
  <c r="T167" i="4" s="1"/>
  <c r="Q166" i="4"/>
  <c r="T166" i="4" s="1"/>
  <c r="Q165" i="4"/>
  <c r="T165" i="4" s="1"/>
  <c r="Q164" i="4"/>
  <c r="T164" i="4" s="1"/>
  <c r="Q163" i="4"/>
  <c r="T163" i="4" s="1"/>
  <c r="Q162" i="4"/>
  <c r="T162" i="4" s="1"/>
  <c r="Q161" i="4"/>
  <c r="T161" i="4" s="1"/>
  <c r="Q160" i="4"/>
  <c r="T160" i="4" s="1"/>
  <c r="Q159" i="4"/>
  <c r="T159" i="4" s="1"/>
  <c r="Q158" i="4"/>
  <c r="T158" i="4" s="1"/>
  <c r="Q157" i="4"/>
  <c r="T157" i="4" s="1"/>
  <c r="Q156" i="4"/>
  <c r="T156" i="4" s="1"/>
  <c r="Q155" i="4"/>
  <c r="T155" i="4" s="1"/>
  <c r="Q154" i="4"/>
  <c r="T154" i="4" s="1"/>
  <c r="Q153" i="4"/>
  <c r="T153" i="4" s="1"/>
  <c r="Q152" i="4"/>
  <c r="T152" i="4" s="1"/>
  <c r="Q151" i="4"/>
  <c r="T151" i="4" s="1"/>
  <c r="Q150" i="4"/>
  <c r="T150" i="4" s="1"/>
  <c r="Q149" i="4"/>
  <c r="T149" i="4" s="1"/>
  <c r="Q148" i="4"/>
  <c r="T148" i="4" s="1"/>
  <c r="Q147" i="4"/>
  <c r="T147" i="4" s="1"/>
  <c r="Q146" i="4"/>
  <c r="T146" i="4" s="1"/>
  <c r="Q145" i="4"/>
  <c r="T145" i="4" s="1"/>
  <c r="Q144" i="4"/>
  <c r="T144" i="4" s="1"/>
  <c r="Q143" i="4"/>
  <c r="T143" i="4" s="1"/>
  <c r="Q142" i="4"/>
  <c r="T142" i="4" s="1"/>
  <c r="Q141" i="4"/>
  <c r="T141" i="4" s="1"/>
  <c r="Q140" i="4"/>
  <c r="T140" i="4" s="1"/>
  <c r="Q139" i="4"/>
  <c r="T139" i="4" s="1"/>
  <c r="Q138" i="4"/>
  <c r="T138" i="4" s="1"/>
  <c r="Q137" i="4"/>
  <c r="T137" i="4" s="1"/>
  <c r="Q136" i="4"/>
  <c r="T136" i="4" s="1"/>
  <c r="Q135" i="4"/>
  <c r="T135" i="4" s="1"/>
  <c r="Q134" i="4"/>
  <c r="T134" i="4" s="1"/>
  <c r="Q133" i="4"/>
  <c r="T133" i="4" s="1"/>
  <c r="Q132" i="4"/>
  <c r="T132" i="4" s="1"/>
  <c r="Q131" i="4"/>
  <c r="T131" i="4" s="1"/>
  <c r="Q130" i="4"/>
  <c r="T130" i="4" s="1"/>
  <c r="Q129" i="4"/>
  <c r="T129" i="4" s="1"/>
  <c r="Q128" i="4"/>
  <c r="T128" i="4" s="1"/>
  <c r="Q127" i="4"/>
  <c r="T127" i="4" s="1"/>
  <c r="Q126" i="4"/>
  <c r="T126" i="4" s="1"/>
  <c r="Q125" i="4"/>
  <c r="T125" i="4" s="1"/>
  <c r="Q124" i="4"/>
  <c r="T124" i="4" s="1"/>
  <c r="Q123" i="4"/>
  <c r="T123" i="4" s="1"/>
  <c r="Q122" i="4"/>
  <c r="T122" i="4" s="1"/>
  <c r="Q121" i="4"/>
  <c r="T121" i="4" s="1"/>
  <c r="Q120" i="4"/>
  <c r="T120" i="4" s="1"/>
  <c r="Q119" i="4"/>
  <c r="T119" i="4" s="1"/>
  <c r="Q118" i="4"/>
  <c r="T118" i="4" s="1"/>
  <c r="Q117" i="4"/>
  <c r="T117" i="4" s="1"/>
  <c r="Q116" i="4"/>
  <c r="T116" i="4" s="1"/>
  <c r="Q115" i="4"/>
  <c r="T115" i="4" s="1"/>
  <c r="Q114" i="4"/>
  <c r="T114" i="4" s="1"/>
  <c r="Q113" i="4"/>
  <c r="T113" i="4" s="1"/>
  <c r="Q112" i="4"/>
  <c r="T112" i="4" s="1"/>
  <c r="Q111" i="4"/>
  <c r="T111" i="4" s="1"/>
  <c r="Q110" i="4"/>
  <c r="T110" i="4" s="1"/>
  <c r="Q109" i="4"/>
  <c r="T109" i="4" s="1"/>
  <c r="Q108" i="4"/>
  <c r="T108" i="4" s="1"/>
  <c r="Q107" i="4"/>
  <c r="T107" i="4" s="1"/>
  <c r="Q106" i="4"/>
  <c r="T106" i="4" s="1"/>
  <c r="Q105" i="4"/>
  <c r="T105" i="4" s="1"/>
  <c r="Q104" i="4"/>
  <c r="T104" i="4" s="1"/>
  <c r="Q103" i="4"/>
  <c r="T103" i="4" s="1"/>
  <c r="Q102" i="4"/>
  <c r="T102" i="4" s="1"/>
  <c r="Q101" i="4"/>
  <c r="T101" i="4" s="1"/>
  <c r="Q100" i="4"/>
  <c r="T100" i="4" s="1"/>
  <c r="Q99" i="4"/>
  <c r="T99" i="4" s="1"/>
  <c r="Q98" i="4"/>
  <c r="T98" i="4" s="1"/>
  <c r="Q97" i="4"/>
  <c r="T97" i="4" s="1"/>
  <c r="Q96" i="4"/>
  <c r="T96" i="4" s="1"/>
  <c r="Q95" i="4"/>
  <c r="T95" i="4" s="1"/>
  <c r="Q94" i="4"/>
  <c r="T94" i="4" s="1"/>
  <c r="Q93" i="4"/>
  <c r="T93" i="4" s="1"/>
  <c r="Q92" i="4"/>
  <c r="T92" i="4" s="1"/>
  <c r="Q91" i="4"/>
  <c r="T91" i="4" s="1"/>
  <c r="Q90" i="4"/>
  <c r="T90" i="4" s="1"/>
  <c r="Q89" i="4"/>
  <c r="T89" i="4" s="1"/>
  <c r="Q88" i="4"/>
  <c r="T88" i="4" s="1"/>
  <c r="Q87" i="4"/>
  <c r="T87" i="4" s="1"/>
  <c r="Q86" i="4"/>
  <c r="T86" i="4" s="1"/>
  <c r="Q85" i="4"/>
  <c r="T85" i="4" s="1"/>
  <c r="Q84" i="4"/>
  <c r="T84" i="4" s="1"/>
  <c r="Q83" i="4"/>
  <c r="T83" i="4" s="1"/>
  <c r="Q82" i="4"/>
  <c r="T82" i="4" s="1"/>
  <c r="Q81" i="4"/>
  <c r="T81" i="4" s="1"/>
  <c r="Q80" i="4"/>
  <c r="T80" i="4" s="1"/>
  <c r="Q79" i="4"/>
  <c r="T79" i="4" s="1"/>
  <c r="Q78" i="4"/>
  <c r="T78" i="4" s="1"/>
  <c r="Q77" i="4"/>
  <c r="T77" i="4" s="1"/>
  <c r="Q76" i="4"/>
  <c r="T76" i="4" s="1"/>
  <c r="Q75" i="4"/>
  <c r="T75" i="4" s="1"/>
  <c r="Q74" i="4"/>
  <c r="T74" i="4" s="1"/>
  <c r="Q73" i="4"/>
  <c r="T73" i="4" s="1"/>
  <c r="Q72" i="4"/>
  <c r="T72" i="4" s="1"/>
  <c r="Q71" i="4"/>
  <c r="T71" i="4" s="1"/>
  <c r="Q70" i="4"/>
  <c r="T70" i="4" s="1"/>
  <c r="Q69" i="4"/>
  <c r="T69" i="4" s="1"/>
  <c r="Q68" i="4"/>
  <c r="T68" i="4" s="1"/>
  <c r="Q67" i="4"/>
  <c r="T67" i="4" s="1"/>
  <c r="Q66" i="4"/>
  <c r="T66" i="4" s="1"/>
  <c r="Q65" i="4"/>
  <c r="T65" i="4" s="1"/>
  <c r="Q64" i="4"/>
  <c r="T64" i="4" s="1"/>
  <c r="Q63" i="4"/>
  <c r="T63" i="4" s="1"/>
  <c r="Q62" i="4"/>
  <c r="T62" i="4" s="1"/>
  <c r="Q61" i="4"/>
  <c r="T61" i="4" s="1"/>
  <c r="Q60" i="4"/>
  <c r="T60" i="4" s="1"/>
  <c r="Q59" i="4"/>
  <c r="T59" i="4" s="1"/>
  <c r="Q58" i="4"/>
  <c r="T58" i="4" s="1"/>
  <c r="Q57" i="4"/>
  <c r="T57" i="4" s="1"/>
  <c r="Q56" i="4"/>
  <c r="T56" i="4" s="1"/>
  <c r="Q55" i="4"/>
  <c r="T55" i="4" s="1"/>
  <c r="Q54" i="4"/>
  <c r="T54" i="4" s="1"/>
  <c r="Q53" i="4"/>
  <c r="T53" i="4" s="1"/>
  <c r="Q52" i="4"/>
  <c r="T52" i="4" s="1"/>
  <c r="Q51" i="4"/>
  <c r="T51" i="4" s="1"/>
  <c r="Q50" i="4"/>
  <c r="T50" i="4" s="1"/>
  <c r="Q49" i="4"/>
  <c r="T49" i="4" s="1"/>
  <c r="Q48" i="4"/>
  <c r="T48" i="4" s="1"/>
  <c r="Q47" i="4"/>
  <c r="T47" i="4" s="1"/>
  <c r="Q46" i="4"/>
  <c r="T46" i="4" s="1"/>
  <c r="Q45" i="4"/>
  <c r="T45" i="4" s="1"/>
  <c r="Q44" i="4"/>
  <c r="T44" i="4" s="1"/>
  <c r="Q43" i="4"/>
  <c r="T43" i="4" s="1"/>
  <c r="Q42" i="4"/>
  <c r="T42" i="4" s="1"/>
  <c r="Q41" i="4"/>
  <c r="T41" i="4" s="1"/>
  <c r="Q40" i="4"/>
  <c r="T40" i="4" s="1"/>
  <c r="Q39" i="4"/>
  <c r="T39" i="4" s="1"/>
  <c r="Q38" i="4"/>
  <c r="T38" i="4" s="1"/>
  <c r="Q37" i="4"/>
  <c r="T37" i="4" s="1"/>
  <c r="Q36" i="4"/>
  <c r="T36" i="4" s="1"/>
  <c r="Q35" i="4"/>
  <c r="T35" i="4" s="1"/>
  <c r="Q34" i="4"/>
  <c r="T34" i="4" s="1"/>
  <c r="Q33" i="4"/>
  <c r="T33" i="4" s="1"/>
  <c r="Q32" i="4"/>
  <c r="T32" i="4" s="1"/>
  <c r="Q31" i="4"/>
  <c r="T31" i="4" s="1"/>
  <c r="Q30" i="4"/>
  <c r="T30" i="4" s="1"/>
  <c r="Q29" i="4"/>
  <c r="T29" i="4" s="1"/>
  <c r="Q28" i="4"/>
  <c r="T28" i="4" s="1"/>
  <c r="Q27" i="4"/>
  <c r="T27" i="4" s="1"/>
  <c r="Q26" i="4"/>
  <c r="T26" i="4" s="1"/>
  <c r="Q25" i="4"/>
  <c r="T25" i="4" s="1"/>
  <c r="Q24" i="4"/>
  <c r="T24" i="4" s="1"/>
  <c r="Q23" i="4"/>
  <c r="T23" i="4" s="1"/>
  <c r="Q22" i="4"/>
  <c r="T22" i="4" s="1"/>
  <c r="Q21" i="4"/>
  <c r="T21" i="4" s="1"/>
  <c r="Q20" i="4"/>
  <c r="T20" i="4" s="1"/>
  <c r="Q19" i="4"/>
  <c r="T19" i="4" s="1"/>
  <c r="Q18" i="4"/>
  <c r="T18" i="4" s="1"/>
  <c r="Q17" i="4"/>
  <c r="T17" i="4" s="1"/>
  <c r="Q16" i="4"/>
  <c r="T16" i="4" s="1"/>
  <c r="Q15" i="4"/>
  <c r="T15" i="4" s="1"/>
  <c r="Q14" i="4"/>
  <c r="T14" i="4" s="1"/>
  <c r="Q13" i="4"/>
  <c r="T13" i="4" s="1"/>
  <c r="Q12" i="4"/>
  <c r="T12" i="4" s="1"/>
  <c r="Q11" i="4"/>
  <c r="T11" i="4" s="1"/>
  <c r="Q10" i="4"/>
  <c r="T10" i="4" s="1"/>
  <c r="Q9" i="4"/>
  <c r="T9" i="4" s="1"/>
  <c r="Q8" i="4"/>
  <c r="T8" i="4" s="1"/>
  <c r="Q7" i="4"/>
  <c r="T7" i="4" s="1"/>
  <c r="Q6" i="4"/>
  <c r="T6" i="4" s="1"/>
  <c r="Q5" i="4"/>
  <c r="T5" i="4" s="1"/>
  <c r="Q4" i="4"/>
  <c r="T4" i="4" s="1"/>
  <c r="Q3" i="4"/>
  <c r="T3" i="4" s="1"/>
  <c r="R366" i="3"/>
  <c r="U366" i="3" s="1"/>
  <c r="R365" i="3"/>
  <c r="U365" i="3" s="1"/>
  <c r="R364" i="3"/>
  <c r="U364" i="3" s="1"/>
  <c r="R363" i="3"/>
  <c r="U363" i="3" s="1"/>
  <c r="R362" i="3"/>
  <c r="U362" i="3" s="1"/>
  <c r="R361" i="3"/>
  <c r="U361" i="3" s="1"/>
  <c r="R360" i="3"/>
  <c r="U360" i="3" s="1"/>
  <c r="R359" i="3"/>
  <c r="U359" i="3" s="1"/>
  <c r="R358" i="3"/>
  <c r="U358" i="3" s="1"/>
  <c r="R357" i="3"/>
  <c r="U357" i="3" s="1"/>
  <c r="R356" i="3"/>
  <c r="U356" i="3" s="1"/>
  <c r="R355" i="3"/>
  <c r="U355" i="3" s="1"/>
  <c r="R354" i="3"/>
  <c r="U354" i="3" s="1"/>
  <c r="R353" i="3"/>
  <c r="U353" i="3" s="1"/>
  <c r="R352" i="3"/>
  <c r="U352" i="3" s="1"/>
  <c r="R351" i="3"/>
  <c r="U351" i="3" s="1"/>
  <c r="R350" i="3"/>
  <c r="U350" i="3" s="1"/>
  <c r="R349" i="3"/>
  <c r="U349" i="3" s="1"/>
  <c r="R348" i="3"/>
  <c r="U348" i="3" s="1"/>
  <c r="R347" i="3"/>
  <c r="U347" i="3" s="1"/>
  <c r="R346" i="3"/>
  <c r="U346" i="3" s="1"/>
  <c r="R345" i="3"/>
  <c r="U345" i="3" s="1"/>
  <c r="R344" i="3"/>
  <c r="U344" i="3" s="1"/>
  <c r="R343" i="3"/>
  <c r="U343" i="3" s="1"/>
  <c r="R342" i="3"/>
  <c r="U342" i="3" s="1"/>
  <c r="R341" i="3"/>
  <c r="U341" i="3" s="1"/>
  <c r="R340" i="3"/>
  <c r="U340" i="3" s="1"/>
  <c r="R339" i="3"/>
  <c r="U339" i="3" s="1"/>
  <c r="R338" i="3"/>
  <c r="U338" i="3" s="1"/>
  <c r="R337" i="3"/>
  <c r="U337" i="3" s="1"/>
  <c r="R336" i="3"/>
  <c r="U336" i="3" s="1"/>
  <c r="R335" i="3"/>
  <c r="U335" i="3" s="1"/>
  <c r="R334" i="3"/>
  <c r="U334" i="3" s="1"/>
  <c r="R333" i="3"/>
  <c r="U333" i="3" s="1"/>
  <c r="R332" i="3"/>
  <c r="U332" i="3" s="1"/>
  <c r="R331" i="3"/>
  <c r="U331" i="3" s="1"/>
  <c r="R330" i="3"/>
  <c r="U330" i="3" s="1"/>
  <c r="R329" i="3"/>
  <c r="U329" i="3" s="1"/>
  <c r="R328" i="3"/>
  <c r="U328" i="3" s="1"/>
  <c r="R327" i="3"/>
  <c r="U327" i="3" s="1"/>
  <c r="R326" i="3"/>
  <c r="U326" i="3" s="1"/>
  <c r="R325" i="3"/>
  <c r="U325" i="3" s="1"/>
  <c r="R324" i="3"/>
  <c r="U324" i="3" s="1"/>
  <c r="R323" i="3"/>
  <c r="U323" i="3" s="1"/>
  <c r="R322" i="3"/>
  <c r="U322" i="3" s="1"/>
  <c r="R321" i="3"/>
  <c r="U321" i="3" s="1"/>
  <c r="R320" i="3"/>
  <c r="U320" i="3" s="1"/>
  <c r="R319" i="3"/>
  <c r="U319" i="3" s="1"/>
  <c r="R318" i="3"/>
  <c r="U318" i="3" s="1"/>
  <c r="R317" i="3"/>
  <c r="U317" i="3" s="1"/>
  <c r="R316" i="3"/>
  <c r="U316" i="3" s="1"/>
  <c r="R315" i="3"/>
  <c r="U315" i="3" s="1"/>
  <c r="R314" i="3"/>
  <c r="U314" i="3" s="1"/>
  <c r="R313" i="3"/>
  <c r="U313" i="3" s="1"/>
  <c r="R312" i="3"/>
  <c r="U312" i="3" s="1"/>
  <c r="R311" i="3"/>
  <c r="U311" i="3" s="1"/>
  <c r="R310" i="3"/>
  <c r="U310" i="3" s="1"/>
  <c r="R309" i="3"/>
  <c r="U309" i="3" s="1"/>
  <c r="R308" i="3"/>
  <c r="U308" i="3" s="1"/>
  <c r="R307" i="3"/>
  <c r="U307" i="3" s="1"/>
  <c r="R306" i="3"/>
  <c r="U306" i="3" s="1"/>
  <c r="R305" i="3"/>
  <c r="U305" i="3" s="1"/>
  <c r="R304" i="3"/>
  <c r="U304" i="3" s="1"/>
  <c r="R303" i="3"/>
  <c r="U303" i="3" s="1"/>
  <c r="R302" i="3"/>
  <c r="U302" i="3" s="1"/>
  <c r="R301" i="3"/>
  <c r="U301" i="3" s="1"/>
  <c r="R300" i="3"/>
  <c r="U300" i="3" s="1"/>
  <c r="R299" i="3"/>
  <c r="U299" i="3" s="1"/>
  <c r="R298" i="3"/>
  <c r="U298" i="3" s="1"/>
  <c r="R297" i="3"/>
  <c r="U297" i="3" s="1"/>
  <c r="R296" i="3"/>
  <c r="U296" i="3" s="1"/>
  <c r="R295" i="3"/>
  <c r="U295" i="3" s="1"/>
  <c r="R294" i="3"/>
  <c r="U294" i="3" s="1"/>
  <c r="R293" i="3"/>
  <c r="U293" i="3" s="1"/>
  <c r="R292" i="3"/>
  <c r="U292" i="3" s="1"/>
  <c r="R291" i="3"/>
  <c r="U291" i="3" s="1"/>
  <c r="R290" i="3"/>
  <c r="U290" i="3" s="1"/>
  <c r="R289" i="3"/>
  <c r="U289" i="3" s="1"/>
  <c r="R288" i="3"/>
  <c r="U288" i="3" s="1"/>
  <c r="R287" i="3"/>
  <c r="U287" i="3" s="1"/>
  <c r="R286" i="3"/>
  <c r="U286" i="3" s="1"/>
  <c r="R285" i="3"/>
  <c r="U285" i="3" s="1"/>
  <c r="R284" i="3"/>
  <c r="U284" i="3" s="1"/>
  <c r="R283" i="3"/>
  <c r="U283" i="3" s="1"/>
  <c r="R282" i="3"/>
  <c r="U282" i="3" s="1"/>
  <c r="R281" i="3"/>
  <c r="U281" i="3" s="1"/>
  <c r="R280" i="3"/>
  <c r="U280" i="3" s="1"/>
  <c r="R279" i="3"/>
  <c r="U279" i="3" s="1"/>
  <c r="R278" i="3"/>
  <c r="U278" i="3" s="1"/>
  <c r="R277" i="3"/>
  <c r="U277" i="3" s="1"/>
  <c r="R276" i="3"/>
  <c r="U276" i="3" s="1"/>
  <c r="R275" i="3"/>
  <c r="U275" i="3" s="1"/>
  <c r="R274" i="3"/>
  <c r="U274" i="3" s="1"/>
  <c r="R273" i="3"/>
  <c r="U273" i="3" s="1"/>
  <c r="R272" i="3"/>
  <c r="U272" i="3" s="1"/>
  <c r="R271" i="3"/>
  <c r="U271" i="3" s="1"/>
  <c r="R270" i="3"/>
  <c r="U270" i="3" s="1"/>
  <c r="R269" i="3"/>
  <c r="U269" i="3" s="1"/>
  <c r="R268" i="3"/>
  <c r="U268" i="3" s="1"/>
  <c r="R267" i="3"/>
  <c r="U267" i="3" s="1"/>
  <c r="R266" i="3"/>
  <c r="U266" i="3" s="1"/>
  <c r="R265" i="3"/>
  <c r="U265" i="3" s="1"/>
  <c r="R264" i="3"/>
  <c r="U264" i="3" s="1"/>
  <c r="R263" i="3"/>
  <c r="U263" i="3" s="1"/>
  <c r="R262" i="3"/>
  <c r="U262" i="3" s="1"/>
  <c r="R261" i="3"/>
  <c r="U261" i="3" s="1"/>
  <c r="R260" i="3"/>
  <c r="U260" i="3" s="1"/>
  <c r="R259" i="3"/>
  <c r="U259" i="3" s="1"/>
  <c r="R258" i="3"/>
  <c r="U258" i="3" s="1"/>
  <c r="R257" i="3"/>
  <c r="U257" i="3" s="1"/>
  <c r="R256" i="3"/>
  <c r="U256" i="3" s="1"/>
  <c r="R255" i="3"/>
  <c r="U255" i="3" s="1"/>
  <c r="R254" i="3"/>
  <c r="U254" i="3" s="1"/>
  <c r="R253" i="3"/>
  <c r="U253" i="3" s="1"/>
  <c r="R252" i="3"/>
  <c r="U252" i="3" s="1"/>
  <c r="R251" i="3"/>
  <c r="U251" i="3" s="1"/>
  <c r="R250" i="3"/>
  <c r="U250" i="3" s="1"/>
  <c r="R249" i="3"/>
  <c r="U249" i="3" s="1"/>
  <c r="R248" i="3"/>
  <c r="U248" i="3" s="1"/>
  <c r="R247" i="3"/>
  <c r="U247" i="3" s="1"/>
  <c r="R246" i="3"/>
  <c r="U246" i="3" s="1"/>
  <c r="R245" i="3"/>
  <c r="U245" i="3" s="1"/>
  <c r="R244" i="3"/>
  <c r="U244" i="3" s="1"/>
  <c r="R243" i="3"/>
  <c r="U243" i="3" s="1"/>
  <c r="R242" i="3"/>
  <c r="U242" i="3" s="1"/>
  <c r="R241" i="3"/>
  <c r="U241" i="3" s="1"/>
  <c r="R240" i="3"/>
  <c r="U240" i="3" s="1"/>
  <c r="R239" i="3"/>
  <c r="U239" i="3" s="1"/>
  <c r="R238" i="3"/>
  <c r="U238" i="3" s="1"/>
  <c r="R237" i="3"/>
  <c r="U237" i="3" s="1"/>
  <c r="R236" i="3"/>
  <c r="U236" i="3" s="1"/>
  <c r="R235" i="3"/>
  <c r="U235" i="3" s="1"/>
  <c r="R234" i="3"/>
  <c r="U234" i="3" s="1"/>
  <c r="R233" i="3"/>
  <c r="U233" i="3" s="1"/>
  <c r="R232" i="3"/>
  <c r="U232" i="3" s="1"/>
  <c r="R231" i="3"/>
  <c r="U231" i="3" s="1"/>
  <c r="R230" i="3"/>
  <c r="U230" i="3" s="1"/>
  <c r="R229" i="3"/>
  <c r="U229" i="3" s="1"/>
  <c r="R228" i="3"/>
  <c r="U228" i="3" s="1"/>
  <c r="R227" i="3"/>
  <c r="U227" i="3" s="1"/>
  <c r="R226" i="3"/>
  <c r="U226" i="3" s="1"/>
  <c r="R225" i="3"/>
  <c r="U225" i="3" s="1"/>
  <c r="R224" i="3"/>
  <c r="U224" i="3" s="1"/>
  <c r="R223" i="3"/>
  <c r="U223" i="3" s="1"/>
  <c r="R222" i="3"/>
  <c r="U222" i="3" s="1"/>
  <c r="R221" i="3"/>
  <c r="U221" i="3" s="1"/>
  <c r="R220" i="3"/>
  <c r="U220" i="3" s="1"/>
  <c r="R219" i="3"/>
  <c r="U219" i="3" s="1"/>
  <c r="R218" i="3"/>
  <c r="U218" i="3" s="1"/>
  <c r="R217" i="3"/>
  <c r="U217" i="3" s="1"/>
  <c r="R216" i="3"/>
  <c r="U216" i="3" s="1"/>
  <c r="R215" i="3"/>
  <c r="U215" i="3" s="1"/>
  <c r="R214" i="3"/>
  <c r="U214" i="3" s="1"/>
  <c r="R213" i="3"/>
  <c r="U213" i="3" s="1"/>
  <c r="R212" i="3"/>
  <c r="U212" i="3" s="1"/>
  <c r="R211" i="3"/>
  <c r="U211" i="3" s="1"/>
  <c r="R210" i="3"/>
  <c r="U210" i="3" s="1"/>
  <c r="R209" i="3"/>
  <c r="U209" i="3" s="1"/>
  <c r="R208" i="3"/>
  <c r="U208" i="3" s="1"/>
  <c r="R207" i="3"/>
  <c r="U207" i="3" s="1"/>
  <c r="R206" i="3"/>
  <c r="U206" i="3" s="1"/>
  <c r="R205" i="3"/>
  <c r="U205" i="3" s="1"/>
  <c r="R204" i="3"/>
  <c r="U204" i="3" s="1"/>
  <c r="R203" i="3"/>
  <c r="U203" i="3" s="1"/>
  <c r="R202" i="3"/>
  <c r="U202" i="3" s="1"/>
  <c r="R201" i="3"/>
  <c r="U201" i="3" s="1"/>
  <c r="R200" i="3"/>
  <c r="U200" i="3" s="1"/>
  <c r="R199" i="3"/>
  <c r="U199" i="3" s="1"/>
  <c r="R198" i="3"/>
  <c r="U198" i="3" s="1"/>
  <c r="R197" i="3"/>
  <c r="U197" i="3" s="1"/>
  <c r="R196" i="3"/>
  <c r="U196" i="3" s="1"/>
  <c r="R195" i="3"/>
  <c r="U195" i="3" s="1"/>
  <c r="R194" i="3"/>
  <c r="U194" i="3" s="1"/>
  <c r="R193" i="3"/>
  <c r="U193" i="3" s="1"/>
  <c r="R192" i="3"/>
  <c r="U192" i="3" s="1"/>
  <c r="R191" i="3"/>
  <c r="U191" i="3" s="1"/>
  <c r="R190" i="3"/>
  <c r="U190" i="3" s="1"/>
  <c r="R189" i="3"/>
  <c r="U189" i="3" s="1"/>
  <c r="R188" i="3"/>
  <c r="U188" i="3" s="1"/>
  <c r="R187" i="3"/>
  <c r="U187" i="3" s="1"/>
  <c r="R186" i="3"/>
  <c r="U186" i="3" s="1"/>
  <c r="R185" i="3"/>
  <c r="U185" i="3" s="1"/>
  <c r="R184" i="3"/>
  <c r="U184" i="3" s="1"/>
  <c r="R183" i="3"/>
  <c r="U183" i="3" s="1"/>
  <c r="R182" i="3"/>
  <c r="U182" i="3" s="1"/>
  <c r="R181" i="3"/>
  <c r="U181" i="3" s="1"/>
  <c r="R180" i="3"/>
  <c r="U180" i="3" s="1"/>
  <c r="R179" i="3"/>
  <c r="U179" i="3" s="1"/>
  <c r="R178" i="3"/>
  <c r="U178" i="3" s="1"/>
  <c r="R177" i="3"/>
  <c r="U177" i="3" s="1"/>
  <c r="R176" i="3"/>
  <c r="U176" i="3" s="1"/>
  <c r="R175" i="3"/>
  <c r="U175" i="3" s="1"/>
  <c r="R174" i="3"/>
  <c r="U174" i="3" s="1"/>
  <c r="R173" i="3"/>
  <c r="U173" i="3" s="1"/>
  <c r="R172" i="3"/>
  <c r="U172" i="3" s="1"/>
  <c r="R171" i="3"/>
  <c r="U171" i="3" s="1"/>
  <c r="R170" i="3"/>
  <c r="U170" i="3" s="1"/>
  <c r="R169" i="3"/>
  <c r="U169" i="3" s="1"/>
  <c r="R168" i="3"/>
  <c r="U168" i="3" s="1"/>
  <c r="R167" i="3"/>
  <c r="U167" i="3" s="1"/>
  <c r="R166" i="3"/>
  <c r="U166" i="3" s="1"/>
  <c r="R165" i="3"/>
  <c r="U165" i="3" s="1"/>
  <c r="R164" i="3"/>
  <c r="U164" i="3" s="1"/>
  <c r="R163" i="3"/>
  <c r="U163" i="3" s="1"/>
  <c r="R162" i="3"/>
  <c r="U162" i="3" s="1"/>
  <c r="R161" i="3"/>
  <c r="U161" i="3" s="1"/>
  <c r="R160" i="3"/>
  <c r="U160" i="3" s="1"/>
  <c r="R159" i="3"/>
  <c r="U159" i="3" s="1"/>
  <c r="R158" i="3"/>
  <c r="U158" i="3" s="1"/>
  <c r="R157" i="3"/>
  <c r="U157" i="3" s="1"/>
  <c r="R156" i="3"/>
  <c r="U156" i="3" s="1"/>
  <c r="R155" i="3"/>
  <c r="U155" i="3" s="1"/>
  <c r="R154" i="3"/>
  <c r="U154" i="3" s="1"/>
  <c r="R153" i="3"/>
  <c r="U153" i="3" s="1"/>
  <c r="R152" i="3"/>
  <c r="U152" i="3" s="1"/>
  <c r="R151" i="3"/>
  <c r="U151" i="3" s="1"/>
  <c r="R150" i="3"/>
  <c r="U150" i="3" s="1"/>
  <c r="R149" i="3"/>
  <c r="U149" i="3" s="1"/>
  <c r="R148" i="3"/>
  <c r="U148" i="3" s="1"/>
  <c r="R147" i="3"/>
  <c r="U147" i="3" s="1"/>
  <c r="R146" i="3"/>
  <c r="U146" i="3" s="1"/>
  <c r="R145" i="3"/>
  <c r="U145" i="3" s="1"/>
  <c r="R144" i="3"/>
  <c r="U144" i="3" s="1"/>
  <c r="R143" i="3"/>
  <c r="U143" i="3" s="1"/>
  <c r="R142" i="3"/>
  <c r="U142" i="3" s="1"/>
  <c r="R141" i="3"/>
  <c r="U141" i="3" s="1"/>
  <c r="R140" i="3"/>
  <c r="U140" i="3" s="1"/>
  <c r="R139" i="3"/>
  <c r="U139" i="3" s="1"/>
  <c r="R138" i="3"/>
  <c r="U138" i="3" s="1"/>
  <c r="R137" i="3"/>
  <c r="U137" i="3" s="1"/>
  <c r="R136" i="3"/>
  <c r="U136" i="3" s="1"/>
  <c r="R135" i="3"/>
  <c r="U135" i="3" s="1"/>
  <c r="R134" i="3"/>
  <c r="U134" i="3" s="1"/>
  <c r="R133" i="3"/>
  <c r="U133" i="3" s="1"/>
  <c r="R132" i="3"/>
  <c r="U132" i="3" s="1"/>
  <c r="R131" i="3"/>
  <c r="U131" i="3" s="1"/>
  <c r="R130" i="3"/>
  <c r="U130" i="3" s="1"/>
  <c r="R129" i="3"/>
  <c r="U129" i="3" s="1"/>
  <c r="R128" i="3"/>
  <c r="U128" i="3" s="1"/>
  <c r="R127" i="3"/>
  <c r="U127" i="3" s="1"/>
  <c r="R126" i="3"/>
  <c r="U126" i="3" s="1"/>
  <c r="R125" i="3"/>
  <c r="U125" i="3" s="1"/>
  <c r="R124" i="3"/>
  <c r="U124" i="3" s="1"/>
  <c r="R123" i="3"/>
  <c r="U123" i="3" s="1"/>
  <c r="R122" i="3"/>
  <c r="U122" i="3" s="1"/>
  <c r="R121" i="3"/>
  <c r="U121" i="3" s="1"/>
  <c r="R120" i="3"/>
  <c r="U120" i="3" s="1"/>
  <c r="R119" i="3"/>
  <c r="U119" i="3" s="1"/>
  <c r="R118" i="3"/>
  <c r="U118" i="3" s="1"/>
  <c r="R117" i="3"/>
  <c r="U117" i="3" s="1"/>
  <c r="R116" i="3"/>
  <c r="U116" i="3" s="1"/>
  <c r="R115" i="3"/>
  <c r="U115" i="3" s="1"/>
  <c r="R114" i="3"/>
  <c r="U114" i="3" s="1"/>
  <c r="R113" i="3"/>
  <c r="U113" i="3" s="1"/>
  <c r="R112" i="3"/>
  <c r="U112" i="3" s="1"/>
  <c r="R111" i="3"/>
  <c r="U111" i="3" s="1"/>
  <c r="R110" i="3"/>
  <c r="U110" i="3" s="1"/>
  <c r="R109" i="3"/>
  <c r="U109" i="3" s="1"/>
  <c r="R108" i="3"/>
  <c r="U108" i="3" s="1"/>
  <c r="R107" i="3"/>
  <c r="U107" i="3" s="1"/>
  <c r="R106" i="3"/>
  <c r="U106" i="3" s="1"/>
  <c r="R105" i="3"/>
  <c r="U105" i="3" s="1"/>
  <c r="R104" i="3"/>
  <c r="U104" i="3" s="1"/>
  <c r="R103" i="3"/>
  <c r="U103" i="3" s="1"/>
  <c r="R102" i="3"/>
  <c r="U102" i="3" s="1"/>
  <c r="R101" i="3"/>
  <c r="U101" i="3" s="1"/>
  <c r="R100" i="3"/>
  <c r="U100" i="3" s="1"/>
  <c r="R99" i="3"/>
  <c r="U99" i="3" s="1"/>
  <c r="R98" i="3"/>
  <c r="U98" i="3" s="1"/>
  <c r="R97" i="3"/>
  <c r="U97" i="3" s="1"/>
  <c r="R96" i="3"/>
  <c r="U96" i="3" s="1"/>
  <c r="R95" i="3"/>
  <c r="U95" i="3" s="1"/>
  <c r="R94" i="3"/>
  <c r="U94" i="3" s="1"/>
  <c r="R93" i="3"/>
  <c r="U93" i="3" s="1"/>
  <c r="R92" i="3"/>
  <c r="U92" i="3" s="1"/>
  <c r="R91" i="3"/>
  <c r="U91" i="3" s="1"/>
  <c r="R90" i="3"/>
  <c r="U90" i="3" s="1"/>
  <c r="R89" i="3"/>
  <c r="U89" i="3" s="1"/>
  <c r="R88" i="3"/>
  <c r="U88" i="3" s="1"/>
  <c r="R87" i="3"/>
  <c r="U87" i="3" s="1"/>
  <c r="R86" i="3"/>
  <c r="U86" i="3" s="1"/>
  <c r="R85" i="3"/>
  <c r="U85" i="3" s="1"/>
  <c r="R84" i="3"/>
  <c r="U84" i="3" s="1"/>
  <c r="R83" i="3"/>
  <c r="U83" i="3" s="1"/>
  <c r="R82" i="3"/>
  <c r="U82" i="3" s="1"/>
  <c r="R81" i="3"/>
  <c r="U81" i="3" s="1"/>
  <c r="R80" i="3"/>
  <c r="U80" i="3" s="1"/>
  <c r="R79" i="3"/>
  <c r="U79" i="3" s="1"/>
  <c r="R78" i="3"/>
  <c r="U78" i="3" s="1"/>
  <c r="R77" i="3"/>
  <c r="U77" i="3" s="1"/>
  <c r="R76" i="3"/>
  <c r="U76" i="3" s="1"/>
  <c r="R75" i="3"/>
  <c r="U75" i="3" s="1"/>
  <c r="R74" i="3"/>
  <c r="U74" i="3" s="1"/>
  <c r="R73" i="3"/>
  <c r="U73" i="3" s="1"/>
  <c r="R72" i="3"/>
  <c r="U72" i="3" s="1"/>
  <c r="R71" i="3"/>
  <c r="U71" i="3" s="1"/>
  <c r="R70" i="3"/>
  <c r="U70" i="3" s="1"/>
  <c r="R69" i="3"/>
  <c r="U69" i="3" s="1"/>
  <c r="R68" i="3"/>
  <c r="U68" i="3" s="1"/>
  <c r="R67" i="3"/>
  <c r="U67" i="3" s="1"/>
  <c r="R66" i="3"/>
  <c r="U66" i="3" s="1"/>
  <c r="R65" i="3"/>
  <c r="U65" i="3" s="1"/>
  <c r="R64" i="3"/>
  <c r="U64" i="3" s="1"/>
  <c r="R63" i="3"/>
  <c r="U63" i="3" s="1"/>
  <c r="R62" i="3"/>
  <c r="U62" i="3" s="1"/>
  <c r="R61" i="3"/>
  <c r="U61" i="3" s="1"/>
  <c r="R60" i="3"/>
  <c r="U60" i="3" s="1"/>
  <c r="R59" i="3"/>
  <c r="U59" i="3" s="1"/>
  <c r="R58" i="3"/>
  <c r="U58" i="3" s="1"/>
  <c r="R57" i="3"/>
  <c r="U57" i="3" s="1"/>
  <c r="R56" i="3"/>
  <c r="U56" i="3" s="1"/>
  <c r="R55" i="3"/>
  <c r="U55" i="3" s="1"/>
  <c r="R54" i="3"/>
  <c r="U54" i="3" s="1"/>
  <c r="R53" i="3"/>
  <c r="U53" i="3" s="1"/>
  <c r="R52" i="3"/>
  <c r="U52" i="3" s="1"/>
  <c r="R51" i="3"/>
  <c r="U51" i="3" s="1"/>
  <c r="R50" i="3"/>
  <c r="U50" i="3" s="1"/>
  <c r="R49" i="3"/>
  <c r="U49" i="3" s="1"/>
  <c r="R48" i="3"/>
  <c r="U48" i="3" s="1"/>
  <c r="R47" i="3"/>
  <c r="U47" i="3" s="1"/>
  <c r="R46" i="3"/>
  <c r="U46" i="3" s="1"/>
  <c r="R45" i="3"/>
  <c r="U45" i="3" s="1"/>
  <c r="R44" i="3"/>
  <c r="U44" i="3" s="1"/>
  <c r="R43" i="3"/>
  <c r="U43" i="3" s="1"/>
  <c r="R42" i="3"/>
  <c r="U42" i="3" s="1"/>
  <c r="R41" i="3"/>
  <c r="U41" i="3" s="1"/>
  <c r="R40" i="3"/>
  <c r="U40" i="3" s="1"/>
  <c r="R39" i="3"/>
  <c r="U39" i="3" s="1"/>
  <c r="R38" i="3"/>
  <c r="U38" i="3" s="1"/>
  <c r="R37" i="3"/>
  <c r="U37" i="3" s="1"/>
  <c r="R36" i="3"/>
  <c r="U36" i="3" s="1"/>
  <c r="R35" i="3"/>
  <c r="U35" i="3" s="1"/>
  <c r="R34" i="3"/>
  <c r="U34" i="3" s="1"/>
  <c r="R33" i="3"/>
  <c r="U33" i="3" s="1"/>
  <c r="R32" i="3"/>
  <c r="U32" i="3" s="1"/>
  <c r="R31" i="3"/>
  <c r="U31" i="3" s="1"/>
  <c r="R30" i="3"/>
  <c r="U30" i="3" s="1"/>
  <c r="R29" i="3"/>
  <c r="U29" i="3" s="1"/>
  <c r="R28" i="3"/>
  <c r="U28" i="3" s="1"/>
  <c r="R27" i="3"/>
  <c r="U27" i="3" s="1"/>
  <c r="R26" i="3"/>
  <c r="U26" i="3" s="1"/>
  <c r="R25" i="3"/>
  <c r="U25" i="3" s="1"/>
  <c r="R24" i="3"/>
  <c r="U24" i="3" s="1"/>
  <c r="R23" i="3"/>
  <c r="U23" i="3" s="1"/>
  <c r="R22" i="3"/>
  <c r="U22" i="3" s="1"/>
  <c r="R21" i="3"/>
  <c r="U21" i="3" s="1"/>
  <c r="R20" i="3"/>
  <c r="U20" i="3" s="1"/>
  <c r="R19" i="3"/>
  <c r="U19" i="3" s="1"/>
  <c r="R18" i="3"/>
  <c r="U18" i="3" s="1"/>
  <c r="R17" i="3"/>
  <c r="U17" i="3" s="1"/>
  <c r="R16" i="3"/>
  <c r="U16" i="3" s="1"/>
  <c r="R15" i="3"/>
  <c r="U15" i="3" s="1"/>
  <c r="R14" i="3"/>
  <c r="U14" i="3" s="1"/>
  <c r="R13" i="3"/>
  <c r="U13" i="3" s="1"/>
  <c r="R12" i="3"/>
  <c r="U12" i="3" s="1"/>
  <c r="R11" i="3"/>
  <c r="U11" i="3" s="1"/>
  <c r="R10" i="3"/>
  <c r="U10" i="3" s="1"/>
  <c r="R9" i="3"/>
  <c r="U9" i="3" s="1"/>
  <c r="R8" i="3"/>
  <c r="U8" i="3" s="1"/>
  <c r="R7" i="3"/>
  <c r="U7" i="3" s="1"/>
  <c r="R6" i="3"/>
  <c r="U6" i="3" s="1"/>
  <c r="R5" i="3"/>
  <c r="U5" i="3" s="1"/>
  <c r="R4" i="3"/>
  <c r="U4" i="3" s="1"/>
  <c r="R3" i="3"/>
  <c r="U3" i="3" s="1"/>
  <c r="O366" i="2"/>
  <c r="R366" i="2" s="1"/>
  <c r="O365" i="2"/>
  <c r="R365" i="2" s="1"/>
  <c r="O364" i="2"/>
  <c r="R364" i="2" s="1"/>
  <c r="O363" i="2"/>
  <c r="R363" i="2" s="1"/>
  <c r="O362" i="2"/>
  <c r="R362" i="2" s="1"/>
  <c r="O361" i="2"/>
  <c r="R361" i="2" s="1"/>
  <c r="O360" i="2"/>
  <c r="R360" i="2" s="1"/>
  <c r="O359" i="2"/>
  <c r="R359" i="2" s="1"/>
  <c r="O358" i="2"/>
  <c r="R358" i="2" s="1"/>
  <c r="O357" i="2"/>
  <c r="R357" i="2" s="1"/>
  <c r="O356" i="2"/>
  <c r="R356" i="2" s="1"/>
  <c r="O355" i="2"/>
  <c r="R355" i="2" s="1"/>
  <c r="O354" i="2"/>
  <c r="R354" i="2" s="1"/>
  <c r="O353" i="2"/>
  <c r="R353" i="2" s="1"/>
  <c r="O352" i="2"/>
  <c r="R352" i="2" s="1"/>
  <c r="O351" i="2"/>
  <c r="R351" i="2" s="1"/>
  <c r="O350" i="2"/>
  <c r="R350" i="2" s="1"/>
  <c r="O349" i="2"/>
  <c r="R349" i="2" s="1"/>
  <c r="O348" i="2"/>
  <c r="R348" i="2" s="1"/>
  <c r="O347" i="2"/>
  <c r="R347" i="2" s="1"/>
  <c r="O346" i="2"/>
  <c r="R346" i="2" s="1"/>
  <c r="O345" i="2"/>
  <c r="R345" i="2" s="1"/>
  <c r="O344" i="2"/>
  <c r="R344" i="2" s="1"/>
  <c r="O343" i="2"/>
  <c r="R343" i="2" s="1"/>
  <c r="O342" i="2"/>
  <c r="R342" i="2" s="1"/>
  <c r="O341" i="2"/>
  <c r="R341" i="2" s="1"/>
  <c r="O340" i="2"/>
  <c r="R340" i="2" s="1"/>
  <c r="O339" i="2"/>
  <c r="R339" i="2" s="1"/>
  <c r="O338" i="2"/>
  <c r="R338" i="2" s="1"/>
  <c r="O337" i="2"/>
  <c r="R337" i="2" s="1"/>
  <c r="O336" i="2"/>
  <c r="R336" i="2" s="1"/>
  <c r="O335" i="2"/>
  <c r="R335" i="2" s="1"/>
  <c r="O334" i="2"/>
  <c r="R334" i="2" s="1"/>
  <c r="O333" i="2"/>
  <c r="R333" i="2" s="1"/>
  <c r="O332" i="2"/>
  <c r="R332" i="2" s="1"/>
  <c r="O331" i="2"/>
  <c r="R331" i="2" s="1"/>
  <c r="O330" i="2"/>
  <c r="R330" i="2" s="1"/>
  <c r="O329" i="2"/>
  <c r="R329" i="2" s="1"/>
  <c r="O328" i="2"/>
  <c r="R328" i="2" s="1"/>
  <c r="O327" i="2"/>
  <c r="R327" i="2" s="1"/>
  <c r="O326" i="2"/>
  <c r="R326" i="2" s="1"/>
  <c r="O325" i="2"/>
  <c r="R325" i="2" s="1"/>
  <c r="O324" i="2"/>
  <c r="R324" i="2" s="1"/>
  <c r="O323" i="2"/>
  <c r="R323" i="2" s="1"/>
  <c r="O322" i="2"/>
  <c r="R322" i="2" s="1"/>
  <c r="O321" i="2"/>
  <c r="R321" i="2" s="1"/>
  <c r="O320" i="2"/>
  <c r="R320" i="2" s="1"/>
  <c r="O319" i="2"/>
  <c r="R319" i="2" s="1"/>
  <c r="O318" i="2"/>
  <c r="R318" i="2" s="1"/>
  <c r="O317" i="2"/>
  <c r="R317" i="2" s="1"/>
  <c r="O316" i="2"/>
  <c r="R316" i="2" s="1"/>
  <c r="O315" i="2"/>
  <c r="R315" i="2" s="1"/>
  <c r="O314" i="2"/>
  <c r="R314" i="2" s="1"/>
  <c r="O313" i="2"/>
  <c r="R313" i="2" s="1"/>
  <c r="O312" i="2"/>
  <c r="R312" i="2" s="1"/>
  <c r="O311" i="2"/>
  <c r="R311" i="2" s="1"/>
  <c r="O310" i="2"/>
  <c r="R310" i="2" s="1"/>
  <c r="O309" i="2"/>
  <c r="R309" i="2" s="1"/>
  <c r="O308" i="2"/>
  <c r="R308" i="2" s="1"/>
  <c r="O307" i="2"/>
  <c r="R307" i="2" s="1"/>
  <c r="O306" i="2"/>
  <c r="R306" i="2" s="1"/>
  <c r="O305" i="2"/>
  <c r="R305" i="2" s="1"/>
  <c r="O304" i="2"/>
  <c r="R304" i="2" s="1"/>
  <c r="O303" i="2"/>
  <c r="R303" i="2" s="1"/>
  <c r="O302" i="2"/>
  <c r="R302" i="2" s="1"/>
  <c r="O301" i="2"/>
  <c r="R301" i="2" s="1"/>
  <c r="O300" i="2"/>
  <c r="R300" i="2" s="1"/>
  <c r="O299" i="2"/>
  <c r="R299" i="2" s="1"/>
  <c r="O298" i="2"/>
  <c r="R298" i="2" s="1"/>
  <c r="O297" i="2"/>
  <c r="R297" i="2" s="1"/>
  <c r="O296" i="2"/>
  <c r="R296" i="2" s="1"/>
  <c r="O295" i="2"/>
  <c r="R295" i="2" s="1"/>
  <c r="O294" i="2"/>
  <c r="R294" i="2" s="1"/>
  <c r="O293" i="2"/>
  <c r="R293" i="2" s="1"/>
  <c r="O292" i="2"/>
  <c r="R292" i="2" s="1"/>
  <c r="O291" i="2"/>
  <c r="R291" i="2" s="1"/>
  <c r="O290" i="2"/>
  <c r="R290" i="2" s="1"/>
  <c r="O289" i="2"/>
  <c r="R289" i="2" s="1"/>
  <c r="O288" i="2"/>
  <c r="R288" i="2" s="1"/>
  <c r="O287" i="2"/>
  <c r="R287" i="2" s="1"/>
  <c r="O286" i="2"/>
  <c r="R286" i="2" s="1"/>
  <c r="O285" i="2"/>
  <c r="R285" i="2" s="1"/>
  <c r="O284" i="2"/>
  <c r="R284" i="2" s="1"/>
  <c r="O283" i="2"/>
  <c r="R283" i="2" s="1"/>
  <c r="O282" i="2"/>
  <c r="R282" i="2" s="1"/>
  <c r="O281" i="2"/>
  <c r="R281" i="2" s="1"/>
  <c r="O280" i="2"/>
  <c r="R280" i="2" s="1"/>
  <c r="O279" i="2"/>
  <c r="R279" i="2" s="1"/>
  <c r="O278" i="2"/>
  <c r="R278" i="2" s="1"/>
  <c r="O277" i="2"/>
  <c r="R277" i="2" s="1"/>
  <c r="O276" i="2"/>
  <c r="R276" i="2" s="1"/>
  <c r="O275" i="2"/>
  <c r="R275" i="2" s="1"/>
  <c r="O274" i="2"/>
  <c r="R274" i="2" s="1"/>
  <c r="O273" i="2"/>
  <c r="R273" i="2" s="1"/>
  <c r="O272" i="2"/>
  <c r="R272" i="2" s="1"/>
  <c r="O271" i="2"/>
  <c r="R271" i="2" s="1"/>
  <c r="O270" i="2"/>
  <c r="R270" i="2" s="1"/>
  <c r="O269" i="2"/>
  <c r="R269" i="2" s="1"/>
  <c r="O268" i="2"/>
  <c r="R268" i="2" s="1"/>
  <c r="O267" i="2"/>
  <c r="R267" i="2" s="1"/>
  <c r="O266" i="2"/>
  <c r="R266" i="2" s="1"/>
  <c r="O265" i="2"/>
  <c r="R265" i="2" s="1"/>
  <c r="O264" i="2"/>
  <c r="R264" i="2" s="1"/>
  <c r="O263" i="2"/>
  <c r="R263" i="2" s="1"/>
  <c r="O262" i="2"/>
  <c r="R262" i="2" s="1"/>
  <c r="O261" i="2"/>
  <c r="R261" i="2" s="1"/>
  <c r="O260" i="2"/>
  <c r="R260" i="2" s="1"/>
  <c r="O259" i="2"/>
  <c r="R259" i="2" s="1"/>
  <c r="O258" i="2"/>
  <c r="R258" i="2" s="1"/>
  <c r="O257" i="2"/>
  <c r="R257" i="2" s="1"/>
  <c r="O256" i="2"/>
  <c r="R256" i="2" s="1"/>
  <c r="O255" i="2"/>
  <c r="R255" i="2" s="1"/>
  <c r="O254" i="2"/>
  <c r="R254" i="2" s="1"/>
  <c r="O253" i="2"/>
  <c r="R253" i="2" s="1"/>
  <c r="O252" i="2"/>
  <c r="R252" i="2" s="1"/>
  <c r="O251" i="2"/>
  <c r="R251" i="2" s="1"/>
  <c r="O250" i="2"/>
  <c r="R250" i="2" s="1"/>
  <c r="O249" i="2"/>
  <c r="R249" i="2" s="1"/>
  <c r="O248" i="2"/>
  <c r="R248" i="2" s="1"/>
  <c r="O247" i="2"/>
  <c r="R247" i="2" s="1"/>
  <c r="O246" i="2"/>
  <c r="R246" i="2" s="1"/>
  <c r="O245" i="2"/>
  <c r="R245" i="2" s="1"/>
  <c r="O244" i="2"/>
  <c r="R244" i="2" s="1"/>
  <c r="O243" i="2"/>
  <c r="R243" i="2" s="1"/>
  <c r="O242" i="2"/>
  <c r="R242" i="2" s="1"/>
  <c r="O241" i="2"/>
  <c r="R241" i="2" s="1"/>
  <c r="O240" i="2"/>
  <c r="R240" i="2" s="1"/>
  <c r="O239" i="2"/>
  <c r="R239" i="2" s="1"/>
  <c r="O238" i="2"/>
  <c r="R238" i="2" s="1"/>
  <c r="O237" i="2"/>
  <c r="R237" i="2" s="1"/>
  <c r="O236" i="2"/>
  <c r="R236" i="2" s="1"/>
  <c r="O235" i="2"/>
  <c r="R235" i="2" s="1"/>
  <c r="O234" i="2"/>
  <c r="R234" i="2" s="1"/>
  <c r="O233" i="2"/>
  <c r="R233" i="2" s="1"/>
  <c r="O232" i="2"/>
  <c r="R232" i="2" s="1"/>
  <c r="O231" i="2"/>
  <c r="R231" i="2" s="1"/>
  <c r="O230" i="2"/>
  <c r="R230" i="2" s="1"/>
  <c r="O229" i="2"/>
  <c r="R229" i="2" s="1"/>
  <c r="O228" i="2"/>
  <c r="R228" i="2" s="1"/>
  <c r="O227" i="2"/>
  <c r="R227" i="2" s="1"/>
  <c r="O226" i="2"/>
  <c r="R226" i="2" s="1"/>
  <c r="O225" i="2"/>
  <c r="R225" i="2" s="1"/>
  <c r="O224" i="2"/>
  <c r="R224" i="2" s="1"/>
  <c r="O223" i="2"/>
  <c r="R223" i="2" s="1"/>
  <c r="O222" i="2"/>
  <c r="R222" i="2" s="1"/>
  <c r="O221" i="2"/>
  <c r="R221" i="2" s="1"/>
  <c r="O220" i="2"/>
  <c r="R220" i="2" s="1"/>
  <c r="O219" i="2"/>
  <c r="R219" i="2" s="1"/>
  <c r="O218" i="2"/>
  <c r="R218" i="2" s="1"/>
  <c r="O217" i="2"/>
  <c r="R217" i="2" s="1"/>
  <c r="O216" i="2"/>
  <c r="R216" i="2" s="1"/>
  <c r="O215" i="2"/>
  <c r="R215" i="2" s="1"/>
  <c r="O214" i="2"/>
  <c r="R214" i="2" s="1"/>
  <c r="O213" i="2"/>
  <c r="R213" i="2" s="1"/>
  <c r="O212" i="2"/>
  <c r="R212" i="2" s="1"/>
  <c r="O211" i="2"/>
  <c r="R211" i="2" s="1"/>
  <c r="O210" i="2"/>
  <c r="R210" i="2" s="1"/>
  <c r="O209" i="2"/>
  <c r="R209" i="2" s="1"/>
  <c r="O208" i="2"/>
  <c r="R208" i="2" s="1"/>
  <c r="O207" i="2"/>
  <c r="R207" i="2" s="1"/>
  <c r="O206" i="2"/>
  <c r="R206" i="2" s="1"/>
  <c r="O205" i="2"/>
  <c r="R205" i="2" s="1"/>
  <c r="O204" i="2"/>
  <c r="R204" i="2" s="1"/>
  <c r="O203" i="2"/>
  <c r="R203" i="2" s="1"/>
  <c r="O202" i="2"/>
  <c r="R202" i="2" s="1"/>
  <c r="O201" i="2"/>
  <c r="R201" i="2" s="1"/>
  <c r="O200" i="2"/>
  <c r="R200" i="2" s="1"/>
  <c r="O199" i="2"/>
  <c r="R199" i="2" s="1"/>
  <c r="O198" i="2"/>
  <c r="R198" i="2" s="1"/>
  <c r="O197" i="2"/>
  <c r="R197" i="2" s="1"/>
  <c r="O196" i="2"/>
  <c r="R196" i="2" s="1"/>
  <c r="O195" i="2"/>
  <c r="R195" i="2" s="1"/>
  <c r="O194" i="2"/>
  <c r="R194" i="2" s="1"/>
  <c r="O193" i="2"/>
  <c r="R193" i="2" s="1"/>
  <c r="O192" i="2"/>
  <c r="R192" i="2" s="1"/>
  <c r="O191" i="2"/>
  <c r="R191" i="2" s="1"/>
  <c r="O190" i="2"/>
  <c r="R190" i="2" s="1"/>
  <c r="O189" i="2"/>
  <c r="R189" i="2" s="1"/>
  <c r="O188" i="2"/>
  <c r="R188" i="2" s="1"/>
  <c r="O187" i="2"/>
  <c r="R187" i="2" s="1"/>
  <c r="O186" i="2"/>
  <c r="R186" i="2" s="1"/>
  <c r="O185" i="2"/>
  <c r="R185" i="2" s="1"/>
  <c r="O184" i="2"/>
  <c r="R184" i="2" s="1"/>
  <c r="O183" i="2"/>
  <c r="R183" i="2" s="1"/>
  <c r="O182" i="2"/>
  <c r="R182" i="2" s="1"/>
  <c r="O181" i="2"/>
  <c r="R181" i="2" s="1"/>
  <c r="O180" i="2"/>
  <c r="R180" i="2" s="1"/>
  <c r="O179" i="2"/>
  <c r="R179" i="2" s="1"/>
  <c r="O178" i="2"/>
  <c r="R178" i="2" s="1"/>
  <c r="O177" i="2"/>
  <c r="R177" i="2" s="1"/>
  <c r="O176" i="2"/>
  <c r="R176" i="2" s="1"/>
  <c r="O175" i="2"/>
  <c r="R175" i="2" s="1"/>
  <c r="O174" i="2"/>
  <c r="R174" i="2" s="1"/>
  <c r="O173" i="2"/>
  <c r="R173" i="2" s="1"/>
  <c r="O172" i="2"/>
  <c r="R172" i="2" s="1"/>
  <c r="O171" i="2"/>
  <c r="R171" i="2" s="1"/>
  <c r="O170" i="2"/>
  <c r="R170" i="2" s="1"/>
  <c r="O169" i="2"/>
  <c r="R169" i="2" s="1"/>
  <c r="O168" i="2"/>
  <c r="R168" i="2" s="1"/>
  <c r="O167" i="2"/>
  <c r="R167" i="2" s="1"/>
  <c r="O166" i="2"/>
  <c r="R166" i="2" s="1"/>
  <c r="O165" i="2"/>
  <c r="R165" i="2" s="1"/>
  <c r="O164" i="2"/>
  <c r="R164" i="2" s="1"/>
  <c r="O163" i="2"/>
  <c r="R163" i="2" s="1"/>
  <c r="O162" i="2"/>
  <c r="R162" i="2" s="1"/>
  <c r="O161" i="2"/>
  <c r="R161" i="2" s="1"/>
  <c r="O160" i="2"/>
  <c r="R160" i="2" s="1"/>
  <c r="O159" i="2"/>
  <c r="R159" i="2" s="1"/>
  <c r="O158" i="2"/>
  <c r="R158" i="2" s="1"/>
  <c r="O157" i="2"/>
  <c r="R157" i="2" s="1"/>
  <c r="O156" i="2"/>
  <c r="R156" i="2" s="1"/>
  <c r="O155" i="2"/>
  <c r="R155" i="2" s="1"/>
  <c r="O154" i="2"/>
  <c r="R154" i="2" s="1"/>
  <c r="O153" i="2"/>
  <c r="R153" i="2" s="1"/>
  <c r="O152" i="2"/>
  <c r="R152" i="2" s="1"/>
  <c r="O151" i="2"/>
  <c r="R151" i="2" s="1"/>
  <c r="O150" i="2"/>
  <c r="R150" i="2" s="1"/>
  <c r="O149" i="2"/>
  <c r="R149" i="2" s="1"/>
  <c r="O148" i="2"/>
  <c r="R148" i="2" s="1"/>
  <c r="O147" i="2"/>
  <c r="R147" i="2" s="1"/>
  <c r="O146" i="2"/>
  <c r="R146" i="2" s="1"/>
  <c r="O145" i="2"/>
  <c r="R145" i="2" s="1"/>
  <c r="O144" i="2"/>
  <c r="R144" i="2" s="1"/>
  <c r="O143" i="2"/>
  <c r="R143" i="2" s="1"/>
  <c r="O142" i="2"/>
  <c r="R142" i="2" s="1"/>
  <c r="O141" i="2"/>
  <c r="R141" i="2" s="1"/>
  <c r="O140" i="2"/>
  <c r="R140" i="2" s="1"/>
  <c r="O139" i="2"/>
  <c r="R139" i="2" s="1"/>
  <c r="O138" i="2"/>
  <c r="R138" i="2" s="1"/>
  <c r="O137" i="2"/>
  <c r="R137" i="2" s="1"/>
  <c r="O136" i="2"/>
  <c r="R136" i="2" s="1"/>
  <c r="O135" i="2"/>
  <c r="R135" i="2" s="1"/>
  <c r="O134" i="2"/>
  <c r="R134" i="2" s="1"/>
  <c r="O133" i="2"/>
  <c r="R133" i="2" s="1"/>
  <c r="O132" i="2"/>
  <c r="R132" i="2" s="1"/>
  <c r="O131" i="2"/>
  <c r="R131" i="2" s="1"/>
  <c r="O130" i="2"/>
  <c r="R130" i="2" s="1"/>
  <c r="O129" i="2"/>
  <c r="R129" i="2" s="1"/>
  <c r="O128" i="2"/>
  <c r="R128" i="2" s="1"/>
  <c r="O127" i="2"/>
  <c r="R127" i="2" s="1"/>
  <c r="O126" i="2"/>
  <c r="R126" i="2" s="1"/>
  <c r="O125" i="2"/>
  <c r="R125" i="2" s="1"/>
  <c r="O124" i="2"/>
  <c r="R124" i="2" s="1"/>
  <c r="O123" i="2"/>
  <c r="R123" i="2" s="1"/>
  <c r="O122" i="2"/>
  <c r="R122" i="2" s="1"/>
  <c r="O121" i="2"/>
  <c r="R121" i="2" s="1"/>
  <c r="O120" i="2"/>
  <c r="R120" i="2" s="1"/>
  <c r="O119" i="2"/>
  <c r="R119" i="2" s="1"/>
  <c r="O118" i="2"/>
  <c r="R118" i="2" s="1"/>
  <c r="O117" i="2"/>
  <c r="R117" i="2" s="1"/>
  <c r="O116" i="2"/>
  <c r="R116" i="2" s="1"/>
  <c r="O115" i="2"/>
  <c r="R115" i="2" s="1"/>
  <c r="O114" i="2"/>
  <c r="R114" i="2" s="1"/>
  <c r="O113" i="2"/>
  <c r="R113" i="2" s="1"/>
  <c r="O112" i="2"/>
  <c r="R112" i="2" s="1"/>
  <c r="O111" i="2"/>
  <c r="R111" i="2" s="1"/>
  <c r="O110" i="2"/>
  <c r="R110" i="2" s="1"/>
  <c r="O109" i="2"/>
  <c r="R109" i="2" s="1"/>
  <c r="O108" i="2"/>
  <c r="R108" i="2" s="1"/>
  <c r="O107" i="2"/>
  <c r="R107" i="2" s="1"/>
  <c r="O106" i="2"/>
  <c r="R106" i="2" s="1"/>
  <c r="O105" i="2"/>
  <c r="R105" i="2" s="1"/>
  <c r="O104" i="2"/>
  <c r="R104" i="2" s="1"/>
  <c r="O103" i="2"/>
  <c r="R103" i="2" s="1"/>
  <c r="O102" i="2"/>
  <c r="R102" i="2" s="1"/>
  <c r="O101" i="2"/>
  <c r="R101" i="2" s="1"/>
  <c r="O100" i="2"/>
  <c r="R100" i="2" s="1"/>
  <c r="O99" i="2"/>
  <c r="R99" i="2" s="1"/>
  <c r="O98" i="2"/>
  <c r="R98" i="2" s="1"/>
  <c r="O97" i="2"/>
  <c r="R97" i="2" s="1"/>
  <c r="O96" i="2"/>
  <c r="R96" i="2" s="1"/>
  <c r="O95" i="2"/>
  <c r="R95" i="2" s="1"/>
  <c r="O94" i="2"/>
  <c r="R94" i="2" s="1"/>
  <c r="O93" i="2"/>
  <c r="R93" i="2" s="1"/>
  <c r="O92" i="2"/>
  <c r="R92" i="2" s="1"/>
  <c r="O91" i="2"/>
  <c r="R91" i="2" s="1"/>
  <c r="O90" i="2"/>
  <c r="R90" i="2" s="1"/>
  <c r="O89" i="2"/>
  <c r="R89" i="2" s="1"/>
  <c r="O88" i="2"/>
  <c r="R88" i="2" s="1"/>
  <c r="O87" i="2"/>
  <c r="R87" i="2" s="1"/>
  <c r="O86" i="2"/>
  <c r="R86" i="2" s="1"/>
  <c r="O85" i="2"/>
  <c r="R85" i="2" s="1"/>
  <c r="O84" i="2"/>
  <c r="R84" i="2" s="1"/>
  <c r="O83" i="2"/>
  <c r="R83" i="2" s="1"/>
  <c r="O82" i="2"/>
  <c r="R82" i="2" s="1"/>
  <c r="O81" i="2"/>
  <c r="R81" i="2" s="1"/>
  <c r="O80" i="2"/>
  <c r="R80" i="2" s="1"/>
  <c r="O79" i="2"/>
  <c r="R79" i="2" s="1"/>
  <c r="O78" i="2"/>
  <c r="R78" i="2" s="1"/>
  <c r="O77" i="2"/>
  <c r="R77" i="2" s="1"/>
  <c r="O76" i="2"/>
  <c r="R76" i="2" s="1"/>
  <c r="O75" i="2"/>
  <c r="R75" i="2" s="1"/>
  <c r="O74" i="2"/>
  <c r="R74" i="2" s="1"/>
  <c r="O73" i="2"/>
  <c r="R73" i="2" s="1"/>
  <c r="O72" i="2"/>
  <c r="R72" i="2" s="1"/>
  <c r="O71" i="2"/>
  <c r="R71" i="2" s="1"/>
  <c r="O70" i="2"/>
  <c r="R70" i="2" s="1"/>
  <c r="O69" i="2"/>
  <c r="R69" i="2" s="1"/>
  <c r="O68" i="2"/>
  <c r="R68" i="2" s="1"/>
  <c r="O67" i="2"/>
  <c r="R67" i="2" s="1"/>
  <c r="O66" i="2"/>
  <c r="R66" i="2" s="1"/>
  <c r="O65" i="2"/>
  <c r="R65" i="2" s="1"/>
  <c r="O64" i="2"/>
  <c r="R64" i="2" s="1"/>
  <c r="O63" i="2"/>
  <c r="R63" i="2" s="1"/>
  <c r="O62" i="2"/>
  <c r="R62" i="2" s="1"/>
  <c r="O61" i="2"/>
  <c r="R61" i="2" s="1"/>
  <c r="O60" i="2"/>
  <c r="R60" i="2" s="1"/>
  <c r="O59" i="2"/>
  <c r="R59" i="2" s="1"/>
  <c r="O58" i="2"/>
  <c r="R58" i="2" s="1"/>
  <c r="O57" i="2"/>
  <c r="R57" i="2" s="1"/>
  <c r="O56" i="2"/>
  <c r="R56" i="2" s="1"/>
  <c r="O55" i="2"/>
  <c r="R55" i="2" s="1"/>
  <c r="O54" i="2"/>
  <c r="R54" i="2" s="1"/>
  <c r="O53" i="2"/>
  <c r="R53" i="2" s="1"/>
  <c r="O52" i="2"/>
  <c r="R52" i="2" s="1"/>
  <c r="O51" i="2"/>
  <c r="R51" i="2" s="1"/>
  <c r="O50" i="2"/>
  <c r="R50" i="2" s="1"/>
  <c r="O49" i="2"/>
  <c r="R49" i="2" s="1"/>
  <c r="O48" i="2"/>
  <c r="R48" i="2" s="1"/>
  <c r="O47" i="2"/>
  <c r="R47" i="2" s="1"/>
  <c r="O46" i="2"/>
  <c r="R46" i="2" s="1"/>
  <c r="O45" i="2"/>
  <c r="R45" i="2" s="1"/>
  <c r="O44" i="2"/>
  <c r="R44" i="2" s="1"/>
  <c r="O43" i="2"/>
  <c r="R43" i="2" s="1"/>
  <c r="O42" i="2"/>
  <c r="R42" i="2" s="1"/>
  <c r="O41" i="2"/>
  <c r="R41" i="2" s="1"/>
  <c r="O40" i="2"/>
  <c r="R40" i="2" s="1"/>
  <c r="O39" i="2"/>
  <c r="R39" i="2" s="1"/>
  <c r="O38" i="2"/>
  <c r="R38" i="2" s="1"/>
  <c r="O37" i="2"/>
  <c r="R37" i="2" s="1"/>
  <c r="O36" i="2"/>
  <c r="R36" i="2" s="1"/>
  <c r="O35" i="2"/>
  <c r="R35" i="2" s="1"/>
  <c r="O34" i="2"/>
  <c r="R34" i="2" s="1"/>
  <c r="O33" i="2"/>
  <c r="R33" i="2" s="1"/>
  <c r="O32" i="2"/>
  <c r="R32" i="2" s="1"/>
  <c r="O31" i="2"/>
  <c r="R31" i="2" s="1"/>
  <c r="O30" i="2"/>
  <c r="R30" i="2" s="1"/>
  <c r="O29" i="2"/>
  <c r="R29" i="2" s="1"/>
  <c r="O28" i="2"/>
  <c r="R28" i="2" s="1"/>
  <c r="O27" i="2"/>
  <c r="R27" i="2" s="1"/>
  <c r="O26" i="2"/>
  <c r="R26" i="2" s="1"/>
  <c r="O25" i="2"/>
  <c r="R25" i="2" s="1"/>
  <c r="O24" i="2"/>
  <c r="R24" i="2" s="1"/>
  <c r="O23" i="2"/>
  <c r="R23" i="2" s="1"/>
  <c r="O22" i="2"/>
  <c r="R22" i="2" s="1"/>
  <c r="O21" i="2"/>
  <c r="R21" i="2" s="1"/>
  <c r="O20" i="2"/>
  <c r="R20" i="2" s="1"/>
  <c r="O19" i="2"/>
  <c r="R19" i="2" s="1"/>
  <c r="O18" i="2"/>
  <c r="R18" i="2" s="1"/>
  <c r="O17" i="2"/>
  <c r="R17" i="2" s="1"/>
  <c r="O16" i="2"/>
  <c r="R16" i="2" s="1"/>
  <c r="O15" i="2"/>
  <c r="R15" i="2" s="1"/>
  <c r="O14" i="2"/>
  <c r="R14" i="2" s="1"/>
  <c r="O13" i="2"/>
  <c r="R13" i="2" s="1"/>
  <c r="O12" i="2"/>
  <c r="R12" i="2" s="1"/>
  <c r="O11" i="2"/>
  <c r="R11" i="2" s="1"/>
  <c r="O10" i="2"/>
  <c r="R10" i="2" s="1"/>
  <c r="O9" i="2"/>
  <c r="R9" i="2" s="1"/>
  <c r="O8" i="2"/>
  <c r="R8" i="2" s="1"/>
  <c r="O7" i="2"/>
  <c r="R7" i="2" s="1"/>
  <c r="O6" i="2"/>
  <c r="R6" i="2" s="1"/>
  <c r="O5" i="2"/>
  <c r="R5" i="2" s="1"/>
  <c r="O4" i="2"/>
  <c r="R4" i="2" s="1"/>
  <c r="O3" i="2"/>
  <c r="R3" i="2" s="1"/>
  <c r="N366" i="1"/>
  <c r="Q366" i="1" s="1"/>
  <c r="N365" i="1"/>
  <c r="Q365" i="1" s="1"/>
  <c r="N364" i="1"/>
  <c r="Q364" i="1" s="1"/>
  <c r="N363" i="1"/>
  <c r="Q363" i="1" s="1"/>
  <c r="N362" i="1"/>
  <c r="Q362" i="1" s="1"/>
  <c r="N361" i="1"/>
  <c r="Q361" i="1" s="1"/>
  <c r="N360" i="1"/>
  <c r="Q360" i="1" s="1"/>
  <c r="N359" i="1"/>
  <c r="Q359" i="1" s="1"/>
  <c r="N358" i="1"/>
  <c r="Q358" i="1" s="1"/>
  <c r="N357" i="1"/>
  <c r="Q357" i="1" s="1"/>
  <c r="N356" i="1"/>
  <c r="Q356" i="1" s="1"/>
  <c r="N355" i="1"/>
  <c r="Q355" i="1" s="1"/>
  <c r="N354" i="1"/>
  <c r="Q354" i="1" s="1"/>
  <c r="N353" i="1"/>
  <c r="Q353" i="1" s="1"/>
  <c r="N352" i="1"/>
  <c r="Q352" i="1" s="1"/>
  <c r="N351" i="1"/>
  <c r="Q351" i="1" s="1"/>
  <c r="N350" i="1"/>
  <c r="Q350" i="1" s="1"/>
  <c r="N349" i="1"/>
  <c r="Q349" i="1" s="1"/>
  <c r="N348" i="1"/>
  <c r="Q348" i="1" s="1"/>
  <c r="N347" i="1"/>
  <c r="Q347" i="1" s="1"/>
  <c r="N346" i="1"/>
  <c r="Q346" i="1" s="1"/>
  <c r="N345" i="1"/>
  <c r="Q345" i="1" s="1"/>
  <c r="N344" i="1"/>
  <c r="Q344" i="1" s="1"/>
  <c r="N343" i="1"/>
  <c r="Q343" i="1" s="1"/>
  <c r="N342" i="1"/>
  <c r="Q342" i="1" s="1"/>
  <c r="N341" i="1"/>
  <c r="Q341" i="1" s="1"/>
  <c r="N340" i="1"/>
  <c r="Q340" i="1" s="1"/>
  <c r="N339" i="1"/>
  <c r="Q339" i="1" s="1"/>
  <c r="N338" i="1"/>
  <c r="Q338" i="1" s="1"/>
  <c r="N337" i="1"/>
  <c r="Q337" i="1" s="1"/>
  <c r="N336" i="1"/>
  <c r="Q336" i="1" s="1"/>
  <c r="N335" i="1"/>
  <c r="Q335" i="1" s="1"/>
  <c r="N334" i="1"/>
  <c r="Q334" i="1" s="1"/>
  <c r="N333" i="1"/>
  <c r="Q333" i="1" s="1"/>
  <c r="N332" i="1"/>
  <c r="Q332" i="1" s="1"/>
  <c r="N331" i="1"/>
  <c r="Q331" i="1" s="1"/>
  <c r="N330" i="1"/>
  <c r="Q330" i="1" s="1"/>
  <c r="N329" i="1"/>
  <c r="Q329" i="1" s="1"/>
  <c r="N328" i="1"/>
  <c r="Q328" i="1" s="1"/>
  <c r="N327" i="1"/>
  <c r="Q327" i="1" s="1"/>
  <c r="N326" i="1"/>
  <c r="Q326" i="1" s="1"/>
  <c r="N325" i="1"/>
  <c r="Q325" i="1" s="1"/>
  <c r="N324" i="1"/>
  <c r="Q324" i="1" s="1"/>
  <c r="N323" i="1"/>
  <c r="Q323" i="1" s="1"/>
  <c r="N322" i="1"/>
  <c r="Q322" i="1" s="1"/>
  <c r="N321" i="1"/>
  <c r="Q321" i="1" s="1"/>
  <c r="N320" i="1"/>
  <c r="Q320" i="1" s="1"/>
  <c r="N319" i="1"/>
  <c r="Q319" i="1" s="1"/>
  <c r="N318" i="1"/>
  <c r="Q318" i="1" s="1"/>
  <c r="N317" i="1"/>
  <c r="Q317" i="1" s="1"/>
  <c r="N316" i="1"/>
  <c r="Q316" i="1" s="1"/>
  <c r="N315" i="1"/>
  <c r="Q315" i="1" s="1"/>
  <c r="N314" i="1"/>
  <c r="Q314" i="1" s="1"/>
  <c r="N313" i="1"/>
  <c r="Q313" i="1" s="1"/>
  <c r="N312" i="1"/>
  <c r="Q312" i="1" s="1"/>
  <c r="N311" i="1"/>
  <c r="Q311" i="1" s="1"/>
  <c r="N310" i="1"/>
  <c r="Q310" i="1" s="1"/>
  <c r="N309" i="1"/>
  <c r="Q309" i="1" s="1"/>
  <c r="N308" i="1"/>
  <c r="Q308" i="1" s="1"/>
  <c r="N307" i="1"/>
  <c r="Q307" i="1" s="1"/>
  <c r="N306" i="1"/>
  <c r="Q306" i="1" s="1"/>
  <c r="N305" i="1"/>
  <c r="Q305" i="1" s="1"/>
  <c r="N304" i="1"/>
  <c r="Q304" i="1" s="1"/>
  <c r="N303" i="1"/>
  <c r="Q303" i="1" s="1"/>
  <c r="N302" i="1"/>
  <c r="Q302" i="1" s="1"/>
  <c r="N301" i="1"/>
  <c r="Q301" i="1" s="1"/>
  <c r="N300" i="1"/>
  <c r="Q300" i="1" s="1"/>
  <c r="N299" i="1"/>
  <c r="Q299" i="1" s="1"/>
  <c r="N298" i="1"/>
  <c r="Q298" i="1" s="1"/>
  <c r="N297" i="1"/>
  <c r="Q297" i="1" s="1"/>
  <c r="N296" i="1"/>
  <c r="Q296" i="1" s="1"/>
  <c r="N295" i="1"/>
  <c r="Q295" i="1" s="1"/>
  <c r="N294" i="1"/>
  <c r="Q294" i="1" s="1"/>
  <c r="N293" i="1"/>
  <c r="Q293" i="1" s="1"/>
  <c r="N292" i="1"/>
  <c r="Q292" i="1" s="1"/>
  <c r="N291" i="1"/>
  <c r="Q291" i="1" s="1"/>
  <c r="N290" i="1"/>
  <c r="Q290" i="1" s="1"/>
  <c r="N289" i="1"/>
  <c r="Q289" i="1" s="1"/>
  <c r="N288" i="1"/>
  <c r="Q288" i="1" s="1"/>
  <c r="N287" i="1"/>
  <c r="Q287" i="1" s="1"/>
  <c r="N286" i="1"/>
  <c r="Q286" i="1" s="1"/>
  <c r="N285" i="1"/>
  <c r="Q285" i="1" s="1"/>
  <c r="N284" i="1"/>
  <c r="Q284" i="1" s="1"/>
  <c r="N283" i="1"/>
  <c r="Q283" i="1" s="1"/>
  <c r="N282" i="1"/>
  <c r="Q282" i="1" s="1"/>
  <c r="N281" i="1"/>
  <c r="Q281" i="1" s="1"/>
  <c r="N280" i="1"/>
  <c r="Q280" i="1" s="1"/>
  <c r="N279" i="1"/>
  <c r="Q279" i="1" s="1"/>
  <c r="N278" i="1"/>
  <c r="Q278" i="1" s="1"/>
  <c r="N277" i="1"/>
  <c r="Q277" i="1" s="1"/>
  <c r="N276" i="1"/>
  <c r="Q276" i="1" s="1"/>
  <c r="N275" i="1"/>
  <c r="Q275" i="1" s="1"/>
  <c r="N274" i="1"/>
  <c r="Q274" i="1" s="1"/>
  <c r="N273" i="1"/>
  <c r="Q273" i="1" s="1"/>
  <c r="N272" i="1"/>
  <c r="Q272" i="1" s="1"/>
  <c r="N271" i="1"/>
  <c r="Q271" i="1" s="1"/>
  <c r="N270" i="1"/>
  <c r="Q270" i="1" s="1"/>
  <c r="N269" i="1"/>
  <c r="Q269" i="1" s="1"/>
  <c r="N268" i="1"/>
  <c r="Q268" i="1" s="1"/>
  <c r="N267" i="1"/>
  <c r="Q267" i="1" s="1"/>
  <c r="N266" i="1"/>
  <c r="Q266" i="1" s="1"/>
  <c r="N265" i="1"/>
  <c r="Q265" i="1" s="1"/>
  <c r="N264" i="1"/>
  <c r="Q264" i="1" s="1"/>
  <c r="N263" i="1"/>
  <c r="Q263" i="1" s="1"/>
  <c r="N262" i="1"/>
  <c r="Q262" i="1" s="1"/>
  <c r="N261" i="1"/>
  <c r="Q261" i="1" s="1"/>
  <c r="N260" i="1"/>
  <c r="Q260" i="1" s="1"/>
  <c r="N259" i="1"/>
  <c r="Q259" i="1" s="1"/>
  <c r="N258" i="1"/>
  <c r="Q258" i="1" s="1"/>
  <c r="N257" i="1"/>
  <c r="Q257" i="1" s="1"/>
  <c r="N256" i="1"/>
  <c r="Q256" i="1" s="1"/>
  <c r="N255" i="1"/>
  <c r="Q255" i="1" s="1"/>
  <c r="N254" i="1"/>
  <c r="Q254" i="1" s="1"/>
  <c r="N253" i="1"/>
  <c r="Q253" i="1" s="1"/>
  <c r="N252" i="1"/>
  <c r="Q252" i="1" s="1"/>
  <c r="N251" i="1"/>
  <c r="Q251" i="1" s="1"/>
  <c r="N250" i="1"/>
  <c r="Q250" i="1" s="1"/>
  <c r="N249" i="1"/>
  <c r="Q249" i="1" s="1"/>
  <c r="N248" i="1"/>
  <c r="Q248" i="1" s="1"/>
  <c r="N247" i="1"/>
  <c r="Q247" i="1" s="1"/>
  <c r="N246" i="1"/>
  <c r="Q246" i="1" s="1"/>
  <c r="N245" i="1"/>
  <c r="Q245" i="1" s="1"/>
  <c r="N244" i="1"/>
  <c r="Q244" i="1" s="1"/>
  <c r="N243" i="1"/>
  <c r="Q243" i="1" s="1"/>
  <c r="N242" i="1"/>
  <c r="Q242" i="1" s="1"/>
  <c r="N241" i="1"/>
  <c r="Q241" i="1" s="1"/>
  <c r="N240" i="1"/>
  <c r="Q240" i="1" s="1"/>
  <c r="N239" i="1"/>
  <c r="Q239" i="1" s="1"/>
  <c r="N238" i="1"/>
  <c r="Q238" i="1" s="1"/>
  <c r="N237" i="1"/>
  <c r="Q237" i="1" s="1"/>
  <c r="N236" i="1"/>
  <c r="Q236" i="1" s="1"/>
  <c r="N235" i="1"/>
  <c r="Q235" i="1" s="1"/>
  <c r="N234" i="1"/>
  <c r="Q234" i="1" s="1"/>
  <c r="N233" i="1"/>
  <c r="Q233" i="1" s="1"/>
  <c r="N232" i="1"/>
  <c r="Q232" i="1" s="1"/>
  <c r="N231" i="1"/>
  <c r="Q231" i="1" s="1"/>
  <c r="N230" i="1"/>
  <c r="Q230" i="1" s="1"/>
  <c r="N229" i="1"/>
  <c r="Q229" i="1" s="1"/>
  <c r="N228" i="1"/>
  <c r="Q228" i="1" s="1"/>
  <c r="N227" i="1"/>
  <c r="Q227" i="1" s="1"/>
  <c r="N226" i="1"/>
  <c r="Q226" i="1" s="1"/>
  <c r="N225" i="1"/>
  <c r="Q225" i="1" s="1"/>
  <c r="N224" i="1"/>
  <c r="Q224" i="1" s="1"/>
  <c r="N223" i="1"/>
  <c r="Q223" i="1" s="1"/>
  <c r="N222" i="1"/>
  <c r="Q222" i="1" s="1"/>
  <c r="N221" i="1"/>
  <c r="Q221" i="1" s="1"/>
  <c r="N220" i="1"/>
  <c r="Q220" i="1" s="1"/>
  <c r="N219" i="1"/>
  <c r="Q219" i="1" s="1"/>
  <c r="N218" i="1"/>
  <c r="Q218" i="1" s="1"/>
  <c r="N217" i="1"/>
  <c r="Q217" i="1" s="1"/>
  <c r="N216" i="1"/>
  <c r="Q216" i="1" s="1"/>
  <c r="N215" i="1"/>
  <c r="Q215" i="1" s="1"/>
  <c r="N214" i="1"/>
  <c r="Q214" i="1" s="1"/>
  <c r="N213" i="1"/>
  <c r="Q213" i="1" s="1"/>
  <c r="N212" i="1"/>
  <c r="Q212" i="1" s="1"/>
  <c r="N211" i="1"/>
  <c r="Q211" i="1" s="1"/>
  <c r="N210" i="1"/>
  <c r="Q210" i="1" s="1"/>
  <c r="N209" i="1"/>
  <c r="Q209" i="1" s="1"/>
  <c r="N208" i="1"/>
  <c r="Q208" i="1" s="1"/>
  <c r="N207" i="1"/>
  <c r="Q207" i="1" s="1"/>
  <c r="N206" i="1"/>
  <c r="Q206" i="1" s="1"/>
  <c r="N205" i="1"/>
  <c r="Q205" i="1" s="1"/>
  <c r="N204" i="1"/>
  <c r="Q204" i="1" s="1"/>
  <c r="N203" i="1"/>
  <c r="Q203" i="1" s="1"/>
  <c r="N202" i="1"/>
  <c r="Q202" i="1" s="1"/>
  <c r="N201" i="1"/>
  <c r="Q201" i="1" s="1"/>
  <c r="N200" i="1"/>
  <c r="Q200" i="1" s="1"/>
  <c r="N199" i="1"/>
  <c r="Q199" i="1" s="1"/>
  <c r="N198" i="1"/>
  <c r="Q198" i="1" s="1"/>
  <c r="N197" i="1"/>
  <c r="Q197" i="1" s="1"/>
  <c r="N196" i="1"/>
  <c r="Q196" i="1" s="1"/>
  <c r="N195" i="1"/>
  <c r="Q195" i="1" s="1"/>
  <c r="N194" i="1"/>
  <c r="Q194" i="1" s="1"/>
  <c r="N193" i="1"/>
  <c r="Q193" i="1" s="1"/>
  <c r="N192" i="1"/>
  <c r="Q192" i="1" s="1"/>
  <c r="N191" i="1"/>
  <c r="Q191" i="1" s="1"/>
  <c r="N190" i="1"/>
  <c r="Q190" i="1" s="1"/>
  <c r="N189" i="1"/>
  <c r="Q189" i="1" s="1"/>
  <c r="N188" i="1"/>
  <c r="Q188" i="1" s="1"/>
  <c r="N187" i="1"/>
  <c r="Q187" i="1" s="1"/>
  <c r="N186" i="1"/>
  <c r="Q186" i="1" s="1"/>
  <c r="N185" i="1"/>
  <c r="Q185" i="1" s="1"/>
  <c r="N184" i="1"/>
  <c r="Q184" i="1" s="1"/>
  <c r="N183" i="1"/>
  <c r="Q183" i="1" s="1"/>
  <c r="N182" i="1"/>
  <c r="Q182" i="1" s="1"/>
  <c r="N181" i="1"/>
  <c r="Q181" i="1" s="1"/>
  <c r="N180" i="1"/>
  <c r="Q180" i="1" s="1"/>
  <c r="N179" i="1"/>
  <c r="Q179" i="1" s="1"/>
  <c r="N178" i="1"/>
  <c r="Q178" i="1" s="1"/>
  <c r="N177" i="1"/>
  <c r="Q177" i="1" s="1"/>
  <c r="N176" i="1"/>
  <c r="Q176" i="1" s="1"/>
  <c r="N175" i="1"/>
  <c r="Q175" i="1" s="1"/>
  <c r="N174" i="1"/>
  <c r="Q174" i="1" s="1"/>
  <c r="N173" i="1"/>
  <c r="Q173" i="1" s="1"/>
  <c r="N172" i="1"/>
  <c r="Q172" i="1" s="1"/>
  <c r="N171" i="1"/>
  <c r="Q171" i="1" s="1"/>
  <c r="N170" i="1"/>
  <c r="Q170" i="1" s="1"/>
  <c r="N169" i="1"/>
  <c r="Q169" i="1" s="1"/>
  <c r="N168" i="1"/>
  <c r="Q168" i="1" s="1"/>
  <c r="N167" i="1"/>
  <c r="Q167" i="1" s="1"/>
  <c r="N166" i="1"/>
  <c r="Q166" i="1" s="1"/>
  <c r="N165" i="1"/>
  <c r="Q165" i="1" s="1"/>
  <c r="N164" i="1"/>
  <c r="Q164" i="1" s="1"/>
  <c r="N163" i="1"/>
  <c r="Q163" i="1" s="1"/>
  <c r="N162" i="1"/>
  <c r="Q162" i="1" s="1"/>
  <c r="N161" i="1"/>
  <c r="Q161" i="1" s="1"/>
  <c r="N160" i="1"/>
  <c r="Q160" i="1" s="1"/>
  <c r="N159" i="1"/>
  <c r="Q159" i="1" s="1"/>
  <c r="N158" i="1"/>
  <c r="Q158" i="1" s="1"/>
  <c r="N157" i="1"/>
  <c r="Q157" i="1" s="1"/>
  <c r="N156" i="1"/>
  <c r="Q156" i="1" s="1"/>
  <c r="N155" i="1"/>
  <c r="Q155" i="1" s="1"/>
  <c r="N154" i="1"/>
  <c r="Q154" i="1" s="1"/>
  <c r="N153" i="1"/>
  <c r="Q153" i="1" s="1"/>
  <c r="N152" i="1"/>
  <c r="Q152" i="1" s="1"/>
  <c r="N151" i="1"/>
  <c r="Q151" i="1" s="1"/>
  <c r="N150" i="1"/>
  <c r="Q150" i="1" s="1"/>
  <c r="N149" i="1"/>
  <c r="Q149" i="1" s="1"/>
  <c r="N148" i="1"/>
  <c r="Q148" i="1" s="1"/>
  <c r="N147" i="1"/>
  <c r="Q147" i="1" s="1"/>
  <c r="N146" i="1"/>
  <c r="Q146" i="1" s="1"/>
  <c r="N145" i="1"/>
  <c r="Q145" i="1" s="1"/>
  <c r="N144" i="1"/>
  <c r="Q144" i="1" s="1"/>
  <c r="N143" i="1"/>
  <c r="Q143" i="1" s="1"/>
  <c r="N142" i="1"/>
  <c r="Q142" i="1" s="1"/>
  <c r="N141" i="1"/>
  <c r="Q141" i="1" s="1"/>
  <c r="N140" i="1"/>
  <c r="Q140" i="1" s="1"/>
  <c r="N139" i="1"/>
  <c r="Q139" i="1" s="1"/>
  <c r="N138" i="1"/>
  <c r="Q138" i="1" s="1"/>
  <c r="N137" i="1"/>
  <c r="Q137" i="1" s="1"/>
  <c r="N136" i="1"/>
  <c r="Q136" i="1" s="1"/>
  <c r="N135" i="1"/>
  <c r="Q135" i="1" s="1"/>
  <c r="N134" i="1"/>
  <c r="Q134" i="1" s="1"/>
  <c r="N133" i="1"/>
  <c r="Q133" i="1" s="1"/>
  <c r="N132" i="1"/>
  <c r="Q132" i="1" s="1"/>
  <c r="N131" i="1"/>
  <c r="Q131" i="1" s="1"/>
  <c r="N130" i="1"/>
  <c r="Q130" i="1" s="1"/>
  <c r="N129" i="1"/>
  <c r="Q129" i="1" s="1"/>
  <c r="N128" i="1"/>
  <c r="Q128" i="1" s="1"/>
  <c r="N127" i="1"/>
  <c r="Q127" i="1" s="1"/>
  <c r="N126" i="1"/>
  <c r="Q126" i="1" s="1"/>
  <c r="N125" i="1"/>
  <c r="Q125" i="1" s="1"/>
  <c r="N124" i="1"/>
  <c r="Q124" i="1" s="1"/>
  <c r="N123" i="1"/>
  <c r="Q123" i="1" s="1"/>
  <c r="N122" i="1"/>
  <c r="Q122" i="1" s="1"/>
  <c r="N121" i="1"/>
  <c r="Q121" i="1" s="1"/>
  <c r="N120" i="1"/>
  <c r="Q120" i="1" s="1"/>
  <c r="N119" i="1"/>
  <c r="Q119" i="1" s="1"/>
  <c r="N118" i="1"/>
  <c r="Q118" i="1" s="1"/>
  <c r="N117" i="1"/>
  <c r="Q117" i="1" s="1"/>
  <c r="N116" i="1"/>
  <c r="Q116" i="1" s="1"/>
  <c r="N115" i="1"/>
  <c r="Q115" i="1" s="1"/>
  <c r="N114" i="1"/>
  <c r="Q114" i="1" s="1"/>
  <c r="N113" i="1"/>
  <c r="Q113" i="1" s="1"/>
  <c r="N112" i="1"/>
  <c r="Q112" i="1" s="1"/>
  <c r="N111" i="1"/>
  <c r="Q111" i="1" s="1"/>
  <c r="N110" i="1"/>
  <c r="Q110" i="1" s="1"/>
  <c r="N109" i="1"/>
  <c r="Q109" i="1" s="1"/>
  <c r="N108" i="1"/>
  <c r="Q108" i="1" s="1"/>
  <c r="N107" i="1"/>
  <c r="Q107" i="1" s="1"/>
  <c r="N106" i="1"/>
  <c r="Q106" i="1" s="1"/>
  <c r="N105" i="1"/>
  <c r="Q105" i="1" s="1"/>
  <c r="N104" i="1"/>
  <c r="Q104" i="1" s="1"/>
  <c r="N103" i="1"/>
  <c r="Q103" i="1" s="1"/>
  <c r="N102" i="1"/>
  <c r="Q102" i="1" s="1"/>
  <c r="N101" i="1"/>
  <c r="Q101" i="1" s="1"/>
  <c r="N100" i="1"/>
  <c r="Q100" i="1" s="1"/>
  <c r="N99" i="1"/>
  <c r="Q99" i="1" s="1"/>
  <c r="N98" i="1"/>
  <c r="Q98" i="1" s="1"/>
  <c r="N97" i="1"/>
  <c r="Q97" i="1" s="1"/>
  <c r="N96" i="1"/>
  <c r="Q96" i="1" s="1"/>
  <c r="N95" i="1"/>
  <c r="Q95" i="1" s="1"/>
  <c r="N94" i="1"/>
  <c r="Q94" i="1" s="1"/>
  <c r="N93" i="1"/>
  <c r="Q93" i="1" s="1"/>
  <c r="N92" i="1"/>
  <c r="Q92" i="1" s="1"/>
  <c r="N91" i="1"/>
  <c r="Q91" i="1" s="1"/>
  <c r="N90" i="1"/>
  <c r="Q90" i="1" s="1"/>
  <c r="N89" i="1"/>
  <c r="Q89" i="1" s="1"/>
  <c r="N88" i="1"/>
  <c r="Q88" i="1" s="1"/>
  <c r="N87" i="1"/>
  <c r="Q87" i="1" s="1"/>
  <c r="N86" i="1"/>
  <c r="Q86" i="1" s="1"/>
  <c r="N85" i="1"/>
  <c r="Q85" i="1" s="1"/>
  <c r="N84" i="1"/>
  <c r="Q84" i="1" s="1"/>
  <c r="N83" i="1"/>
  <c r="Q83" i="1" s="1"/>
  <c r="N82" i="1"/>
  <c r="Q82" i="1" s="1"/>
  <c r="N81" i="1"/>
  <c r="Q81" i="1" s="1"/>
  <c r="N80" i="1"/>
  <c r="Q80" i="1" s="1"/>
  <c r="N79" i="1"/>
  <c r="Q79" i="1" s="1"/>
  <c r="N78" i="1"/>
  <c r="Q78" i="1" s="1"/>
  <c r="N77" i="1"/>
  <c r="Q77" i="1" s="1"/>
  <c r="N76" i="1"/>
  <c r="Q76" i="1" s="1"/>
  <c r="N75" i="1"/>
  <c r="Q75" i="1" s="1"/>
  <c r="N74" i="1"/>
  <c r="Q74" i="1" s="1"/>
  <c r="N73" i="1"/>
  <c r="Q73" i="1" s="1"/>
  <c r="N72" i="1"/>
  <c r="Q72" i="1" s="1"/>
  <c r="N71" i="1"/>
  <c r="Q71" i="1" s="1"/>
  <c r="N70" i="1"/>
  <c r="Q70" i="1" s="1"/>
  <c r="N69" i="1"/>
  <c r="Q69" i="1" s="1"/>
  <c r="N68" i="1"/>
  <c r="Q68" i="1" s="1"/>
  <c r="N67" i="1"/>
  <c r="Q67" i="1" s="1"/>
  <c r="N66" i="1"/>
  <c r="Q66" i="1" s="1"/>
  <c r="N65" i="1"/>
  <c r="Q65" i="1" s="1"/>
  <c r="N64" i="1"/>
  <c r="Q64" i="1" s="1"/>
  <c r="N63" i="1"/>
  <c r="Q63" i="1" s="1"/>
  <c r="N62" i="1"/>
  <c r="Q62" i="1" s="1"/>
  <c r="N61" i="1"/>
  <c r="Q61" i="1" s="1"/>
  <c r="N60" i="1"/>
  <c r="Q60" i="1" s="1"/>
  <c r="N59" i="1"/>
  <c r="Q59" i="1" s="1"/>
  <c r="N58" i="1"/>
  <c r="Q58" i="1" s="1"/>
  <c r="N57" i="1"/>
  <c r="Q57" i="1" s="1"/>
  <c r="N56" i="1"/>
  <c r="Q56" i="1" s="1"/>
  <c r="N55" i="1"/>
  <c r="Q55" i="1" s="1"/>
  <c r="N54" i="1"/>
  <c r="Q54" i="1" s="1"/>
  <c r="N53" i="1"/>
  <c r="Q53" i="1" s="1"/>
  <c r="N52" i="1"/>
  <c r="Q52" i="1" s="1"/>
  <c r="N51" i="1"/>
  <c r="Q51" i="1" s="1"/>
  <c r="N50" i="1"/>
  <c r="Q50" i="1" s="1"/>
  <c r="N49" i="1"/>
  <c r="Q49" i="1" s="1"/>
  <c r="N48" i="1"/>
  <c r="Q48" i="1" s="1"/>
  <c r="N47" i="1"/>
  <c r="Q47" i="1" s="1"/>
  <c r="N46" i="1"/>
  <c r="Q46" i="1" s="1"/>
  <c r="N45" i="1"/>
  <c r="Q45" i="1" s="1"/>
  <c r="N44" i="1"/>
  <c r="Q44" i="1" s="1"/>
  <c r="N43" i="1"/>
  <c r="Q43" i="1" s="1"/>
  <c r="N42" i="1"/>
  <c r="Q42" i="1" s="1"/>
  <c r="N41" i="1"/>
  <c r="Q41" i="1" s="1"/>
  <c r="N40" i="1"/>
  <c r="Q40" i="1" s="1"/>
  <c r="N39" i="1"/>
  <c r="Q39" i="1" s="1"/>
  <c r="N38" i="1"/>
  <c r="Q38" i="1" s="1"/>
  <c r="N37" i="1"/>
  <c r="Q37" i="1" s="1"/>
  <c r="N36" i="1"/>
  <c r="Q36" i="1" s="1"/>
  <c r="N35" i="1"/>
  <c r="Q35" i="1" s="1"/>
  <c r="N34" i="1"/>
  <c r="Q34" i="1" s="1"/>
  <c r="N33" i="1"/>
  <c r="Q33" i="1" s="1"/>
  <c r="N32" i="1"/>
  <c r="Q32" i="1" s="1"/>
  <c r="N31" i="1"/>
  <c r="Q31" i="1" s="1"/>
  <c r="N30" i="1"/>
  <c r="Q30" i="1" s="1"/>
  <c r="N29" i="1"/>
  <c r="Q29" i="1" s="1"/>
  <c r="N28" i="1"/>
  <c r="Q28" i="1" s="1"/>
  <c r="N27" i="1"/>
  <c r="Q27" i="1" s="1"/>
  <c r="N26" i="1"/>
  <c r="Q26" i="1" s="1"/>
  <c r="N25" i="1"/>
  <c r="Q25" i="1" s="1"/>
  <c r="N24" i="1"/>
  <c r="Q24" i="1" s="1"/>
  <c r="N23" i="1"/>
  <c r="Q23" i="1" s="1"/>
  <c r="N22" i="1"/>
  <c r="Q22" i="1" s="1"/>
  <c r="N21" i="1"/>
  <c r="Q21" i="1" s="1"/>
  <c r="N20" i="1"/>
  <c r="Q20" i="1" s="1"/>
  <c r="N19" i="1"/>
  <c r="Q19" i="1" s="1"/>
  <c r="N18" i="1"/>
  <c r="Q18" i="1" s="1"/>
  <c r="N17" i="1"/>
  <c r="Q17" i="1" s="1"/>
  <c r="N16" i="1"/>
  <c r="Q16" i="1" s="1"/>
  <c r="N15" i="1"/>
  <c r="Q15" i="1" s="1"/>
  <c r="N14" i="1"/>
  <c r="Q14" i="1" s="1"/>
  <c r="N13" i="1"/>
  <c r="Q13" i="1" s="1"/>
  <c r="N12" i="1"/>
  <c r="Q12" i="1" s="1"/>
  <c r="N11" i="1"/>
  <c r="Q11" i="1" s="1"/>
  <c r="N10" i="1"/>
  <c r="Q10" i="1" s="1"/>
  <c r="N9" i="1"/>
  <c r="Q9" i="1" s="1"/>
  <c r="N8" i="1"/>
  <c r="Q8" i="1" s="1"/>
  <c r="N7" i="1"/>
  <c r="Q7" i="1" s="1"/>
  <c r="N6" i="1"/>
  <c r="Q6" i="1" s="1"/>
  <c r="N5" i="1"/>
  <c r="Q5" i="1" s="1"/>
  <c r="N4" i="1"/>
  <c r="Q4" i="1" s="1"/>
  <c r="N3" i="1"/>
  <c r="Q3" i="1" s="1"/>
  <c r="P109" i="6"/>
  <c r="S109" i="6" l="1"/>
  <c r="P104" i="6"/>
  <c r="S104" i="6" s="1"/>
  <c r="P103" i="6"/>
  <c r="S103" i="6" s="1"/>
  <c r="P105" i="6"/>
  <c r="S105" i="6" s="1"/>
  <c r="S107" i="6"/>
  <c r="P106" i="6"/>
  <c r="S106" i="6" s="1"/>
</calcChain>
</file>

<file path=xl/sharedStrings.xml><?xml version="1.0" encoding="utf-8"?>
<sst xmlns="http://schemas.openxmlformats.org/spreadsheetml/2006/main" count="2450" uniqueCount="58">
  <si>
    <t>Fecha</t>
  </si>
  <si>
    <t>Gasolinera</t>
  </si>
  <si>
    <t>estacionamiento</t>
  </si>
  <si>
    <t>8 leguas</t>
  </si>
  <si>
    <t>Esquina</t>
  </si>
  <si>
    <t>Fila</t>
  </si>
  <si>
    <t>Bomberos</t>
  </si>
  <si>
    <t>Ent. UNIDEP</t>
  </si>
  <si>
    <t>JUAN</t>
  </si>
  <si>
    <t>Roman</t>
  </si>
  <si>
    <t>Comedor</t>
  </si>
  <si>
    <t>PVTRANSF</t>
  </si>
  <si>
    <t>Total ventas</t>
  </si>
  <si>
    <t>Sueldos</t>
  </si>
  <si>
    <t>Reinversion fija</t>
  </si>
  <si>
    <t>Utilidad BRUTA</t>
  </si>
  <si>
    <t>Sabado</t>
  </si>
  <si>
    <t>Domingo</t>
  </si>
  <si>
    <t>Lunes</t>
  </si>
  <si>
    <t>Martes</t>
  </si>
  <si>
    <t>Miércoles</t>
  </si>
  <si>
    <t>Jueves</t>
  </si>
  <si>
    <t>Viernes</t>
  </si>
  <si>
    <t>Sábado</t>
  </si>
  <si>
    <t>Miercoles</t>
  </si>
  <si>
    <t>Llenaderas</t>
  </si>
  <si>
    <t>Estacionamiento</t>
  </si>
  <si>
    <t>Oxxo 8 leguas</t>
  </si>
  <si>
    <t>Playa</t>
  </si>
  <si>
    <t>GASO</t>
  </si>
  <si>
    <t>ARBOL FTE GASO</t>
  </si>
  <si>
    <t>Gaso hotel</t>
  </si>
  <si>
    <t>UNIDEP</t>
  </si>
  <si>
    <t>COMEDOR</t>
  </si>
  <si>
    <t>Tarjeta</t>
  </si>
  <si>
    <t>Transferencia</t>
  </si>
  <si>
    <t>2332.50</t>
  </si>
  <si>
    <t>Moto</t>
  </si>
  <si>
    <t>,</t>
  </si>
  <si>
    <t>OXXO 8 LEGUAS</t>
  </si>
  <si>
    <t>fte gaso</t>
  </si>
  <si>
    <t>Oxxo gaso</t>
  </si>
  <si>
    <t>Oxxo playa</t>
  </si>
  <si>
    <t>esquina</t>
  </si>
  <si>
    <t>llenaderas</t>
  </si>
  <si>
    <t>Cochera</t>
  </si>
  <si>
    <t>Comedor tarjeta</t>
  </si>
  <si>
    <t>Transfer</t>
  </si>
  <si>
    <t>Didi efectivo</t>
  </si>
  <si>
    <t>Didi tarjeta</t>
  </si>
  <si>
    <t>uber</t>
  </si>
  <si>
    <t>Gastos</t>
  </si>
  <si>
    <t>cochera</t>
  </si>
  <si>
    <t>Didi efect</t>
  </si>
  <si>
    <t>Didi Tarjeta</t>
  </si>
  <si>
    <t>Campo</t>
  </si>
  <si>
    <t> </t>
  </si>
  <si>
    <t>campo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</si>
</sst>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&quot;$&quot;* #,##0.00_-;\-&quot;$&quot;* #,##0.00_-;_-&quot;$&quot;* &quot;-&quot;??_-;_-@_-"/>
    <numFmt numFmtId="165" formatCode="&quot;$&quot;#,##0.00"/>
  </numFmts>
  <fonts count="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14141"/>
        <bgColor indexed="64"/>
      </patternFill>
    </fill>
    <fill>
      <patternFill patternType="solid">
        <fgColor rgb="FFFF00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1" fillId="0" borderId="0"/>
  </cellStyleXfs>
  <cellXfs count="29">
    <xf numFmtId="0" fontId="0" fillId="0" borderId="0" xfId="0"/>
    <xf numFmtId="0" fontId="3" fillId="0" borderId="0" xfId="0" applyFont="1"/>
    <xf numFmtId="164" fontId="3" fillId="2" borderId="1" xfId="1" applyFont="1" applyFill="1" applyBorder="1" applyAlignment="1">
      <alignment horizontal="center" vertical="center"/>
    </xf>
    <xf numFmtId="164" fontId="3" fillId="2" borderId="1" xfId="1" applyFont="1" applyFill="1" applyBorder="1"/>
    <xf numFmtId="0" fontId="2" fillId="6" borderId="1" xfId="0" applyFont="1" applyFill="1" applyBorder="1" applyAlignment="1">
      <alignment horizontal="center"/>
    </xf>
    <xf numFmtId="164" fontId="2" fillId="4" borderId="1" xfId="1" applyFont="1" applyFill="1" applyBorder="1"/>
    <xf numFmtId="0" fontId="2" fillId="7" borderId="1" xfId="0" applyFont="1" applyFill="1" applyBorder="1"/>
    <xf numFmtId="0" fontId="4" fillId="7" borderId="1" xfId="0" applyFont="1" applyFill="1" applyBorder="1"/>
    <xf numFmtId="164" fontId="3" fillId="2" borderId="1" xfId="0" applyNumberFormat="1" applyFont="1" applyFill="1" applyBorder="1" applyAlignment="1">
      <alignment horizontal="center" vertical="center"/>
    </xf>
    <xf numFmtId="14" fontId="2" fillId="5" borderId="1" xfId="0" applyNumberFormat="1" applyFont="1" applyFill="1" applyBorder="1" applyAlignment="1">
      <alignment horizontal="center" vertical="center"/>
    </xf>
    <xf numFmtId="14" fontId="3" fillId="2" borderId="1" xfId="0" applyNumberFormat="1" applyFont="1" applyFill="1" applyBorder="1" applyAlignment="1">
      <alignment horizontal="center" vertical="center"/>
    </xf>
    <xf numFmtId="14" fontId="0" fillId="0" borderId="0" xfId="0" applyNumberFormat="1"/>
    <xf numFmtId="165" fontId="2" fillId="3" borderId="0" xfId="0" applyNumberFormat="1" applyFont="1" applyFill="1" applyAlignment="1">
      <alignment vertical="center"/>
    </xf>
    <xf numFmtId="165" fontId="3" fillId="2" borderId="1" xfId="1" applyNumberFormat="1" applyFont="1" applyFill="1" applyBorder="1" applyAlignment="1">
      <alignment horizontal="center" vertical="center"/>
    </xf>
    <xf numFmtId="165" fontId="0" fillId="0" borderId="0" xfId="0" applyNumberFormat="1"/>
    <xf numFmtId="164" fontId="2" fillId="3" borderId="1" xfId="0" applyNumberFormat="1" applyFont="1" applyFill="1" applyBorder="1" applyAlignment="1">
      <alignment vertical="center"/>
    </xf>
    <xf numFmtId="164" fontId="2" fillId="5" borderId="1" xfId="0" applyNumberFormat="1" applyFont="1" applyFill="1" applyBorder="1" applyAlignment="1">
      <alignment horizontal="center" vertical="center"/>
    </xf>
    <xf numFmtId="164" fontId="2" fillId="5" borderId="1" xfId="0" applyNumberFormat="1" applyFont="1" applyFill="1" applyBorder="1"/>
    <xf numFmtId="164" fontId="3" fillId="4" borderId="1" xfId="1" applyFont="1" applyFill="1" applyBorder="1"/>
    <xf numFmtId="164" fontId="0" fillId="0" borderId="0" xfId="0" applyNumberFormat="1"/>
    <xf numFmtId="14" fontId="3" fillId="2" borderId="1" xfId="0" applyNumberFormat="1" applyFont="1" applyFill="1" applyBorder="1"/>
    <xf numFmtId="164" fontId="2" fillId="5" borderId="2" xfId="0" applyNumberFormat="1" applyFont="1" applyFill="1" applyBorder="1" applyAlignment="1">
      <alignment vertical="center"/>
    </xf>
    <xf numFmtId="164" fontId="2" fillId="3" borderId="0" xfId="0" applyNumberFormat="1" applyFont="1" applyFill="1" applyAlignment="1">
      <alignment vertical="center"/>
    </xf>
    <xf numFmtId="164" fontId="2" fillId="5" borderId="3" xfId="0" applyNumberFormat="1" applyFont="1" applyFill="1" applyBorder="1" applyAlignment="1">
      <alignment horizontal="center" vertical="center"/>
    </xf>
    <xf numFmtId="165" fontId="2" fillId="5" borderId="1" xfId="0" applyNumberFormat="1" applyFont="1" applyFill="1" applyBorder="1" applyAlignment="1">
      <alignment horizontal="center" vertical="center"/>
    </xf>
    <xf numFmtId="165" fontId="2" fillId="3" borderId="1" xfId="0" applyNumberFormat="1" applyFont="1" applyFill="1" applyBorder="1" applyAlignment="1">
      <alignment vertical="center"/>
    </xf>
    <xf numFmtId="165" fontId="2" fillId="5" borderId="1" xfId="0" applyNumberFormat="1" applyFont="1" applyFill="1" applyBorder="1"/>
    <xf numFmtId="165" fontId="3" fillId="2" borderId="1" xfId="1" applyNumberFormat="1" applyFont="1" applyFill="1" applyBorder="1"/>
    <xf numFmtId="165" fontId="2" fillId="4" borderId="1" xfId="1" applyNumberFormat="1" applyFont="1" applyFill="1" applyBorder="1"/>
  </cellXfs>
  <cellStyles count="2">
    <cellStyle name="Moneda" xfId="1" builtinId="4"/>
    <cellStyle name="Normal" xfId="0" builtinId="0"/>
  </cellStyles>
  <dxfs count="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ElSauceadministrativo/Shared%20Documents/1.%20Ventas/Julio%20202511.xlsx" TargetMode="External"/><Relationship Id="rId2" Type="http://schemas.openxmlformats.org/officeDocument/2006/relationships/externalLinkPath" Target="https://elsaucerestaurante.sharepoint.com/sites/ElSauceadministrativo/Shared%20Documents/1.%20Ventas/Julio%20202511.xlsx" TargetMode="External"/><Relationship Id="rId1" Type="http://schemas.openxmlformats.org/officeDocument/2006/relationships/externalLinkPath" Target="/sites/ElSauceadministrativo/Shared%20Documents/1.%20Ventas/Julio%2020251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 driveId="b!OGGbzrk_bE65PoD4j3e2Yz6rVwanjUNMgSRQqIFDzXo4IG7TCTyyQ5RaT6BKpHMd" itemId="013VL5TORFD6EOOI6DQVHLIOUWON67ALQF">
      <xxl21:absoluteUrl r:id="rId2"/>
      <xxl21:relativeUrl r:id="rId3"/>
    </xxl21:alternateUrls>
    <sheetNames>
      <sheetName val="01julio"/>
      <sheetName val="Hoja1"/>
      <sheetName val="02julio"/>
      <sheetName val="03 julio"/>
      <sheetName val="04 julio"/>
      <sheetName val="05 julio"/>
      <sheetName val="06 julio"/>
      <sheetName val="07julio"/>
      <sheetName val="9julio"/>
      <sheetName val="08julio"/>
      <sheetName val="10julio"/>
      <sheetName val="11julio"/>
      <sheetName val="12julio"/>
      <sheetName val="13julio"/>
      <sheetName val="14julio"/>
      <sheetName val="15julio"/>
      <sheetName val="16julio"/>
      <sheetName val="Hoja5"/>
      <sheetName val="17julio"/>
      <sheetName val="18julio"/>
      <sheetName val="19julio"/>
      <sheetName val="20julio"/>
      <sheetName val="21julio"/>
      <sheetName val="22julio"/>
      <sheetName val="23julio"/>
      <sheetName val="24julio"/>
      <sheetName val="26julio"/>
      <sheetName val="25julio"/>
      <sheetName val="27julio"/>
      <sheetName val="28julio"/>
      <sheetName val="29julio"/>
      <sheetName val="30julio"/>
      <sheetName val="31julio"/>
      <sheetName val="01agosto"/>
      <sheetName val="02agosto"/>
      <sheetName val=")3agosto"/>
      <sheetName val="04agosto"/>
      <sheetName val="05agosto"/>
      <sheetName val="06agosto"/>
      <sheetName val="07agosto"/>
      <sheetName val="08agosto"/>
      <sheetName val="09agosto"/>
      <sheetName val="Hoja2"/>
      <sheetName val="10agosto"/>
      <sheetName val="11agosto"/>
      <sheetName val="13agosto"/>
      <sheetName val="12agosto"/>
      <sheetName val="14agosto"/>
      <sheetName val="15agosto"/>
      <sheetName val="16agosto"/>
      <sheetName val="17agosto"/>
      <sheetName val="18 Agosto"/>
      <sheetName val="19 Agosto "/>
      <sheetName val="20 Agostos"/>
      <sheetName val="21agosto"/>
      <sheetName val="22agosto"/>
      <sheetName val="23agosto"/>
      <sheetName val="24agosto"/>
      <sheetName val="25agosto"/>
      <sheetName val="26agosto (2)"/>
      <sheetName val="Duplicada"/>
      <sheetName val="27agosto (2)"/>
      <sheetName val="28agosto"/>
      <sheetName val="29agosto"/>
      <sheetName val="30agosto"/>
      <sheetName val="31agosto"/>
      <sheetName val="01sept"/>
      <sheetName val="02sept"/>
      <sheetName val="03 sep"/>
      <sheetName val="04sept"/>
      <sheetName val="05sept"/>
      <sheetName val="06sept"/>
      <sheetName val="07sept"/>
      <sheetName val="08sept"/>
      <sheetName val="09sept"/>
      <sheetName val="10sept"/>
      <sheetName val="11sept"/>
      <sheetName val="12sept"/>
      <sheetName val="13sept"/>
      <sheetName val="14sept"/>
      <sheetName val="15sept"/>
      <sheetName val="16sept"/>
      <sheetName val="17sept"/>
      <sheetName val="18sept"/>
      <sheetName val="19sept"/>
      <sheetName val="20sept"/>
      <sheetName val="21sept"/>
      <sheetName val="22sept"/>
      <sheetName val="23sept"/>
      <sheetName val="24sept"/>
      <sheetName val="25sept"/>
      <sheetName val="26sept"/>
      <sheetName val="27sept"/>
      <sheetName val="28sept"/>
      <sheetName val="29sept"/>
      <sheetName val="30sept"/>
      <sheetName val="01oct"/>
      <sheetName val="02oct"/>
      <sheetName val="03oct"/>
      <sheetName val="04oct"/>
      <sheetName val="05oct"/>
      <sheetName val="06oct"/>
      <sheetName val="07oct"/>
      <sheetName val="08oct"/>
      <sheetName val="09oct"/>
      <sheetName val="10oct"/>
      <sheetName val="11oct"/>
      <sheetName val="12oct"/>
      <sheetName val="13oct"/>
      <sheetName val="14oct"/>
      <sheetName val="15oct"/>
      <sheetName val="16oct"/>
      <sheetName val="17oct"/>
      <sheetName val="18oct"/>
      <sheetName val="19oct"/>
      <sheetName val="20oct"/>
      <sheetName val="21oct"/>
      <sheetName val="22oct"/>
      <sheetName val="23oct"/>
      <sheetName val="24oct"/>
      <sheetName val="25oct"/>
      <sheetName val="26oct"/>
      <sheetName val="27oct"/>
      <sheetName val="28oct"/>
      <sheetName val="29oct"/>
      <sheetName val="30oct"/>
      <sheetName val="31oct"/>
      <sheetName val="01nov"/>
      <sheetName val="02nov"/>
      <sheetName val="03nov"/>
      <sheetName val="04nov"/>
      <sheetName val="05nov"/>
      <sheetName val="06nov"/>
      <sheetName val="07nov"/>
      <sheetName val="08nov"/>
      <sheetName val="09nov"/>
      <sheetName val="10nov"/>
      <sheetName val="11nov"/>
      <sheetName val="12nov"/>
      <sheetName val="13nov"/>
      <sheetName val="14nov"/>
      <sheetName val="15nov"/>
      <sheetName val="16nov"/>
      <sheetName val="17nov"/>
      <sheetName val="18nov"/>
      <sheetName val="19nov"/>
      <sheetName val="20nov"/>
      <sheetName val="21nov"/>
      <sheetName val="22nov"/>
      <sheetName val="23nov"/>
      <sheetName val="24nov"/>
      <sheetName val="25nov"/>
      <sheetName val="26nov"/>
      <sheetName val="27nov"/>
      <sheetName val="28nov"/>
      <sheetName val="29nov"/>
      <sheetName val="30nov"/>
      <sheetName val="01dic"/>
      <sheetName val="02dic"/>
      <sheetName val="03dic"/>
      <sheetName val="04dic"/>
      <sheetName val="05dic"/>
      <sheetName val="06dic"/>
      <sheetName val="07dic"/>
      <sheetName val="08dic"/>
      <sheetName val="09dic"/>
      <sheetName val="10dic"/>
      <sheetName val="11dic"/>
      <sheetName val="12dic"/>
      <sheetName val="13dic"/>
      <sheetName val="14dic"/>
      <sheetName val="15dic"/>
      <sheetName val="16dic"/>
      <sheetName val="17dic"/>
      <sheetName val="18dic"/>
      <sheetName val="19dic"/>
      <sheetName val="20dic"/>
      <sheetName val="21dic"/>
      <sheetName val="22dic"/>
      <sheetName val="23dic"/>
      <sheetName val="24dic"/>
      <sheetName val="26dic"/>
      <sheetName val="27dic"/>
      <sheetName val="28dic"/>
      <sheetName val="29dic"/>
      <sheetName val="30dic"/>
      <sheetName val="31dic"/>
      <sheetName val="02ene"/>
      <sheetName val="03ene"/>
      <sheetName val="04ene"/>
      <sheetName val="05ene"/>
      <sheetName val=" 06enero"/>
      <sheetName val="8 enero"/>
      <sheetName val="07ene"/>
      <sheetName val="09ene"/>
      <sheetName val="10ene"/>
      <sheetName val="11ene"/>
      <sheetName val="12ene"/>
      <sheetName val="13ene"/>
      <sheetName val="14ene"/>
      <sheetName val="15ene"/>
      <sheetName val="16 enero"/>
      <sheetName val="17 enero"/>
      <sheetName val="18ene"/>
      <sheetName val="19ene"/>
      <sheetName val="20ene"/>
      <sheetName val="22 Enero"/>
      <sheetName val="21ene"/>
      <sheetName val="23 Enero"/>
      <sheetName val="26 Enero"/>
      <sheetName val="25 Enero"/>
      <sheetName val="24ene"/>
      <sheetName val="27ene"/>
      <sheetName val="28ene"/>
      <sheetName val="29ene"/>
      <sheetName val="30ene"/>
      <sheetName val="31ene"/>
      <sheetName val="01feb"/>
      <sheetName val="02feb"/>
      <sheetName val="03feb"/>
      <sheetName val="04feb"/>
      <sheetName val="05feb"/>
      <sheetName val="06feb"/>
      <sheetName val="07feb"/>
      <sheetName val="08feb"/>
      <sheetName val="09feb"/>
      <sheetName val="10feb"/>
      <sheetName val="11feb"/>
      <sheetName val="12feb"/>
      <sheetName val="13feb"/>
      <sheetName val="14feb"/>
      <sheetName val="15feb"/>
      <sheetName val="16feb"/>
      <sheetName val="17feb"/>
      <sheetName val="18feb"/>
      <sheetName val="19feb"/>
      <sheetName val="20feb"/>
      <sheetName val="21feb"/>
      <sheetName val="22feb"/>
      <sheetName val="23feb"/>
      <sheetName val="24feb"/>
      <sheetName val="25feb"/>
      <sheetName val="26feb"/>
      <sheetName val="27feb"/>
      <sheetName val="28feb"/>
      <sheetName val="01marzo"/>
      <sheetName val="02mar"/>
      <sheetName val="03mar"/>
      <sheetName val="04mar"/>
      <sheetName val="05mar"/>
      <sheetName val="06mar"/>
      <sheetName val="07mar"/>
      <sheetName val="08mar"/>
      <sheetName val="09mar"/>
      <sheetName val="10mar"/>
      <sheetName val="11mar"/>
      <sheetName val="12mar"/>
      <sheetName val="13mar"/>
      <sheetName val="14 marzo"/>
      <sheetName val="15mar"/>
      <sheetName val="16mar"/>
      <sheetName val="17mar"/>
      <sheetName val="18mar"/>
      <sheetName val="19mar"/>
      <sheetName val="20mar"/>
      <sheetName val="21mar"/>
      <sheetName val="22mar"/>
      <sheetName val="23mar"/>
      <sheetName val="24mar"/>
      <sheetName val="25mar"/>
      <sheetName val="26mar"/>
      <sheetName val="27mar"/>
      <sheetName val="28mar"/>
      <sheetName val="29mar"/>
      <sheetName val="30mar"/>
      <sheetName val="31mar"/>
      <sheetName val="01abril"/>
      <sheetName val="02abril"/>
      <sheetName val="03abril"/>
      <sheetName val="04abril"/>
      <sheetName val="05abril"/>
      <sheetName val="06abril"/>
      <sheetName val="07abril"/>
      <sheetName val="08abril"/>
      <sheetName val="09abril"/>
      <sheetName val="10abril"/>
      <sheetName val="11abril"/>
      <sheetName val="12abril"/>
      <sheetName val="13abril"/>
      <sheetName val="14abril"/>
      <sheetName val="15abril"/>
      <sheetName val="16abril"/>
      <sheetName val="17abril"/>
      <sheetName val="18abril"/>
      <sheetName val="19abril"/>
      <sheetName val="20abril"/>
      <sheetName val="21abril"/>
      <sheetName val="22abril"/>
      <sheetName val="23abril"/>
      <sheetName val="24abril"/>
      <sheetName val="25abril"/>
      <sheetName val="26abril"/>
      <sheetName val="27abril"/>
      <sheetName val="28abril"/>
      <sheetName val="29abril"/>
      <sheetName val="30abril"/>
      <sheetName val="01mayo"/>
      <sheetName val="02mayo"/>
      <sheetName val="03mayo"/>
      <sheetName val="04mayo"/>
      <sheetName val="05mayo"/>
      <sheetName val="06mayo"/>
      <sheetName val="07mayo"/>
      <sheetName val="08mayo"/>
      <sheetName val="09mayo"/>
      <sheetName val="10mayo"/>
      <sheetName val="formato "/>
      <sheetName val="09mayoo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>
        <row r="2">
          <cell r="J2"/>
          <cell r="K2"/>
        </row>
        <row r="3">
          <cell r="J3"/>
          <cell r="K3"/>
        </row>
        <row r="4">
          <cell r="J4"/>
          <cell r="K4"/>
        </row>
        <row r="5">
          <cell r="J5"/>
          <cell r="K5">
            <v>188</v>
          </cell>
        </row>
        <row r="6">
          <cell r="J6"/>
          <cell r="K6"/>
          <cell r="T6">
            <v>1751</v>
          </cell>
          <cell r="W6">
            <v>1368</v>
          </cell>
          <cell r="Z6">
            <v>3134</v>
          </cell>
          <cell r="AC6">
            <v>1643</v>
          </cell>
          <cell r="AF6">
            <v>846</v>
          </cell>
          <cell r="AI6">
            <v>2384</v>
          </cell>
          <cell r="AL6">
            <v>0</v>
          </cell>
          <cell r="AP6">
            <v>10965.5</v>
          </cell>
          <cell r="AU6">
            <v>8535.5</v>
          </cell>
          <cell r="AV6">
            <v>5098</v>
          </cell>
          <cell r="AW6">
            <v>10490</v>
          </cell>
          <cell r="AX6">
            <v>5200</v>
          </cell>
          <cell r="BD6">
            <v>84</v>
          </cell>
          <cell r="BE6">
            <v>258</v>
          </cell>
        </row>
        <row r="7">
          <cell r="J7"/>
          <cell r="K7"/>
        </row>
        <row r="8">
          <cell r="J8"/>
          <cell r="K8">
            <v>286</v>
          </cell>
        </row>
        <row r="9">
          <cell r="J9"/>
          <cell r="K9"/>
        </row>
        <row r="10">
          <cell r="J10"/>
          <cell r="K10">
            <v>140</v>
          </cell>
        </row>
        <row r="11">
          <cell r="J11">
            <v>165</v>
          </cell>
          <cell r="K11"/>
        </row>
        <row r="12">
          <cell r="J12"/>
          <cell r="K12"/>
        </row>
        <row r="13">
          <cell r="J13"/>
          <cell r="K13"/>
        </row>
        <row r="14">
          <cell r="J14"/>
          <cell r="K14"/>
        </row>
        <row r="15">
          <cell r="J15"/>
          <cell r="K15">
            <v>1006</v>
          </cell>
        </row>
        <row r="16">
          <cell r="J16"/>
          <cell r="K16"/>
        </row>
        <row r="17">
          <cell r="J17"/>
          <cell r="K17"/>
        </row>
        <row r="18">
          <cell r="J18"/>
          <cell r="K18"/>
        </row>
        <row r="19">
          <cell r="J19"/>
          <cell r="K19"/>
        </row>
        <row r="20">
          <cell r="J20"/>
          <cell r="K20">
            <v>120</v>
          </cell>
        </row>
        <row r="21">
          <cell r="J21"/>
          <cell r="K21"/>
        </row>
        <row r="22">
          <cell r="J22"/>
          <cell r="K22"/>
        </row>
        <row r="23">
          <cell r="J23"/>
          <cell r="K23"/>
        </row>
        <row r="24">
          <cell r="J24">
            <v>140</v>
          </cell>
          <cell r="K24"/>
        </row>
        <row r="25">
          <cell r="J25"/>
          <cell r="K25"/>
        </row>
        <row r="26">
          <cell r="J26"/>
          <cell r="K26"/>
        </row>
        <row r="27">
          <cell r="J27">
            <v>545</v>
          </cell>
          <cell r="K27"/>
        </row>
        <row r="28">
          <cell r="J28"/>
          <cell r="K28"/>
        </row>
        <row r="29">
          <cell r="J29"/>
          <cell r="K29"/>
        </row>
        <row r="30">
          <cell r="J30"/>
          <cell r="K30"/>
        </row>
        <row r="31">
          <cell r="J31"/>
          <cell r="K31"/>
        </row>
        <row r="32">
          <cell r="J32"/>
          <cell r="K32">
            <v>157.30000000000001</v>
          </cell>
        </row>
        <row r="33">
          <cell r="J33"/>
          <cell r="K33"/>
        </row>
        <row r="34">
          <cell r="J34"/>
          <cell r="K34"/>
        </row>
        <row r="35">
          <cell r="J35"/>
          <cell r="K35">
            <v>654.5</v>
          </cell>
        </row>
        <row r="36">
          <cell r="J36"/>
          <cell r="K36"/>
        </row>
        <row r="37">
          <cell r="J37"/>
          <cell r="K37">
            <v>361</v>
          </cell>
        </row>
        <row r="38">
          <cell r="J38"/>
          <cell r="K38"/>
        </row>
        <row r="39">
          <cell r="J39"/>
          <cell r="K39"/>
        </row>
        <row r="40">
          <cell r="J40"/>
          <cell r="K40"/>
        </row>
        <row r="41">
          <cell r="J41"/>
          <cell r="K41"/>
        </row>
        <row r="42">
          <cell r="J42"/>
          <cell r="K42"/>
        </row>
        <row r="43">
          <cell r="J43"/>
          <cell r="K43"/>
        </row>
        <row r="44">
          <cell r="J44"/>
          <cell r="K44">
            <v>580</v>
          </cell>
        </row>
        <row r="45">
          <cell r="J45"/>
          <cell r="K45"/>
        </row>
        <row r="46">
          <cell r="J46"/>
          <cell r="K46">
            <v>226</v>
          </cell>
        </row>
        <row r="47">
          <cell r="J47">
            <v>202</v>
          </cell>
          <cell r="K47"/>
        </row>
        <row r="48">
          <cell r="J48"/>
          <cell r="K48"/>
        </row>
        <row r="49">
          <cell r="J49"/>
          <cell r="K49">
            <v>1069</v>
          </cell>
        </row>
        <row r="50">
          <cell r="J50"/>
          <cell r="K50"/>
        </row>
        <row r="51">
          <cell r="J51"/>
          <cell r="K51"/>
        </row>
        <row r="52">
          <cell r="J52"/>
          <cell r="K52"/>
        </row>
        <row r="53">
          <cell r="J53"/>
          <cell r="K53"/>
        </row>
        <row r="54">
          <cell r="J54"/>
          <cell r="K54"/>
        </row>
        <row r="55">
          <cell r="J55"/>
          <cell r="K55">
            <v>451</v>
          </cell>
        </row>
        <row r="56">
          <cell r="J56"/>
          <cell r="K56"/>
        </row>
        <row r="57">
          <cell r="J57"/>
          <cell r="K57">
            <v>22</v>
          </cell>
        </row>
        <row r="58">
          <cell r="J58"/>
          <cell r="K58"/>
        </row>
        <row r="59">
          <cell r="J59"/>
          <cell r="K59">
            <v>595</v>
          </cell>
        </row>
        <row r="60">
          <cell r="J60"/>
          <cell r="K60"/>
        </row>
        <row r="61">
          <cell r="J61"/>
          <cell r="K61"/>
        </row>
        <row r="62">
          <cell r="J62"/>
          <cell r="K62"/>
        </row>
        <row r="63">
          <cell r="J63"/>
          <cell r="K63"/>
        </row>
        <row r="64">
          <cell r="J64"/>
          <cell r="K64"/>
        </row>
        <row r="65">
          <cell r="J65"/>
          <cell r="K65"/>
        </row>
        <row r="66">
          <cell r="J66"/>
          <cell r="K66"/>
        </row>
        <row r="67">
          <cell r="J67"/>
          <cell r="K67"/>
        </row>
        <row r="68">
          <cell r="J68">
            <v>185</v>
          </cell>
          <cell r="K68"/>
        </row>
        <row r="69">
          <cell r="J69"/>
          <cell r="K69"/>
        </row>
        <row r="70">
          <cell r="J70"/>
          <cell r="K70">
            <v>593</v>
          </cell>
        </row>
        <row r="71">
          <cell r="J71"/>
          <cell r="K71"/>
        </row>
        <row r="72">
          <cell r="J72"/>
          <cell r="K72"/>
        </row>
        <row r="73">
          <cell r="J73"/>
          <cell r="K73"/>
        </row>
        <row r="74">
          <cell r="J74"/>
          <cell r="K74">
            <v>215</v>
          </cell>
        </row>
        <row r="75">
          <cell r="J75"/>
          <cell r="K75">
            <v>475</v>
          </cell>
        </row>
        <row r="76">
          <cell r="J76"/>
          <cell r="K76"/>
        </row>
        <row r="77">
          <cell r="J77"/>
          <cell r="K77"/>
        </row>
        <row r="78">
          <cell r="J78"/>
          <cell r="K78"/>
        </row>
        <row r="79">
          <cell r="J79"/>
          <cell r="K79"/>
        </row>
        <row r="80">
          <cell r="J80"/>
          <cell r="K80">
            <v>437.8</v>
          </cell>
        </row>
        <row r="81">
          <cell r="J81"/>
          <cell r="K81"/>
        </row>
        <row r="82">
          <cell r="J82"/>
          <cell r="K82"/>
        </row>
        <row r="83">
          <cell r="J83"/>
          <cell r="K83">
            <v>218</v>
          </cell>
        </row>
        <row r="84">
          <cell r="J84"/>
          <cell r="K84">
            <v>333</v>
          </cell>
        </row>
        <row r="85">
          <cell r="J85"/>
          <cell r="K85"/>
        </row>
        <row r="86">
          <cell r="J86"/>
          <cell r="K86"/>
        </row>
        <row r="87">
          <cell r="J87"/>
          <cell r="K87"/>
        </row>
        <row r="88">
          <cell r="J88"/>
          <cell r="K88"/>
        </row>
        <row r="89">
          <cell r="J89"/>
          <cell r="K89"/>
        </row>
        <row r="90">
          <cell r="J90"/>
          <cell r="K90"/>
        </row>
        <row r="91">
          <cell r="J91"/>
          <cell r="K91"/>
        </row>
        <row r="92">
          <cell r="J92"/>
          <cell r="K92"/>
        </row>
        <row r="93">
          <cell r="J93"/>
          <cell r="K93">
            <v>730</v>
          </cell>
        </row>
        <row r="94">
          <cell r="J94"/>
          <cell r="K94"/>
        </row>
        <row r="95">
          <cell r="J95"/>
          <cell r="K95">
            <v>660</v>
          </cell>
        </row>
        <row r="96">
          <cell r="J96"/>
          <cell r="K96"/>
        </row>
        <row r="97">
          <cell r="J97"/>
          <cell r="K97"/>
        </row>
        <row r="98">
          <cell r="J98">
            <v>170</v>
          </cell>
          <cell r="K98"/>
        </row>
        <row r="99">
          <cell r="J99"/>
          <cell r="K99"/>
        </row>
        <row r="100">
          <cell r="J100"/>
          <cell r="K100"/>
        </row>
        <row r="101">
          <cell r="J101">
            <v>198</v>
          </cell>
          <cell r="K101"/>
        </row>
        <row r="102">
          <cell r="J102"/>
          <cell r="K102"/>
        </row>
        <row r="103">
          <cell r="J103"/>
          <cell r="K103"/>
        </row>
        <row r="104">
          <cell r="J104"/>
          <cell r="K104"/>
        </row>
        <row r="105">
          <cell r="J105"/>
          <cell r="K105"/>
        </row>
        <row r="106">
          <cell r="J106"/>
          <cell r="K106"/>
        </row>
        <row r="107">
          <cell r="J107"/>
          <cell r="K107"/>
        </row>
        <row r="108">
          <cell r="J108"/>
          <cell r="K108"/>
        </row>
        <row r="109">
          <cell r="J109"/>
          <cell r="K109"/>
        </row>
        <row r="110">
          <cell r="J110"/>
          <cell r="K110"/>
        </row>
        <row r="111">
          <cell r="J111"/>
          <cell r="K111"/>
        </row>
        <row r="112">
          <cell r="J112"/>
          <cell r="K112"/>
        </row>
        <row r="113">
          <cell r="J113"/>
          <cell r="K113"/>
        </row>
        <row r="114">
          <cell r="J114"/>
          <cell r="K114"/>
        </row>
        <row r="115">
          <cell r="J115"/>
          <cell r="K115"/>
        </row>
        <row r="116">
          <cell r="J116"/>
          <cell r="K116"/>
        </row>
        <row r="117">
          <cell r="J117"/>
          <cell r="K117"/>
        </row>
        <row r="118">
          <cell r="J118"/>
          <cell r="K118"/>
        </row>
        <row r="119">
          <cell r="J119"/>
          <cell r="K119"/>
        </row>
        <row r="120">
          <cell r="J120"/>
          <cell r="K120"/>
        </row>
        <row r="121">
          <cell r="J121"/>
          <cell r="K121"/>
        </row>
        <row r="122">
          <cell r="J122"/>
          <cell r="K122"/>
        </row>
        <row r="123">
          <cell r="J123"/>
          <cell r="K123"/>
        </row>
        <row r="124">
          <cell r="J124"/>
          <cell r="K124"/>
        </row>
        <row r="125">
          <cell r="J125"/>
          <cell r="K125"/>
        </row>
        <row r="126">
          <cell r="J126"/>
          <cell r="K126"/>
        </row>
        <row r="127">
          <cell r="J127"/>
          <cell r="K127"/>
        </row>
        <row r="128">
          <cell r="J128"/>
          <cell r="K128"/>
        </row>
        <row r="129">
          <cell r="J129"/>
          <cell r="K129"/>
        </row>
        <row r="130">
          <cell r="J130"/>
          <cell r="K130"/>
        </row>
        <row r="131">
          <cell r="J131"/>
          <cell r="K131"/>
        </row>
        <row r="132">
          <cell r="J132"/>
          <cell r="K132"/>
        </row>
        <row r="133">
          <cell r="J133"/>
          <cell r="K133"/>
        </row>
        <row r="134">
          <cell r="J134"/>
          <cell r="K134"/>
        </row>
        <row r="135">
          <cell r="J135"/>
          <cell r="K135"/>
        </row>
        <row r="136">
          <cell r="J136"/>
          <cell r="K136"/>
        </row>
        <row r="137">
          <cell r="J137"/>
          <cell r="K137"/>
        </row>
        <row r="138">
          <cell r="J138"/>
          <cell r="K138"/>
        </row>
        <row r="139">
          <cell r="J139"/>
          <cell r="K139"/>
        </row>
        <row r="140">
          <cell r="J140"/>
          <cell r="K140"/>
        </row>
        <row r="141">
          <cell r="J141"/>
          <cell r="K141"/>
        </row>
        <row r="142">
          <cell r="J142"/>
          <cell r="K142"/>
        </row>
        <row r="143">
          <cell r="J143"/>
          <cell r="K143"/>
        </row>
        <row r="144">
          <cell r="J144"/>
          <cell r="K144"/>
        </row>
        <row r="145">
          <cell r="J145"/>
          <cell r="K145"/>
        </row>
        <row r="146">
          <cell r="J146"/>
          <cell r="K146"/>
        </row>
        <row r="147">
          <cell r="J147"/>
          <cell r="K147"/>
        </row>
        <row r="148">
          <cell r="J148"/>
          <cell r="K148"/>
        </row>
        <row r="149">
          <cell r="J149"/>
          <cell r="K149"/>
        </row>
        <row r="150">
          <cell r="J150"/>
          <cell r="K150"/>
        </row>
        <row r="151">
          <cell r="J151"/>
          <cell r="K151"/>
        </row>
      </sheetData>
      <sheetData sheetId="292">
        <row r="2">
          <cell r="J2"/>
          <cell r="K2"/>
        </row>
        <row r="3">
          <cell r="J3"/>
          <cell r="K3"/>
        </row>
        <row r="4">
          <cell r="J4"/>
          <cell r="K4">
            <v>60</v>
          </cell>
        </row>
        <row r="5">
          <cell r="J5"/>
          <cell r="K5">
            <v>324</v>
          </cell>
        </row>
        <row r="6">
          <cell r="J6"/>
          <cell r="K6">
            <v>173</v>
          </cell>
          <cell r="T6">
            <v>1223</v>
          </cell>
          <cell r="W6">
            <v>1165</v>
          </cell>
          <cell r="Z6">
            <v>2517</v>
          </cell>
          <cell r="AC6">
            <v>2260</v>
          </cell>
          <cell r="AF6">
            <v>1477</v>
          </cell>
          <cell r="AI6">
            <v>3474</v>
          </cell>
          <cell r="AP6">
            <v>7670.5</v>
          </cell>
          <cell r="AU6">
            <v>8181</v>
          </cell>
          <cell r="AV6">
            <v>4355</v>
          </cell>
          <cell r="AW6">
            <v>10937</v>
          </cell>
          <cell r="AX6">
            <v>0</v>
          </cell>
          <cell r="BD6">
            <v>0</v>
          </cell>
          <cell r="BE6">
            <v>229</v>
          </cell>
        </row>
        <row r="7">
          <cell r="J7"/>
          <cell r="K7"/>
        </row>
        <row r="8">
          <cell r="J8"/>
          <cell r="K8"/>
        </row>
        <row r="9">
          <cell r="J9"/>
          <cell r="K9"/>
        </row>
        <row r="10">
          <cell r="J10"/>
          <cell r="K10"/>
        </row>
        <row r="11">
          <cell r="J11"/>
          <cell r="K11">
            <v>496.1</v>
          </cell>
        </row>
        <row r="12">
          <cell r="J12"/>
          <cell r="K12"/>
        </row>
        <row r="13">
          <cell r="J13"/>
          <cell r="K13">
            <v>378</v>
          </cell>
        </row>
        <row r="14">
          <cell r="J14"/>
          <cell r="K14"/>
        </row>
        <row r="15">
          <cell r="J15"/>
          <cell r="K15"/>
        </row>
        <row r="16">
          <cell r="J16"/>
          <cell r="K16"/>
        </row>
        <row r="17">
          <cell r="J17"/>
          <cell r="K17"/>
        </row>
        <row r="18">
          <cell r="J18"/>
          <cell r="K18"/>
        </row>
        <row r="19">
          <cell r="J19"/>
          <cell r="K19"/>
        </row>
        <row r="20">
          <cell r="J20"/>
          <cell r="K20">
            <v>336</v>
          </cell>
        </row>
        <row r="21">
          <cell r="J21"/>
          <cell r="K21">
            <v>95</v>
          </cell>
        </row>
        <row r="22">
          <cell r="J22"/>
          <cell r="K22">
            <v>650.1</v>
          </cell>
        </row>
        <row r="23">
          <cell r="J23"/>
          <cell r="K23"/>
        </row>
        <row r="24">
          <cell r="J24"/>
          <cell r="K24">
            <v>644.6</v>
          </cell>
        </row>
        <row r="25">
          <cell r="J25"/>
          <cell r="K25">
            <v>814</v>
          </cell>
        </row>
        <row r="26">
          <cell r="J26"/>
          <cell r="K26"/>
        </row>
        <row r="27">
          <cell r="J27"/>
          <cell r="K27"/>
        </row>
        <row r="28">
          <cell r="J28">
            <v>190</v>
          </cell>
          <cell r="K28"/>
        </row>
        <row r="29">
          <cell r="J29"/>
          <cell r="K29">
            <v>280</v>
          </cell>
        </row>
        <row r="30">
          <cell r="J30"/>
          <cell r="K30">
            <v>215</v>
          </cell>
        </row>
        <row r="31">
          <cell r="J31"/>
          <cell r="K31"/>
        </row>
        <row r="32">
          <cell r="J32"/>
          <cell r="K32">
            <v>196</v>
          </cell>
        </row>
        <row r="33">
          <cell r="J33"/>
          <cell r="K33">
            <v>180</v>
          </cell>
        </row>
        <row r="34">
          <cell r="J34"/>
          <cell r="K34">
            <v>223</v>
          </cell>
        </row>
        <row r="35">
          <cell r="J35">
            <v>202</v>
          </cell>
          <cell r="K35"/>
        </row>
        <row r="36">
          <cell r="J36"/>
          <cell r="K36"/>
        </row>
        <row r="37">
          <cell r="J37"/>
          <cell r="K37"/>
        </row>
        <row r="38">
          <cell r="J38"/>
          <cell r="K38">
            <v>108</v>
          </cell>
        </row>
        <row r="39">
          <cell r="J39"/>
          <cell r="K39"/>
        </row>
        <row r="40">
          <cell r="J40"/>
          <cell r="K40"/>
        </row>
        <row r="41">
          <cell r="J41"/>
          <cell r="K41"/>
        </row>
        <row r="42">
          <cell r="J42"/>
          <cell r="K42">
            <v>110</v>
          </cell>
        </row>
        <row r="43">
          <cell r="J43"/>
          <cell r="K43">
            <v>320</v>
          </cell>
        </row>
        <row r="44">
          <cell r="J44"/>
          <cell r="K44"/>
        </row>
        <row r="45">
          <cell r="J45"/>
          <cell r="K45"/>
        </row>
        <row r="46">
          <cell r="J46"/>
          <cell r="K46"/>
        </row>
        <row r="47">
          <cell r="J47"/>
          <cell r="K47"/>
        </row>
        <row r="48">
          <cell r="J48"/>
          <cell r="K48"/>
        </row>
        <row r="49">
          <cell r="J49"/>
          <cell r="K49"/>
        </row>
        <row r="50">
          <cell r="J50"/>
          <cell r="K50">
            <v>674</v>
          </cell>
        </row>
        <row r="51">
          <cell r="J51"/>
          <cell r="K51">
            <v>180</v>
          </cell>
        </row>
        <row r="52">
          <cell r="J52">
            <v>220</v>
          </cell>
          <cell r="K52"/>
        </row>
        <row r="53">
          <cell r="J53"/>
          <cell r="K53"/>
        </row>
        <row r="54">
          <cell r="J54"/>
          <cell r="K54"/>
        </row>
        <row r="55">
          <cell r="J55"/>
          <cell r="K55"/>
        </row>
        <row r="56">
          <cell r="J56"/>
          <cell r="K56"/>
        </row>
        <row r="57">
          <cell r="J57"/>
          <cell r="K57"/>
        </row>
        <row r="58">
          <cell r="J58"/>
          <cell r="K58"/>
        </row>
        <row r="59">
          <cell r="J59"/>
          <cell r="K59"/>
        </row>
        <row r="60">
          <cell r="J60"/>
          <cell r="K60"/>
        </row>
        <row r="61">
          <cell r="J61"/>
          <cell r="K61"/>
        </row>
        <row r="62">
          <cell r="J62"/>
          <cell r="K62">
            <v>50</v>
          </cell>
        </row>
        <row r="63">
          <cell r="J63"/>
          <cell r="K63">
            <v>916</v>
          </cell>
        </row>
        <row r="64">
          <cell r="J64"/>
          <cell r="K64"/>
        </row>
        <row r="65">
          <cell r="J65"/>
          <cell r="K65">
            <v>311</v>
          </cell>
        </row>
        <row r="66">
          <cell r="J66"/>
          <cell r="K66">
            <v>690</v>
          </cell>
        </row>
        <row r="67">
          <cell r="J67"/>
          <cell r="K67"/>
        </row>
        <row r="68">
          <cell r="J68"/>
          <cell r="K68"/>
        </row>
        <row r="69">
          <cell r="J69"/>
          <cell r="K69"/>
        </row>
        <row r="70">
          <cell r="J70"/>
          <cell r="K70">
            <v>68</v>
          </cell>
        </row>
        <row r="71">
          <cell r="J71"/>
          <cell r="K71"/>
        </row>
        <row r="72">
          <cell r="J72"/>
          <cell r="K72"/>
        </row>
        <row r="73">
          <cell r="J73"/>
          <cell r="K73">
            <v>383</v>
          </cell>
        </row>
        <row r="74">
          <cell r="J74"/>
          <cell r="K74"/>
        </row>
        <row r="75">
          <cell r="J75"/>
          <cell r="K75">
            <v>355</v>
          </cell>
        </row>
        <row r="76">
          <cell r="J76"/>
          <cell r="K76">
            <v>375</v>
          </cell>
        </row>
        <row r="77">
          <cell r="J77"/>
          <cell r="K77">
            <v>400</v>
          </cell>
        </row>
        <row r="78">
          <cell r="J78"/>
          <cell r="K78"/>
        </row>
        <row r="79">
          <cell r="J79"/>
          <cell r="K79"/>
        </row>
        <row r="80">
          <cell r="J80">
            <v>160</v>
          </cell>
          <cell r="K80"/>
        </row>
        <row r="81">
          <cell r="J81"/>
          <cell r="K81">
            <v>315</v>
          </cell>
        </row>
        <row r="82">
          <cell r="J82"/>
          <cell r="K82"/>
        </row>
        <row r="83">
          <cell r="J83"/>
          <cell r="K83"/>
        </row>
        <row r="84">
          <cell r="J84"/>
          <cell r="K84"/>
        </row>
        <row r="85">
          <cell r="J85"/>
          <cell r="K85"/>
        </row>
        <row r="86">
          <cell r="J86"/>
          <cell r="K86">
            <v>165</v>
          </cell>
        </row>
        <row r="87">
          <cell r="J87"/>
          <cell r="K87">
            <v>75</v>
          </cell>
        </row>
        <row r="88">
          <cell r="J88"/>
          <cell r="K88">
            <v>185</v>
          </cell>
        </row>
        <row r="89">
          <cell r="J89">
            <v>170</v>
          </cell>
          <cell r="K89"/>
        </row>
        <row r="90">
          <cell r="J90"/>
          <cell r="K90"/>
        </row>
        <row r="91">
          <cell r="J91"/>
          <cell r="K91">
            <v>176</v>
          </cell>
        </row>
        <row r="92">
          <cell r="J92"/>
          <cell r="K92"/>
        </row>
        <row r="93">
          <cell r="J93"/>
          <cell r="K93"/>
        </row>
        <row r="94">
          <cell r="J94"/>
          <cell r="K94"/>
        </row>
        <row r="95">
          <cell r="J95"/>
          <cell r="K95">
            <v>685</v>
          </cell>
        </row>
        <row r="96">
          <cell r="J96"/>
          <cell r="K96"/>
        </row>
        <row r="97">
          <cell r="J97"/>
          <cell r="K97"/>
        </row>
        <row r="98">
          <cell r="J98"/>
          <cell r="K98"/>
        </row>
        <row r="99">
          <cell r="J99"/>
          <cell r="K99"/>
        </row>
        <row r="100">
          <cell r="J100"/>
          <cell r="K100"/>
        </row>
        <row r="101">
          <cell r="J101"/>
          <cell r="K101"/>
        </row>
        <row r="102">
          <cell r="J102"/>
          <cell r="K102"/>
        </row>
        <row r="103">
          <cell r="J103"/>
          <cell r="K103"/>
        </row>
        <row r="104">
          <cell r="J104"/>
          <cell r="K104"/>
        </row>
        <row r="105">
          <cell r="J105"/>
          <cell r="K105"/>
        </row>
        <row r="106">
          <cell r="J106"/>
          <cell r="K106"/>
        </row>
        <row r="107">
          <cell r="J107"/>
          <cell r="K107"/>
        </row>
        <row r="108">
          <cell r="J108"/>
          <cell r="K108"/>
        </row>
        <row r="109">
          <cell r="J109"/>
          <cell r="K109"/>
        </row>
        <row r="110">
          <cell r="J110"/>
          <cell r="K110"/>
        </row>
        <row r="111">
          <cell r="J111"/>
          <cell r="K111"/>
        </row>
        <row r="112">
          <cell r="J112"/>
          <cell r="K112"/>
        </row>
        <row r="113">
          <cell r="J113"/>
          <cell r="K113"/>
        </row>
        <row r="114">
          <cell r="J114"/>
          <cell r="K114"/>
        </row>
        <row r="115">
          <cell r="J115"/>
          <cell r="K115"/>
        </row>
        <row r="116">
          <cell r="J116"/>
          <cell r="K116"/>
        </row>
        <row r="117">
          <cell r="J117"/>
          <cell r="K117"/>
        </row>
        <row r="118">
          <cell r="J118"/>
          <cell r="K118"/>
        </row>
        <row r="119">
          <cell r="J119"/>
          <cell r="K119"/>
        </row>
        <row r="120">
          <cell r="J120"/>
          <cell r="K120"/>
        </row>
        <row r="121">
          <cell r="J121"/>
          <cell r="K121"/>
        </row>
        <row r="122">
          <cell r="J122"/>
          <cell r="K122"/>
        </row>
        <row r="123">
          <cell r="J123"/>
          <cell r="K123"/>
        </row>
        <row r="124">
          <cell r="J124"/>
          <cell r="K124"/>
        </row>
        <row r="125">
          <cell r="J125"/>
          <cell r="K125"/>
        </row>
        <row r="126">
          <cell r="J126"/>
          <cell r="K126"/>
        </row>
        <row r="127">
          <cell r="J127"/>
          <cell r="K127"/>
        </row>
        <row r="128">
          <cell r="J128"/>
          <cell r="K128"/>
        </row>
        <row r="129">
          <cell r="J129"/>
          <cell r="K129"/>
        </row>
        <row r="130">
          <cell r="J130"/>
          <cell r="K130"/>
        </row>
        <row r="131">
          <cell r="J131"/>
          <cell r="K131"/>
        </row>
        <row r="132">
          <cell r="J132"/>
          <cell r="K132"/>
        </row>
        <row r="133">
          <cell r="J133"/>
          <cell r="K133"/>
        </row>
        <row r="134">
          <cell r="J134"/>
          <cell r="K134"/>
        </row>
        <row r="135">
          <cell r="J135"/>
          <cell r="K135"/>
        </row>
        <row r="136">
          <cell r="J136"/>
          <cell r="K136"/>
        </row>
        <row r="137">
          <cell r="J137"/>
          <cell r="K137"/>
        </row>
        <row r="138">
          <cell r="J138"/>
          <cell r="K138"/>
        </row>
        <row r="139">
          <cell r="J139"/>
          <cell r="K139"/>
        </row>
        <row r="140">
          <cell r="J140"/>
          <cell r="K140"/>
        </row>
        <row r="141">
          <cell r="J141"/>
          <cell r="K141"/>
        </row>
        <row r="142">
          <cell r="J142"/>
          <cell r="K142"/>
        </row>
        <row r="143">
          <cell r="J143"/>
          <cell r="K143"/>
        </row>
        <row r="144">
          <cell r="J144"/>
          <cell r="K144"/>
        </row>
        <row r="145">
          <cell r="J145"/>
          <cell r="K145"/>
        </row>
        <row r="146">
          <cell r="J146"/>
          <cell r="K146"/>
        </row>
        <row r="147">
          <cell r="J147"/>
          <cell r="K147"/>
        </row>
        <row r="148">
          <cell r="J148"/>
          <cell r="K148"/>
        </row>
        <row r="149">
          <cell r="J149"/>
          <cell r="K149"/>
        </row>
        <row r="150">
          <cell r="J150"/>
          <cell r="K150"/>
        </row>
        <row r="151">
          <cell r="J151"/>
          <cell r="K151"/>
        </row>
      </sheetData>
      <sheetData sheetId="293">
        <row r="2">
          <cell r="J2">
            <v>150</v>
          </cell>
          <cell r="K2"/>
        </row>
        <row r="3">
          <cell r="J3"/>
          <cell r="K3"/>
        </row>
        <row r="4">
          <cell r="J4"/>
          <cell r="K4">
            <v>1096</v>
          </cell>
        </row>
        <row r="5">
          <cell r="J5"/>
          <cell r="K5">
            <v>400</v>
          </cell>
        </row>
        <row r="6">
          <cell r="J6"/>
          <cell r="K6"/>
          <cell r="T6">
            <v>1491</v>
          </cell>
          <cell r="W6">
            <v>2077</v>
          </cell>
          <cell r="Z6">
            <v>4400</v>
          </cell>
          <cell r="AC6">
            <v>1574</v>
          </cell>
          <cell r="AF6">
            <v>868</v>
          </cell>
          <cell r="AI6">
            <v>2444</v>
          </cell>
          <cell r="AP6">
            <v>20340</v>
          </cell>
          <cell r="AU6">
            <v>13825</v>
          </cell>
          <cell r="AV6">
            <v>10374</v>
          </cell>
          <cell r="AW6">
            <v>14075</v>
          </cell>
          <cell r="AX6">
            <v>6400</v>
          </cell>
          <cell r="BD6">
            <v>306.75</v>
          </cell>
          <cell r="BE6">
            <v>370</v>
          </cell>
        </row>
        <row r="7">
          <cell r="J7"/>
          <cell r="K7"/>
        </row>
        <row r="8">
          <cell r="J8"/>
          <cell r="K8"/>
        </row>
        <row r="9">
          <cell r="J9"/>
          <cell r="K9"/>
        </row>
        <row r="10">
          <cell r="J10"/>
          <cell r="K10">
            <v>1059.3</v>
          </cell>
        </row>
        <row r="11">
          <cell r="J11"/>
          <cell r="K11"/>
        </row>
        <row r="12">
          <cell r="J12"/>
          <cell r="K12"/>
        </row>
        <row r="13">
          <cell r="J13"/>
          <cell r="K13">
            <v>280</v>
          </cell>
        </row>
        <row r="14">
          <cell r="J14"/>
          <cell r="K14">
            <v>398</v>
          </cell>
        </row>
        <row r="15">
          <cell r="J15"/>
          <cell r="K15"/>
        </row>
        <row r="16">
          <cell r="J16"/>
          <cell r="K16"/>
        </row>
        <row r="17">
          <cell r="J17"/>
          <cell r="K17"/>
        </row>
        <row r="18">
          <cell r="J18"/>
          <cell r="K18"/>
        </row>
        <row r="19">
          <cell r="J19">
            <v>90</v>
          </cell>
          <cell r="K19"/>
        </row>
        <row r="20">
          <cell r="J20"/>
          <cell r="K20"/>
        </row>
        <row r="21">
          <cell r="J21"/>
          <cell r="K21">
            <v>122</v>
          </cell>
        </row>
        <row r="22">
          <cell r="J22"/>
          <cell r="K22">
            <v>22</v>
          </cell>
        </row>
        <row r="23">
          <cell r="J23"/>
          <cell r="K23">
            <v>285</v>
          </cell>
        </row>
        <row r="24">
          <cell r="J24"/>
          <cell r="K24"/>
        </row>
        <row r="25">
          <cell r="J25"/>
          <cell r="K25"/>
        </row>
        <row r="26">
          <cell r="J26"/>
          <cell r="K26">
            <v>10</v>
          </cell>
        </row>
        <row r="27">
          <cell r="J27"/>
          <cell r="K27"/>
        </row>
        <row r="28">
          <cell r="J28"/>
          <cell r="K28"/>
        </row>
        <row r="29">
          <cell r="J29"/>
          <cell r="K29">
            <v>270</v>
          </cell>
        </row>
        <row r="30">
          <cell r="J30"/>
          <cell r="K30"/>
        </row>
        <row r="31">
          <cell r="J31"/>
          <cell r="K31">
            <v>592</v>
          </cell>
        </row>
        <row r="32">
          <cell r="J32"/>
          <cell r="K32"/>
        </row>
        <row r="33">
          <cell r="J33"/>
          <cell r="K33"/>
        </row>
        <row r="34">
          <cell r="J34"/>
          <cell r="K34"/>
        </row>
        <row r="35">
          <cell r="J35"/>
          <cell r="K35"/>
        </row>
        <row r="36">
          <cell r="J36"/>
          <cell r="K36">
            <v>2622</v>
          </cell>
        </row>
        <row r="37">
          <cell r="J37"/>
          <cell r="K37"/>
        </row>
        <row r="38">
          <cell r="J38"/>
          <cell r="K38">
            <v>195</v>
          </cell>
        </row>
        <row r="39">
          <cell r="J39"/>
          <cell r="K39"/>
        </row>
        <row r="40">
          <cell r="J40"/>
          <cell r="K40"/>
        </row>
        <row r="41">
          <cell r="J41"/>
          <cell r="K41"/>
        </row>
        <row r="42">
          <cell r="J42"/>
          <cell r="K42"/>
        </row>
        <row r="43">
          <cell r="J43">
            <v>305</v>
          </cell>
          <cell r="K43"/>
        </row>
        <row r="44">
          <cell r="J44"/>
          <cell r="K44"/>
        </row>
        <row r="45">
          <cell r="J45"/>
          <cell r="K45"/>
        </row>
        <row r="46">
          <cell r="J46"/>
          <cell r="K46">
            <v>371.8</v>
          </cell>
        </row>
        <row r="47">
          <cell r="J47"/>
          <cell r="K47">
            <v>236</v>
          </cell>
        </row>
        <row r="48">
          <cell r="J48"/>
          <cell r="K48"/>
        </row>
        <row r="49">
          <cell r="J49"/>
          <cell r="K49">
            <v>1008</v>
          </cell>
        </row>
        <row r="50">
          <cell r="J50"/>
          <cell r="K50">
            <v>355.2</v>
          </cell>
        </row>
        <row r="51">
          <cell r="J51"/>
          <cell r="K51"/>
        </row>
        <row r="52">
          <cell r="J52"/>
          <cell r="K52">
            <v>1452</v>
          </cell>
        </row>
        <row r="53">
          <cell r="J53"/>
          <cell r="K53"/>
        </row>
        <row r="54">
          <cell r="J54"/>
          <cell r="K54"/>
        </row>
        <row r="55">
          <cell r="J55"/>
          <cell r="K55"/>
        </row>
        <row r="56">
          <cell r="J56"/>
          <cell r="K56"/>
        </row>
        <row r="57">
          <cell r="J57"/>
          <cell r="K57">
            <v>493</v>
          </cell>
        </row>
        <row r="58">
          <cell r="J58"/>
          <cell r="K58"/>
        </row>
        <row r="59">
          <cell r="J59"/>
          <cell r="K59">
            <v>50</v>
          </cell>
        </row>
        <row r="60">
          <cell r="J60"/>
          <cell r="K60"/>
        </row>
        <row r="61">
          <cell r="J61"/>
          <cell r="K61"/>
        </row>
        <row r="62">
          <cell r="J62"/>
          <cell r="K62">
            <v>100</v>
          </cell>
        </row>
        <row r="63">
          <cell r="J63"/>
          <cell r="K63"/>
        </row>
        <row r="64">
          <cell r="J64"/>
          <cell r="K64">
            <v>1961</v>
          </cell>
        </row>
        <row r="65">
          <cell r="J65"/>
          <cell r="K65"/>
        </row>
        <row r="66">
          <cell r="J66"/>
          <cell r="K66"/>
        </row>
        <row r="67">
          <cell r="J67"/>
          <cell r="K67"/>
        </row>
        <row r="68">
          <cell r="J68"/>
          <cell r="K68"/>
        </row>
        <row r="69">
          <cell r="J69"/>
          <cell r="K69"/>
        </row>
        <row r="70">
          <cell r="J70"/>
          <cell r="K70"/>
        </row>
        <row r="71">
          <cell r="J71"/>
          <cell r="K71"/>
        </row>
        <row r="72">
          <cell r="J72"/>
          <cell r="K72"/>
        </row>
        <row r="73">
          <cell r="J73"/>
          <cell r="K73"/>
        </row>
        <row r="74">
          <cell r="J74"/>
          <cell r="K74">
            <v>180</v>
          </cell>
        </row>
        <row r="75">
          <cell r="J75"/>
          <cell r="K75">
            <v>418</v>
          </cell>
        </row>
        <row r="76">
          <cell r="J76">
            <v>240</v>
          </cell>
          <cell r="K76"/>
        </row>
        <row r="77">
          <cell r="J77"/>
          <cell r="K77">
            <v>1024</v>
          </cell>
        </row>
        <row r="78">
          <cell r="J78"/>
          <cell r="K78">
            <v>460</v>
          </cell>
        </row>
        <row r="79">
          <cell r="J79"/>
          <cell r="K79"/>
        </row>
        <row r="80">
          <cell r="J80"/>
          <cell r="K80"/>
        </row>
        <row r="81">
          <cell r="J81">
            <v>445</v>
          </cell>
          <cell r="K81"/>
        </row>
        <row r="82">
          <cell r="J82"/>
          <cell r="K82"/>
        </row>
        <row r="83">
          <cell r="J83"/>
          <cell r="K83">
            <v>1026.3</v>
          </cell>
        </row>
        <row r="84">
          <cell r="J84">
            <v>202</v>
          </cell>
          <cell r="K84"/>
        </row>
        <row r="85">
          <cell r="J85"/>
          <cell r="K85">
            <v>90</v>
          </cell>
        </row>
        <row r="86">
          <cell r="J86"/>
          <cell r="K86">
            <v>747</v>
          </cell>
        </row>
        <row r="87">
          <cell r="J87"/>
          <cell r="K87"/>
        </row>
        <row r="88">
          <cell r="J88"/>
          <cell r="K88"/>
        </row>
        <row r="89">
          <cell r="J89"/>
          <cell r="K89">
            <v>82</v>
          </cell>
        </row>
        <row r="90">
          <cell r="J90"/>
          <cell r="K90">
            <v>400</v>
          </cell>
        </row>
        <row r="91">
          <cell r="J91"/>
          <cell r="K91"/>
        </row>
        <row r="92">
          <cell r="J92"/>
          <cell r="K92"/>
        </row>
        <row r="93">
          <cell r="J93"/>
          <cell r="K93"/>
        </row>
        <row r="94">
          <cell r="J94"/>
          <cell r="K94"/>
        </row>
        <row r="95">
          <cell r="J95"/>
          <cell r="K95"/>
        </row>
        <row r="96">
          <cell r="J96"/>
          <cell r="K96"/>
        </row>
        <row r="97">
          <cell r="J97"/>
          <cell r="K97"/>
        </row>
        <row r="98">
          <cell r="J98"/>
          <cell r="K98"/>
        </row>
        <row r="99">
          <cell r="J99"/>
          <cell r="K99"/>
        </row>
        <row r="100">
          <cell r="J100"/>
          <cell r="K100"/>
        </row>
        <row r="101">
          <cell r="J101"/>
          <cell r="K101">
            <v>1236</v>
          </cell>
        </row>
        <row r="102">
          <cell r="J102"/>
          <cell r="K102"/>
        </row>
        <row r="103">
          <cell r="J103"/>
          <cell r="K103"/>
        </row>
        <row r="104">
          <cell r="J104"/>
          <cell r="K104">
            <v>281</v>
          </cell>
        </row>
        <row r="105">
          <cell r="J105"/>
          <cell r="K105"/>
        </row>
        <row r="106">
          <cell r="J106"/>
          <cell r="K106"/>
        </row>
        <row r="107">
          <cell r="J107"/>
          <cell r="K107"/>
        </row>
        <row r="108">
          <cell r="J108"/>
          <cell r="K108"/>
        </row>
        <row r="109">
          <cell r="J109"/>
          <cell r="K109"/>
        </row>
        <row r="110">
          <cell r="J110"/>
          <cell r="K110"/>
        </row>
        <row r="111">
          <cell r="J111"/>
          <cell r="K111"/>
        </row>
        <row r="112">
          <cell r="J112">
            <v>100</v>
          </cell>
          <cell r="K112"/>
        </row>
        <row r="113">
          <cell r="J113"/>
          <cell r="K113"/>
        </row>
        <row r="114">
          <cell r="J114"/>
          <cell r="K114"/>
        </row>
        <row r="115">
          <cell r="J115"/>
          <cell r="K115"/>
        </row>
        <row r="116">
          <cell r="J116"/>
          <cell r="K116"/>
        </row>
        <row r="117">
          <cell r="J117"/>
          <cell r="K117"/>
        </row>
        <row r="118">
          <cell r="J118"/>
          <cell r="K118">
            <v>250</v>
          </cell>
        </row>
        <row r="119">
          <cell r="J119"/>
          <cell r="K119"/>
        </row>
        <row r="120">
          <cell r="J120"/>
          <cell r="K120"/>
        </row>
        <row r="121">
          <cell r="J121"/>
          <cell r="K121">
            <v>333</v>
          </cell>
        </row>
        <row r="122">
          <cell r="J122"/>
          <cell r="K122">
            <v>30</v>
          </cell>
        </row>
        <row r="123">
          <cell r="J123"/>
          <cell r="K123"/>
        </row>
        <row r="124">
          <cell r="J124"/>
          <cell r="K124"/>
        </row>
        <row r="125">
          <cell r="J125">
            <v>130</v>
          </cell>
          <cell r="K125"/>
        </row>
        <row r="126">
          <cell r="J126"/>
          <cell r="K126"/>
        </row>
        <row r="127">
          <cell r="J127"/>
          <cell r="K127">
            <v>358</v>
          </cell>
        </row>
        <row r="128">
          <cell r="J128"/>
          <cell r="K128"/>
        </row>
        <row r="129">
          <cell r="J129"/>
          <cell r="K129"/>
        </row>
        <row r="130">
          <cell r="J130"/>
          <cell r="K130"/>
        </row>
        <row r="131">
          <cell r="J131"/>
          <cell r="K131"/>
        </row>
        <row r="132">
          <cell r="J132"/>
          <cell r="K132"/>
        </row>
        <row r="133">
          <cell r="J133"/>
          <cell r="K133">
            <v>370</v>
          </cell>
        </row>
        <row r="134">
          <cell r="J134"/>
          <cell r="K134"/>
        </row>
        <row r="135">
          <cell r="J135"/>
          <cell r="K135">
            <v>155</v>
          </cell>
        </row>
        <row r="136">
          <cell r="J136"/>
          <cell r="K136"/>
        </row>
        <row r="137">
          <cell r="J137"/>
          <cell r="K137"/>
        </row>
        <row r="138">
          <cell r="J138"/>
          <cell r="K138"/>
        </row>
        <row r="139">
          <cell r="J139"/>
          <cell r="K139"/>
        </row>
        <row r="140">
          <cell r="J140">
            <v>22</v>
          </cell>
          <cell r="K140"/>
        </row>
        <row r="141">
          <cell r="J141"/>
          <cell r="K141">
            <v>506</v>
          </cell>
        </row>
        <row r="142">
          <cell r="J142"/>
          <cell r="K142"/>
        </row>
        <row r="143">
          <cell r="J143"/>
          <cell r="K143"/>
        </row>
        <row r="144">
          <cell r="J144"/>
          <cell r="K144"/>
        </row>
        <row r="145">
          <cell r="J145"/>
          <cell r="K145"/>
        </row>
        <row r="146">
          <cell r="J146"/>
          <cell r="K146"/>
        </row>
        <row r="147">
          <cell r="J147"/>
          <cell r="K147"/>
        </row>
        <row r="148">
          <cell r="J148"/>
          <cell r="K148"/>
        </row>
        <row r="149">
          <cell r="J149"/>
          <cell r="K149"/>
        </row>
        <row r="150">
          <cell r="J150"/>
          <cell r="K150"/>
        </row>
        <row r="151">
          <cell r="J151"/>
          <cell r="K151"/>
        </row>
      </sheetData>
      <sheetData sheetId="294">
        <row r="2">
          <cell r="J2"/>
          <cell r="K2">
            <v>407</v>
          </cell>
        </row>
        <row r="3">
          <cell r="J3"/>
          <cell r="K3"/>
        </row>
        <row r="4">
          <cell r="J4"/>
          <cell r="K4"/>
        </row>
        <row r="5">
          <cell r="J5"/>
          <cell r="K5"/>
        </row>
        <row r="6">
          <cell r="J6"/>
          <cell r="K6"/>
          <cell r="T6">
            <v>1851</v>
          </cell>
          <cell r="W6">
            <v>1086</v>
          </cell>
          <cell r="Z6">
            <v>4109</v>
          </cell>
          <cell r="AC6">
            <v>1980</v>
          </cell>
          <cell r="AF6">
            <v>603</v>
          </cell>
          <cell r="AI6">
            <v>1220</v>
          </cell>
          <cell r="AP6">
            <v>30029.5</v>
          </cell>
          <cell r="AU6">
            <v>10150.5</v>
          </cell>
          <cell r="AV6">
            <v>10935</v>
          </cell>
          <cell r="AW6">
            <v>15101</v>
          </cell>
          <cell r="AX6">
            <v>6800</v>
          </cell>
          <cell r="BD6">
            <v>426.25</v>
          </cell>
          <cell r="BE6">
            <v>1290.0999999999999</v>
          </cell>
        </row>
        <row r="7">
          <cell r="J7"/>
          <cell r="K7"/>
        </row>
        <row r="8">
          <cell r="J8"/>
          <cell r="K8"/>
        </row>
        <row r="9">
          <cell r="J9"/>
          <cell r="K9">
            <v>10</v>
          </cell>
        </row>
        <row r="10">
          <cell r="J10"/>
          <cell r="K10"/>
        </row>
        <row r="11">
          <cell r="J11"/>
          <cell r="K11"/>
        </row>
        <row r="12">
          <cell r="J12"/>
          <cell r="K12"/>
        </row>
        <row r="13">
          <cell r="J13"/>
          <cell r="K13"/>
        </row>
        <row r="14">
          <cell r="J14"/>
          <cell r="K14"/>
        </row>
        <row r="15">
          <cell r="J15"/>
          <cell r="K15"/>
        </row>
        <row r="16">
          <cell r="J16"/>
          <cell r="K16"/>
        </row>
        <row r="17">
          <cell r="J17"/>
          <cell r="K17"/>
        </row>
        <row r="18">
          <cell r="J18"/>
          <cell r="K18"/>
        </row>
        <row r="19">
          <cell r="J19"/>
          <cell r="K19"/>
        </row>
        <row r="20">
          <cell r="J20"/>
          <cell r="K20"/>
        </row>
        <row r="21">
          <cell r="J21"/>
          <cell r="K21"/>
        </row>
        <row r="22">
          <cell r="J22"/>
          <cell r="K22"/>
        </row>
        <row r="23">
          <cell r="J23"/>
          <cell r="K23">
            <v>790</v>
          </cell>
        </row>
        <row r="24">
          <cell r="J24"/>
          <cell r="K24"/>
        </row>
        <row r="25">
          <cell r="J25"/>
          <cell r="K25">
            <v>269.5</v>
          </cell>
        </row>
        <row r="26">
          <cell r="J26"/>
          <cell r="K26"/>
        </row>
        <row r="27">
          <cell r="J27"/>
          <cell r="K27"/>
        </row>
        <row r="28">
          <cell r="J28"/>
          <cell r="K28"/>
        </row>
        <row r="29">
          <cell r="J29"/>
          <cell r="K29">
            <v>335</v>
          </cell>
        </row>
        <row r="30">
          <cell r="J30"/>
          <cell r="K30"/>
        </row>
        <row r="31">
          <cell r="J31"/>
          <cell r="K31"/>
        </row>
        <row r="32">
          <cell r="J32"/>
          <cell r="K32"/>
        </row>
        <row r="33">
          <cell r="J33"/>
          <cell r="K33"/>
        </row>
        <row r="34">
          <cell r="J34"/>
          <cell r="K34"/>
        </row>
        <row r="35">
          <cell r="J35"/>
          <cell r="K35"/>
        </row>
        <row r="36">
          <cell r="J36"/>
          <cell r="K36"/>
        </row>
        <row r="37">
          <cell r="J37"/>
          <cell r="K37"/>
        </row>
        <row r="38">
          <cell r="J38"/>
          <cell r="K38"/>
        </row>
        <row r="39">
          <cell r="J39"/>
          <cell r="K39"/>
        </row>
        <row r="40">
          <cell r="J40"/>
          <cell r="K40"/>
        </row>
        <row r="41">
          <cell r="J41"/>
          <cell r="K41">
            <v>278</v>
          </cell>
        </row>
        <row r="42">
          <cell r="J42"/>
          <cell r="K42"/>
        </row>
        <row r="43">
          <cell r="J43">
            <v>185</v>
          </cell>
          <cell r="K43"/>
        </row>
        <row r="44">
          <cell r="J44"/>
          <cell r="K44"/>
        </row>
        <row r="45">
          <cell r="J45"/>
          <cell r="K45">
            <v>303</v>
          </cell>
        </row>
        <row r="46">
          <cell r="J46"/>
          <cell r="K46"/>
        </row>
        <row r="47">
          <cell r="J47"/>
          <cell r="K47">
            <v>139</v>
          </cell>
        </row>
        <row r="48">
          <cell r="J48"/>
          <cell r="K48">
            <v>547</v>
          </cell>
        </row>
        <row r="49">
          <cell r="J49"/>
          <cell r="K49">
            <v>845</v>
          </cell>
        </row>
        <row r="50">
          <cell r="J50"/>
          <cell r="K50"/>
        </row>
        <row r="51">
          <cell r="J51"/>
          <cell r="K51"/>
        </row>
        <row r="52">
          <cell r="J52"/>
          <cell r="K52">
            <v>448</v>
          </cell>
        </row>
        <row r="53">
          <cell r="J53"/>
          <cell r="K53"/>
        </row>
        <row r="54">
          <cell r="J54"/>
          <cell r="K54">
            <v>849</v>
          </cell>
        </row>
        <row r="55">
          <cell r="J55"/>
          <cell r="K55">
            <v>1318</v>
          </cell>
        </row>
        <row r="56">
          <cell r="J56"/>
          <cell r="K56"/>
        </row>
        <row r="57">
          <cell r="J57"/>
          <cell r="K57"/>
        </row>
        <row r="58">
          <cell r="J58"/>
          <cell r="K58"/>
        </row>
        <row r="59">
          <cell r="J59"/>
          <cell r="K59"/>
        </row>
        <row r="60">
          <cell r="J60"/>
          <cell r="K60"/>
        </row>
        <row r="61">
          <cell r="J61"/>
          <cell r="K61"/>
        </row>
        <row r="62">
          <cell r="J62"/>
          <cell r="K62">
            <v>485</v>
          </cell>
        </row>
        <row r="63">
          <cell r="J63"/>
          <cell r="K63"/>
        </row>
        <row r="64">
          <cell r="J64"/>
          <cell r="K64">
            <v>288</v>
          </cell>
        </row>
        <row r="65">
          <cell r="J65"/>
          <cell r="K65">
            <v>335</v>
          </cell>
        </row>
        <row r="66">
          <cell r="J66">
            <v>690</v>
          </cell>
          <cell r="K66"/>
        </row>
        <row r="67">
          <cell r="J67"/>
          <cell r="K67"/>
        </row>
        <row r="68">
          <cell r="J68"/>
          <cell r="K68">
            <v>226</v>
          </cell>
        </row>
        <row r="69">
          <cell r="J69"/>
          <cell r="K69"/>
        </row>
        <row r="70">
          <cell r="J70"/>
          <cell r="K70">
            <v>60</v>
          </cell>
        </row>
        <row r="71">
          <cell r="J71"/>
          <cell r="K71">
            <v>657</v>
          </cell>
        </row>
        <row r="72">
          <cell r="J72"/>
          <cell r="K72"/>
        </row>
        <row r="73">
          <cell r="J73"/>
          <cell r="K73"/>
        </row>
        <row r="74">
          <cell r="J74"/>
          <cell r="K74"/>
        </row>
        <row r="75">
          <cell r="J75"/>
          <cell r="K75"/>
        </row>
        <row r="76">
          <cell r="J76"/>
          <cell r="K76"/>
        </row>
        <row r="77">
          <cell r="J77"/>
          <cell r="K77"/>
        </row>
        <row r="78">
          <cell r="J78"/>
          <cell r="K78"/>
        </row>
        <row r="79">
          <cell r="J79"/>
          <cell r="K79"/>
        </row>
        <row r="80">
          <cell r="J80"/>
          <cell r="K80"/>
        </row>
        <row r="81">
          <cell r="J81"/>
          <cell r="K81">
            <v>422</v>
          </cell>
        </row>
        <row r="82">
          <cell r="J82"/>
          <cell r="K82">
            <v>898.15</v>
          </cell>
        </row>
        <row r="83">
          <cell r="J83"/>
          <cell r="K83">
            <v>103.4</v>
          </cell>
        </row>
        <row r="84">
          <cell r="J84">
            <v>202</v>
          </cell>
          <cell r="K84"/>
        </row>
        <row r="85">
          <cell r="J85"/>
          <cell r="K85"/>
        </row>
        <row r="86">
          <cell r="J86"/>
          <cell r="K86"/>
        </row>
        <row r="87">
          <cell r="J87"/>
          <cell r="K87">
            <v>1300</v>
          </cell>
        </row>
        <row r="88">
          <cell r="J88"/>
          <cell r="K88">
            <v>32</v>
          </cell>
        </row>
        <row r="89">
          <cell r="J89">
            <v>225</v>
          </cell>
          <cell r="K89"/>
        </row>
        <row r="90">
          <cell r="J90"/>
          <cell r="K90"/>
        </row>
        <row r="91">
          <cell r="J91"/>
          <cell r="K91"/>
        </row>
        <row r="92">
          <cell r="J92"/>
          <cell r="K92">
            <v>420</v>
          </cell>
        </row>
        <row r="93">
          <cell r="J93"/>
          <cell r="K93"/>
        </row>
        <row r="94">
          <cell r="J94"/>
          <cell r="K94">
            <v>280.5</v>
          </cell>
        </row>
        <row r="95">
          <cell r="J95"/>
          <cell r="K95"/>
        </row>
        <row r="96">
          <cell r="J96"/>
          <cell r="K96"/>
        </row>
        <row r="97">
          <cell r="J97">
            <v>190</v>
          </cell>
          <cell r="K97"/>
        </row>
        <row r="98">
          <cell r="J98"/>
          <cell r="K98"/>
        </row>
        <row r="99">
          <cell r="J99"/>
          <cell r="K99"/>
        </row>
        <row r="100">
          <cell r="J100"/>
          <cell r="K100"/>
        </row>
        <row r="101">
          <cell r="J101"/>
          <cell r="K101"/>
        </row>
        <row r="102">
          <cell r="J102"/>
          <cell r="K102"/>
        </row>
        <row r="103">
          <cell r="J103"/>
          <cell r="K103"/>
        </row>
        <row r="104">
          <cell r="J104"/>
          <cell r="K104">
            <v>481</v>
          </cell>
        </row>
        <row r="105">
          <cell r="J105"/>
          <cell r="K105"/>
        </row>
        <row r="106">
          <cell r="J106"/>
          <cell r="K106"/>
        </row>
        <row r="107">
          <cell r="J107"/>
          <cell r="K107">
            <v>235</v>
          </cell>
        </row>
        <row r="108">
          <cell r="J108"/>
          <cell r="K108">
            <v>35</v>
          </cell>
        </row>
        <row r="109">
          <cell r="J109"/>
          <cell r="K109">
            <v>250</v>
          </cell>
        </row>
        <row r="110">
          <cell r="J110"/>
          <cell r="K110"/>
        </row>
        <row r="111">
          <cell r="J111"/>
          <cell r="K111"/>
        </row>
        <row r="112">
          <cell r="J112"/>
          <cell r="K112">
            <v>390</v>
          </cell>
        </row>
        <row r="113">
          <cell r="J113"/>
          <cell r="K113"/>
        </row>
        <row r="114">
          <cell r="J114"/>
          <cell r="K114"/>
        </row>
        <row r="115">
          <cell r="J115"/>
          <cell r="K115"/>
        </row>
        <row r="116">
          <cell r="J116"/>
          <cell r="K116"/>
        </row>
        <row r="117">
          <cell r="J117"/>
          <cell r="K117"/>
        </row>
        <row r="118">
          <cell r="J118"/>
          <cell r="K118"/>
        </row>
        <row r="119">
          <cell r="J119"/>
          <cell r="K119"/>
        </row>
        <row r="120">
          <cell r="J120"/>
          <cell r="K120"/>
        </row>
        <row r="121">
          <cell r="J121"/>
          <cell r="K121"/>
        </row>
        <row r="122">
          <cell r="J122"/>
          <cell r="K122"/>
        </row>
        <row r="123">
          <cell r="J123"/>
          <cell r="K123"/>
        </row>
        <row r="124">
          <cell r="J124">
            <v>12.5</v>
          </cell>
          <cell r="K124"/>
        </row>
        <row r="125">
          <cell r="J125"/>
          <cell r="K125">
            <v>750</v>
          </cell>
        </row>
        <row r="126">
          <cell r="J126"/>
          <cell r="K126">
            <v>215</v>
          </cell>
        </row>
        <row r="127">
          <cell r="J127"/>
          <cell r="K127"/>
        </row>
        <row r="128">
          <cell r="J128"/>
          <cell r="K128"/>
        </row>
        <row r="129">
          <cell r="J129"/>
          <cell r="K129"/>
        </row>
        <row r="130">
          <cell r="J130"/>
          <cell r="K130"/>
        </row>
        <row r="131">
          <cell r="J131"/>
          <cell r="K131">
            <v>400</v>
          </cell>
        </row>
        <row r="132">
          <cell r="J132"/>
          <cell r="K132">
            <v>180</v>
          </cell>
        </row>
        <row r="133">
          <cell r="J133">
            <v>525</v>
          </cell>
          <cell r="K133"/>
        </row>
        <row r="134">
          <cell r="J134"/>
          <cell r="K134"/>
        </row>
        <row r="135">
          <cell r="J135"/>
          <cell r="K135">
            <v>766</v>
          </cell>
        </row>
        <row r="136">
          <cell r="J136"/>
          <cell r="K136"/>
        </row>
        <row r="137">
          <cell r="J137"/>
          <cell r="K137"/>
        </row>
        <row r="138">
          <cell r="J138"/>
          <cell r="K138">
            <v>75</v>
          </cell>
        </row>
        <row r="139">
          <cell r="J139"/>
          <cell r="K139"/>
        </row>
        <row r="140">
          <cell r="J140"/>
          <cell r="K140"/>
        </row>
        <row r="141">
          <cell r="J141"/>
          <cell r="K141"/>
        </row>
        <row r="142">
          <cell r="J142"/>
          <cell r="K142"/>
        </row>
        <row r="143">
          <cell r="J143"/>
          <cell r="K143"/>
        </row>
        <row r="144">
          <cell r="J144"/>
          <cell r="K144"/>
        </row>
        <row r="145">
          <cell r="J145"/>
          <cell r="K145"/>
        </row>
        <row r="146">
          <cell r="J146"/>
          <cell r="K146">
            <v>22</v>
          </cell>
        </row>
        <row r="147">
          <cell r="J147"/>
          <cell r="K147">
            <v>10</v>
          </cell>
        </row>
        <row r="148">
          <cell r="J148"/>
          <cell r="K148"/>
        </row>
        <row r="149">
          <cell r="J149"/>
          <cell r="K149"/>
        </row>
        <row r="150">
          <cell r="J150"/>
          <cell r="K150"/>
        </row>
        <row r="151">
          <cell r="J151"/>
          <cell r="K151"/>
        </row>
      </sheetData>
      <sheetData sheetId="295">
        <row r="2">
          <cell r="J2"/>
          <cell r="K2">
            <v>200</v>
          </cell>
        </row>
        <row r="3">
          <cell r="J3"/>
          <cell r="K3"/>
        </row>
        <row r="4">
          <cell r="J4"/>
          <cell r="K4"/>
        </row>
        <row r="5">
          <cell r="J5"/>
          <cell r="K5"/>
        </row>
        <row r="6">
          <cell r="J6"/>
          <cell r="K6"/>
          <cell r="T6">
            <v>2279</v>
          </cell>
          <cell r="W6">
            <v>1574</v>
          </cell>
          <cell r="Z6">
            <v>4221</v>
          </cell>
          <cell r="AC6">
            <v>1678</v>
          </cell>
          <cell r="AF6">
            <v>622</v>
          </cell>
          <cell r="AI6">
            <v>2198</v>
          </cell>
          <cell r="AP6">
            <v>16411</v>
          </cell>
          <cell r="AU6">
            <v>11014</v>
          </cell>
          <cell r="AV6">
            <v>10700</v>
          </cell>
          <cell r="AW6">
            <v>11715</v>
          </cell>
          <cell r="AX6">
            <v>300</v>
          </cell>
          <cell r="BD6">
            <v>839</v>
          </cell>
          <cell r="BE6">
            <v>795</v>
          </cell>
        </row>
        <row r="7">
          <cell r="J7"/>
          <cell r="K7"/>
        </row>
        <row r="8">
          <cell r="J8"/>
          <cell r="K8">
            <v>470</v>
          </cell>
        </row>
        <row r="9">
          <cell r="J9"/>
          <cell r="K9">
            <v>188</v>
          </cell>
        </row>
        <row r="10">
          <cell r="J10"/>
          <cell r="K10"/>
        </row>
        <row r="11">
          <cell r="J11"/>
          <cell r="K11">
            <v>723.8</v>
          </cell>
        </row>
        <row r="12">
          <cell r="J12"/>
          <cell r="K12">
            <v>258</v>
          </cell>
        </row>
        <row r="13">
          <cell r="J13">
            <v>165</v>
          </cell>
          <cell r="K13"/>
        </row>
        <row r="14">
          <cell r="J14"/>
          <cell r="K14"/>
        </row>
        <row r="15">
          <cell r="J15"/>
          <cell r="K15"/>
        </row>
        <row r="16">
          <cell r="J16"/>
          <cell r="K16"/>
        </row>
        <row r="17">
          <cell r="J17"/>
          <cell r="K17"/>
        </row>
        <row r="18">
          <cell r="J18"/>
          <cell r="K18"/>
        </row>
        <row r="19">
          <cell r="J19">
            <v>225</v>
          </cell>
          <cell r="K19"/>
        </row>
        <row r="20">
          <cell r="J20"/>
          <cell r="K20"/>
        </row>
        <row r="21">
          <cell r="J21"/>
          <cell r="K21"/>
        </row>
        <row r="22">
          <cell r="J22"/>
          <cell r="K22"/>
        </row>
        <row r="23">
          <cell r="J23"/>
          <cell r="K23">
            <v>245</v>
          </cell>
        </row>
        <row r="24">
          <cell r="J24"/>
          <cell r="K24"/>
        </row>
        <row r="25">
          <cell r="J25"/>
          <cell r="K25"/>
        </row>
        <row r="26">
          <cell r="J26"/>
          <cell r="K26"/>
        </row>
        <row r="27">
          <cell r="J27"/>
          <cell r="K27"/>
        </row>
        <row r="28">
          <cell r="J28"/>
          <cell r="K28"/>
        </row>
        <row r="29">
          <cell r="J29"/>
          <cell r="K29"/>
        </row>
        <row r="30">
          <cell r="J30"/>
          <cell r="K30"/>
        </row>
        <row r="31">
          <cell r="J31"/>
          <cell r="K31">
            <v>350</v>
          </cell>
        </row>
        <row r="32">
          <cell r="J32"/>
          <cell r="K32"/>
        </row>
        <row r="33">
          <cell r="J33"/>
          <cell r="K33"/>
        </row>
        <row r="34">
          <cell r="J34"/>
          <cell r="K34">
            <v>400.4</v>
          </cell>
        </row>
        <row r="35">
          <cell r="J35"/>
          <cell r="K35"/>
        </row>
        <row r="36">
          <cell r="J36"/>
          <cell r="K36"/>
        </row>
        <row r="37">
          <cell r="J37"/>
          <cell r="K37"/>
        </row>
        <row r="38">
          <cell r="J38">
            <v>202</v>
          </cell>
          <cell r="K38"/>
        </row>
        <row r="39">
          <cell r="J39"/>
          <cell r="K39"/>
        </row>
        <row r="40">
          <cell r="J40"/>
          <cell r="K40">
            <v>391.6</v>
          </cell>
        </row>
        <row r="41">
          <cell r="J41"/>
          <cell r="K41"/>
        </row>
        <row r="42">
          <cell r="J42"/>
          <cell r="K42"/>
        </row>
        <row r="43">
          <cell r="J43"/>
          <cell r="K43"/>
        </row>
        <row r="44">
          <cell r="J44"/>
          <cell r="K44"/>
        </row>
        <row r="45">
          <cell r="J45"/>
          <cell r="K45"/>
        </row>
        <row r="46">
          <cell r="J46"/>
          <cell r="K46"/>
        </row>
        <row r="47">
          <cell r="J47"/>
          <cell r="K47"/>
        </row>
        <row r="48">
          <cell r="J48"/>
          <cell r="K48"/>
        </row>
        <row r="49">
          <cell r="J49"/>
          <cell r="K49"/>
        </row>
        <row r="50">
          <cell r="J50"/>
          <cell r="K50"/>
        </row>
        <row r="51">
          <cell r="J51"/>
          <cell r="K51">
            <v>685</v>
          </cell>
        </row>
        <row r="52">
          <cell r="J52"/>
          <cell r="K52"/>
        </row>
        <row r="53">
          <cell r="J53"/>
          <cell r="K53">
            <v>1297</v>
          </cell>
        </row>
        <row r="54">
          <cell r="J54"/>
          <cell r="K54"/>
        </row>
        <row r="55">
          <cell r="J55"/>
          <cell r="K55"/>
        </row>
        <row r="56">
          <cell r="J56"/>
          <cell r="K56">
            <v>478.5</v>
          </cell>
        </row>
        <row r="57">
          <cell r="J57"/>
          <cell r="K57"/>
        </row>
        <row r="58">
          <cell r="J58"/>
          <cell r="K58"/>
        </row>
        <row r="59">
          <cell r="J59"/>
          <cell r="K59"/>
        </row>
        <row r="60">
          <cell r="J60"/>
          <cell r="K60"/>
        </row>
        <row r="61">
          <cell r="J61"/>
          <cell r="K61"/>
        </row>
        <row r="62">
          <cell r="J62"/>
          <cell r="K62"/>
        </row>
        <row r="63">
          <cell r="J63"/>
          <cell r="K63"/>
        </row>
        <row r="64">
          <cell r="J64"/>
          <cell r="K64"/>
        </row>
        <row r="65">
          <cell r="J65"/>
          <cell r="K65"/>
        </row>
        <row r="66">
          <cell r="J66"/>
          <cell r="K66"/>
        </row>
        <row r="67">
          <cell r="J67"/>
          <cell r="K67"/>
        </row>
        <row r="68">
          <cell r="J68"/>
          <cell r="K68"/>
        </row>
        <row r="69">
          <cell r="J69"/>
          <cell r="K69">
            <v>816</v>
          </cell>
        </row>
        <row r="70">
          <cell r="J70"/>
          <cell r="K70"/>
        </row>
        <row r="71">
          <cell r="J71"/>
          <cell r="K71"/>
        </row>
        <row r="72">
          <cell r="J72"/>
          <cell r="K72"/>
        </row>
        <row r="73">
          <cell r="J73"/>
          <cell r="K73">
            <v>200</v>
          </cell>
        </row>
        <row r="74">
          <cell r="J74"/>
          <cell r="K74">
            <v>22</v>
          </cell>
        </row>
        <row r="75">
          <cell r="J75"/>
          <cell r="K75"/>
        </row>
        <row r="76">
          <cell r="J76"/>
          <cell r="K76"/>
        </row>
        <row r="77">
          <cell r="J77"/>
          <cell r="K77">
            <v>40</v>
          </cell>
        </row>
        <row r="78">
          <cell r="J78"/>
          <cell r="K78"/>
        </row>
        <row r="79">
          <cell r="J79"/>
          <cell r="K79"/>
        </row>
        <row r="80">
          <cell r="J80"/>
          <cell r="K80"/>
        </row>
        <row r="81">
          <cell r="J81"/>
          <cell r="K81">
            <v>545.6</v>
          </cell>
        </row>
        <row r="82">
          <cell r="J82"/>
          <cell r="K82"/>
        </row>
        <row r="83">
          <cell r="J83"/>
          <cell r="K83"/>
        </row>
        <row r="84">
          <cell r="J84"/>
          <cell r="K84"/>
        </row>
        <row r="85">
          <cell r="J85"/>
          <cell r="K85"/>
        </row>
        <row r="86">
          <cell r="J86"/>
          <cell r="K86"/>
        </row>
        <row r="87">
          <cell r="J87"/>
          <cell r="K87">
            <v>168</v>
          </cell>
        </row>
        <row r="88">
          <cell r="J88"/>
          <cell r="K88"/>
        </row>
        <row r="89">
          <cell r="J89"/>
          <cell r="K89"/>
        </row>
        <row r="90">
          <cell r="J90"/>
          <cell r="K90"/>
        </row>
        <row r="91">
          <cell r="J91"/>
          <cell r="K91"/>
        </row>
        <row r="92">
          <cell r="J92"/>
          <cell r="K92"/>
        </row>
        <row r="93">
          <cell r="J93"/>
          <cell r="K93"/>
        </row>
        <row r="94">
          <cell r="J94"/>
          <cell r="K94"/>
        </row>
        <row r="95">
          <cell r="J95"/>
          <cell r="K95"/>
        </row>
        <row r="96">
          <cell r="J96"/>
          <cell r="K96"/>
        </row>
        <row r="97">
          <cell r="J97"/>
          <cell r="K97">
            <v>406</v>
          </cell>
        </row>
        <row r="98">
          <cell r="J98">
            <v>150</v>
          </cell>
          <cell r="K98"/>
        </row>
        <row r="99">
          <cell r="J99"/>
          <cell r="K99"/>
        </row>
        <row r="100">
          <cell r="J100"/>
          <cell r="K100"/>
        </row>
        <row r="101">
          <cell r="J101"/>
          <cell r="K101"/>
        </row>
        <row r="102">
          <cell r="J102"/>
          <cell r="K102"/>
        </row>
        <row r="103">
          <cell r="J103"/>
          <cell r="K103">
            <v>165</v>
          </cell>
        </row>
        <row r="104">
          <cell r="J104"/>
          <cell r="K104">
            <v>195</v>
          </cell>
        </row>
        <row r="105">
          <cell r="J105"/>
          <cell r="K105"/>
        </row>
        <row r="106">
          <cell r="J106"/>
          <cell r="K106">
            <v>405</v>
          </cell>
        </row>
        <row r="107">
          <cell r="J107"/>
          <cell r="K107"/>
        </row>
        <row r="108">
          <cell r="J108">
            <v>155</v>
          </cell>
          <cell r="K108"/>
        </row>
        <row r="109">
          <cell r="J109"/>
          <cell r="K109">
            <v>195</v>
          </cell>
        </row>
        <row r="110">
          <cell r="J110"/>
          <cell r="K110"/>
        </row>
        <row r="111">
          <cell r="J111"/>
          <cell r="K111"/>
        </row>
        <row r="112">
          <cell r="J112"/>
          <cell r="K112"/>
        </row>
        <row r="113">
          <cell r="J113"/>
          <cell r="K113">
            <v>185</v>
          </cell>
        </row>
        <row r="114">
          <cell r="J114"/>
          <cell r="K114"/>
        </row>
        <row r="115">
          <cell r="J115"/>
          <cell r="K115">
            <v>340</v>
          </cell>
        </row>
        <row r="116">
          <cell r="J116"/>
          <cell r="K116"/>
        </row>
        <row r="117">
          <cell r="J117"/>
          <cell r="K117"/>
        </row>
        <row r="118">
          <cell r="J118"/>
          <cell r="K118"/>
        </row>
        <row r="119">
          <cell r="J119"/>
          <cell r="K119"/>
        </row>
        <row r="120">
          <cell r="J120"/>
          <cell r="K120"/>
        </row>
        <row r="121">
          <cell r="J121"/>
          <cell r="K121"/>
        </row>
        <row r="122">
          <cell r="J122"/>
          <cell r="K122"/>
        </row>
        <row r="123">
          <cell r="J123"/>
          <cell r="K123"/>
        </row>
        <row r="124">
          <cell r="J124"/>
          <cell r="K124"/>
        </row>
        <row r="125">
          <cell r="J125"/>
          <cell r="K125"/>
        </row>
        <row r="126">
          <cell r="J126"/>
          <cell r="K126"/>
        </row>
        <row r="127">
          <cell r="J127"/>
          <cell r="K127"/>
        </row>
        <row r="128">
          <cell r="J128"/>
          <cell r="K128"/>
        </row>
        <row r="129">
          <cell r="J129"/>
          <cell r="K129"/>
        </row>
        <row r="130">
          <cell r="J130"/>
          <cell r="K130"/>
        </row>
        <row r="131">
          <cell r="J131"/>
          <cell r="K131"/>
        </row>
        <row r="132">
          <cell r="J132"/>
          <cell r="K132"/>
        </row>
        <row r="133">
          <cell r="J133"/>
          <cell r="K133"/>
        </row>
        <row r="134">
          <cell r="J134"/>
          <cell r="K134"/>
        </row>
        <row r="135">
          <cell r="J135"/>
          <cell r="K135"/>
        </row>
        <row r="136">
          <cell r="J136"/>
          <cell r="K136"/>
        </row>
        <row r="137">
          <cell r="J137"/>
          <cell r="K137"/>
        </row>
        <row r="138">
          <cell r="J138"/>
          <cell r="K138"/>
        </row>
        <row r="139">
          <cell r="J139"/>
          <cell r="K139"/>
        </row>
        <row r="140">
          <cell r="J140"/>
          <cell r="K140"/>
        </row>
        <row r="141">
          <cell r="J141"/>
          <cell r="K141"/>
        </row>
        <row r="142">
          <cell r="J142"/>
          <cell r="K142"/>
        </row>
        <row r="143">
          <cell r="J143"/>
          <cell r="K143"/>
        </row>
        <row r="144">
          <cell r="J144"/>
          <cell r="K144"/>
        </row>
        <row r="145">
          <cell r="J145"/>
          <cell r="K145"/>
        </row>
        <row r="146">
          <cell r="J146"/>
          <cell r="K146"/>
        </row>
        <row r="147">
          <cell r="J147"/>
          <cell r="K147"/>
        </row>
        <row r="148">
          <cell r="J148"/>
          <cell r="K148"/>
        </row>
        <row r="149">
          <cell r="J149"/>
          <cell r="K149"/>
        </row>
        <row r="150">
          <cell r="J150"/>
          <cell r="K150"/>
        </row>
        <row r="151">
          <cell r="J151"/>
          <cell r="K151"/>
        </row>
      </sheetData>
      <sheetData sheetId="296">
        <row r="2">
          <cell r="J2"/>
          <cell r="K2"/>
        </row>
        <row r="3">
          <cell r="J3"/>
          <cell r="K3"/>
        </row>
        <row r="4">
          <cell r="J4"/>
          <cell r="K4"/>
        </row>
        <row r="5">
          <cell r="J5"/>
          <cell r="K5"/>
        </row>
        <row r="6">
          <cell r="J6"/>
          <cell r="K6"/>
          <cell r="T6">
            <v>1184</v>
          </cell>
          <cell r="W6">
            <v>1152</v>
          </cell>
          <cell r="Z6">
            <v>4164</v>
          </cell>
          <cell r="AC6">
            <v>2447</v>
          </cell>
          <cell r="AF6">
            <v>374</v>
          </cell>
          <cell r="AI6">
            <v>1237</v>
          </cell>
          <cell r="AP6">
            <v>9851.5</v>
          </cell>
          <cell r="AU6">
            <v>11062</v>
          </cell>
          <cell r="AV6">
            <v>6860</v>
          </cell>
          <cell r="AW6">
            <v>12045</v>
          </cell>
          <cell r="AX6">
            <v>1000</v>
          </cell>
          <cell r="BD6">
            <v>0</v>
          </cell>
          <cell r="BE6">
            <v>115</v>
          </cell>
        </row>
        <row r="7">
          <cell r="J7">
            <v>247</v>
          </cell>
          <cell r="K7"/>
        </row>
        <row r="8">
          <cell r="J8"/>
          <cell r="K8"/>
        </row>
        <row r="9">
          <cell r="J9"/>
          <cell r="K9"/>
        </row>
        <row r="10">
          <cell r="J10"/>
          <cell r="K10"/>
        </row>
        <row r="11">
          <cell r="J11"/>
          <cell r="K11"/>
        </row>
        <row r="12">
          <cell r="J12"/>
          <cell r="K12"/>
        </row>
        <row r="13">
          <cell r="J13"/>
          <cell r="K13">
            <v>224</v>
          </cell>
        </row>
        <row r="14">
          <cell r="J14"/>
          <cell r="K14"/>
        </row>
        <row r="15">
          <cell r="J15"/>
          <cell r="K15"/>
        </row>
        <row r="16">
          <cell r="J16"/>
          <cell r="K16"/>
        </row>
        <row r="17">
          <cell r="J17"/>
          <cell r="K17"/>
        </row>
        <row r="18">
          <cell r="J18"/>
          <cell r="K18">
            <v>200</v>
          </cell>
        </row>
        <row r="19">
          <cell r="J19"/>
          <cell r="K19">
            <v>1517</v>
          </cell>
        </row>
        <row r="20">
          <cell r="J20"/>
          <cell r="K20">
            <v>385</v>
          </cell>
        </row>
        <row r="21">
          <cell r="J21"/>
          <cell r="K21">
            <v>605</v>
          </cell>
        </row>
        <row r="22">
          <cell r="J22"/>
          <cell r="K22">
            <v>422</v>
          </cell>
        </row>
        <row r="23">
          <cell r="J23"/>
          <cell r="K23"/>
        </row>
        <row r="24">
          <cell r="J24"/>
          <cell r="K24"/>
        </row>
        <row r="25">
          <cell r="J25"/>
          <cell r="K25"/>
        </row>
        <row r="26">
          <cell r="J26">
            <v>202</v>
          </cell>
          <cell r="K26"/>
        </row>
        <row r="27">
          <cell r="J27">
            <v>188</v>
          </cell>
          <cell r="K27"/>
        </row>
        <row r="28">
          <cell r="J28"/>
          <cell r="K28"/>
        </row>
        <row r="29">
          <cell r="J29">
            <v>568</v>
          </cell>
          <cell r="K29"/>
        </row>
        <row r="30">
          <cell r="J30"/>
          <cell r="K30">
            <v>525</v>
          </cell>
        </row>
        <row r="31">
          <cell r="J31"/>
          <cell r="K31">
            <v>753.5</v>
          </cell>
        </row>
        <row r="32">
          <cell r="J32"/>
          <cell r="K32">
            <v>404</v>
          </cell>
        </row>
        <row r="33">
          <cell r="J33">
            <v>100</v>
          </cell>
          <cell r="K33"/>
        </row>
        <row r="34">
          <cell r="J34"/>
          <cell r="K34"/>
        </row>
        <row r="35">
          <cell r="J35"/>
          <cell r="K35">
            <v>888</v>
          </cell>
        </row>
        <row r="36">
          <cell r="J36"/>
          <cell r="K36"/>
        </row>
        <row r="37">
          <cell r="J37"/>
          <cell r="K37"/>
        </row>
        <row r="38">
          <cell r="J38"/>
          <cell r="K38"/>
        </row>
        <row r="39">
          <cell r="J39"/>
          <cell r="K39"/>
        </row>
        <row r="40">
          <cell r="J40"/>
          <cell r="K40">
            <v>193</v>
          </cell>
        </row>
        <row r="41">
          <cell r="J41"/>
          <cell r="K41">
            <v>290</v>
          </cell>
        </row>
        <row r="42">
          <cell r="J42"/>
          <cell r="K42">
            <v>595</v>
          </cell>
        </row>
        <row r="43">
          <cell r="J43"/>
          <cell r="K43"/>
        </row>
        <row r="44">
          <cell r="J44"/>
          <cell r="K44"/>
        </row>
        <row r="45">
          <cell r="J45"/>
          <cell r="K45"/>
        </row>
        <row r="46">
          <cell r="J46"/>
          <cell r="K46"/>
        </row>
        <row r="47">
          <cell r="J47"/>
          <cell r="K47"/>
        </row>
        <row r="48">
          <cell r="J48"/>
          <cell r="K48"/>
        </row>
        <row r="49">
          <cell r="J49"/>
          <cell r="K49"/>
        </row>
        <row r="50">
          <cell r="J50"/>
          <cell r="K50"/>
        </row>
        <row r="51">
          <cell r="J51"/>
          <cell r="K51"/>
        </row>
        <row r="52">
          <cell r="J52"/>
          <cell r="K52"/>
        </row>
        <row r="53">
          <cell r="J53"/>
          <cell r="K53"/>
        </row>
        <row r="54">
          <cell r="J54"/>
          <cell r="K54"/>
        </row>
        <row r="55">
          <cell r="J55"/>
          <cell r="K55"/>
        </row>
        <row r="56">
          <cell r="J56"/>
          <cell r="K56"/>
        </row>
        <row r="57">
          <cell r="J57"/>
          <cell r="K57"/>
        </row>
        <row r="58">
          <cell r="J58"/>
          <cell r="K58">
            <v>1259</v>
          </cell>
        </row>
        <row r="59">
          <cell r="J59"/>
          <cell r="K59"/>
        </row>
        <row r="60">
          <cell r="J60"/>
          <cell r="K60"/>
        </row>
        <row r="61">
          <cell r="J61">
            <v>350</v>
          </cell>
          <cell r="K61"/>
        </row>
        <row r="62">
          <cell r="J62"/>
          <cell r="K62"/>
        </row>
        <row r="63">
          <cell r="J63"/>
          <cell r="K63"/>
        </row>
        <row r="64">
          <cell r="J64"/>
          <cell r="K64"/>
        </row>
        <row r="65">
          <cell r="J65"/>
          <cell r="K65">
            <v>330</v>
          </cell>
        </row>
        <row r="66">
          <cell r="J66"/>
          <cell r="K66"/>
        </row>
        <row r="67">
          <cell r="J67">
            <v>275</v>
          </cell>
          <cell r="K67"/>
        </row>
        <row r="68">
          <cell r="J68"/>
          <cell r="K68"/>
        </row>
        <row r="69">
          <cell r="J69"/>
          <cell r="K69"/>
        </row>
        <row r="70">
          <cell r="J70"/>
          <cell r="K70"/>
        </row>
        <row r="71">
          <cell r="J71"/>
          <cell r="K71">
            <v>319</v>
          </cell>
        </row>
        <row r="72">
          <cell r="J72"/>
          <cell r="K72"/>
        </row>
        <row r="73">
          <cell r="J73"/>
          <cell r="K73"/>
        </row>
        <row r="74">
          <cell r="J74"/>
          <cell r="K74"/>
        </row>
        <row r="75">
          <cell r="J75"/>
          <cell r="K75"/>
        </row>
        <row r="76">
          <cell r="J76"/>
          <cell r="K76"/>
        </row>
        <row r="77">
          <cell r="J77"/>
          <cell r="K77">
            <v>128</v>
          </cell>
        </row>
        <row r="78">
          <cell r="J78"/>
          <cell r="K78">
            <v>370</v>
          </cell>
        </row>
        <row r="79">
          <cell r="J79"/>
          <cell r="K79"/>
        </row>
        <row r="80">
          <cell r="J80"/>
          <cell r="K80">
            <v>213</v>
          </cell>
        </row>
        <row r="81">
          <cell r="J81"/>
          <cell r="K81"/>
        </row>
        <row r="82">
          <cell r="J82"/>
          <cell r="K82"/>
        </row>
        <row r="83">
          <cell r="J83"/>
          <cell r="K83"/>
        </row>
        <row r="84">
          <cell r="J84"/>
          <cell r="K84"/>
        </row>
        <row r="85">
          <cell r="J85"/>
          <cell r="K85"/>
        </row>
        <row r="86">
          <cell r="J86"/>
          <cell r="K86"/>
        </row>
        <row r="87">
          <cell r="J87"/>
          <cell r="K87"/>
        </row>
        <row r="88">
          <cell r="J88"/>
          <cell r="K88"/>
        </row>
        <row r="89">
          <cell r="J89"/>
          <cell r="K89"/>
        </row>
        <row r="90">
          <cell r="J90"/>
          <cell r="K90">
            <v>364</v>
          </cell>
        </row>
        <row r="91">
          <cell r="J91"/>
          <cell r="K91"/>
        </row>
        <row r="92">
          <cell r="J92">
            <v>260</v>
          </cell>
          <cell r="K92"/>
        </row>
        <row r="93">
          <cell r="J93"/>
          <cell r="K93">
            <v>195</v>
          </cell>
        </row>
        <row r="94">
          <cell r="J94"/>
          <cell r="K94">
            <v>203</v>
          </cell>
        </row>
        <row r="95">
          <cell r="J95"/>
          <cell r="K95">
            <v>293</v>
          </cell>
        </row>
        <row r="96">
          <cell r="J96"/>
          <cell r="K96"/>
        </row>
        <row r="97">
          <cell r="J97"/>
          <cell r="K97">
            <v>430</v>
          </cell>
        </row>
        <row r="98">
          <cell r="J98"/>
          <cell r="K98"/>
        </row>
        <row r="99">
          <cell r="J99"/>
          <cell r="K99">
            <v>260</v>
          </cell>
        </row>
        <row r="100">
          <cell r="J100"/>
          <cell r="K100"/>
        </row>
        <row r="101">
          <cell r="J101"/>
          <cell r="K101"/>
        </row>
        <row r="102">
          <cell r="J102"/>
          <cell r="K102">
            <v>395</v>
          </cell>
        </row>
        <row r="103">
          <cell r="J103"/>
          <cell r="K103"/>
        </row>
        <row r="104">
          <cell r="J104"/>
          <cell r="K104"/>
        </row>
        <row r="105">
          <cell r="J105">
            <v>410</v>
          </cell>
          <cell r="K105"/>
        </row>
        <row r="106">
          <cell r="J106"/>
          <cell r="K106"/>
        </row>
        <row r="107">
          <cell r="J107"/>
          <cell r="K107"/>
        </row>
        <row r="108">
          <cell r="J108"/>
          <cell r="K108"/>
        </row>
        <row r="109">
          <cell r="J109"/>
          <cell r="K109"/>
        </row>
        <row r="110">
          <cell r="J110"/>
          <cell r="K110"/>
        </row>
        <row r="111">
          <cell r="J111"/>
          <cell r="K111"/>
        </row>
        <row r="112">
          <cell r="J112"/>
          <cell r="K112"/>
        </row>
        <row r="113">
          <cell r="J113"/>
          <cell r="K113"/>
        </row>
        <row r="114">
          <cell r="J114"/>
          <cell r="K114"/>
        </row>
        <row r="115">
          <cell r="J115"/>
          <cell r="K115"/>
        </row>
        <row r="116">
          <cell r="J116"/>
          <cell r="K116"/>
        </row>
        <row r="117">
          <cell r="J117"/>
          <cell r="K117"/>
        </row>
        <row r="118">
          <cell r="J118"/>
          <cell r="K118"/>
        </row>
        <row r="119">
          <cell r="J119"/>
          <cell r="K119"/>
        </row>
        <row r="120">
          <cell r="J120"/>
          <cell r="K120"/>
        </row>
        <row r="121">
          <cell r="J121"/>
          <cell r="K121"/>
        </row>
        <row r="122">
          <cell r="J122"/>
          <cell r="K122"/>
        </row>
        <row r="123">
          <cell r="J123"/>
          <cell r="K123"/>
        </row>
        <row r="124">
          <cell r="J124"/>
          <cell r="K124"/>
        </row>
        <row r="125">
          <cell r="J125"/>
          <cell r="K125"/>
        </row>
        <row r="126">
          <cell r="J126"/>
          <cell r="K126"/>
        </row>
        <row r="127">
          <cell r="J127"/>
          <cell r="K127"/>
        </row>
        <row r="128">
          <cell r="J128"/>
          <cell r="K128"/>
        </row>
        <row r="129">
          <cell r="J129"/>
          <cell r="K129"/>
        </row>
        <row r="130">
          <cell r="J130"/>
          <cell r="K130"/>
        </row>
        <row r="131">
          <cell r="J131"/>
          <cell r="K131"/>
        </row>
        <row r="132">
          <cell r="J132"/>
          <cell r="K132"/>
        </row>
        <row r="133">
          <cell r="J133"/>
          <cell r="K133"/>
        </row>
        <row r="134">
          <cell r="J134"/>
          <cell r="K134"/>
        </row>
        <row r="135">
          <cell r="J135"/>
          <cell r="K135"/>
        </row>
        <row r="136">
          <cell r="J136"/>
          <cell r="K136"/>
        </row>
        <row r="137">
          <cell r="J137"/>
          <cell r="K137"/>
        </row>
        <row r="138">
          <cell r="J138"/>
          <cell r="K138"/>
        </row>
        <row r="139">
          <cell r="J139"/>
          <cell r="K139"/>
        </row>
        <row r="140">
          <cell r="J140"/>
          <cell r="K140"/>
        </row>
        <row r="141">
          <cell r="J141"/>
          <cell r="K141"/>
        </row>
        <row r="142">
          <cell r="J142"/>
          <cell r="K142"/>
        </row>
        <row r="143">
          <cell r="J143"/>
          <cell r="K143"/>
        </row>
        <row r="144">
          <cell r="J144"/>
          <cell r="K144"/>
        </row>
        <row r="145">
          <cell r="J145"/>
          <cell r="K145"/>
        </row>
        <row r="146">
          <cell r="J146"/>
          <cell r="K146"/>
        </row>
        <row r="147">
          <cell r="J147"/>
          <cell r="K147"/>
        </row>
        <row r="148">
          <cell r="J148"/>
          <cell r="K148"/>
        </row>
        <row r="149">
          <cell r="J149"/>
          <cell r="K149"/>
        </row>
        <row r="150">
          <cell r="J150"/>
          <cell r="K150"/>
        </row>
        <row r="151">
          <cell r="J151"/>
          <cell r="K151"/>
        </row>
      </sheetData>
      <sheetData sheetId="297">
        <row r="2">
          <cell r="J2"/>
          <cell r="K2">
            <v>100</v>
          </cell>
        </row>
        <row r="3">
          <cell r="J3"/>
          <cell r="K3">
            <v>60</v>
          </cell>
        </row>
        <row r="4">
          <cell r="J4"/>
          <cell r="K4"/>
        </row>
        <row r="5">
          <cell r="J5"/>
          <cell r="K5">
            <v>123</v>
          </cell>
        </row>
        <row r="6">
          <cell r="J6"/>
          <cell r="K6"/>
          <cell r="T6">
            <v>1386</v>
          </cell>
          <cell r="W6">
            <v>1817</v>
          </cell>
          <cell r="Z6">
            <v>3696</v>
          </cell>
          <cell r="AC6">
            <v>2647</v>
          </cell>
          <cell r="AF6">
            <v>1105</v>
          </cell>
          <cell r="AI6">
            <v>3034</v>
          </cell>
          <cell r="AP6">
            <v>7897</v>
          </cell>
          <cell r="AU6">
            <v>7206.5</v>
          </cell>
          <cell r="AV6">
            <v>2133</v>
          </cell>
          <cell r="AW6">
            <v>10573</v>
          </cell>
          <cell r="AX6">
            <v>4000</v>
          </cell>
          <cell r="BD6">
            <v>0</v>
          </cell>
          <cell r="BE6">
            <v>288.5</v>
          </cell>
        </row>
        <row r="7">
          <cell r="J7"/>
          <cell r="K7"/>
        </row>
        <row r="8">
          <cell r="J8"/>
          <cell r="K8"/>
        </row>
        <row r="9">
          <cell r="J9"/>
          <cell r="K9"/>
        </row>
        <row r="10">
          <cell r="J10">
            <v>75</v>
          </cell>
          <cell r="K10"/>
        </row>
        <row r="11">
          <cell r="J11"/>
          <cell r="K11"/>
        </row>
        <row r="12">
          <cell r="J12"/>
          <cell r="K12"/>
        </row>
        <row r="13">
          <cell r="J13"/>
          <cell r="K13"/>
        </row>
        <row r="14">
          <cell r="J14"/>
          <cell r="K14"/>
        </row>
        <row r="15">
          <cell r="J15"/>
          <cell r="K15"/>
        </row>
        <row r="16">
          <cell r="J16"/>
          <cell r="K16">
            <v>342</v>
          </cell>
        </row>
        <row r="17">
          <cell r="J17"/>
          <cell r="K17">
            <v>359</v>
          </cell>
        </row>
        <row r="18">
          <cell r="J18"/>
          <cell r="K18">
            <v>320</v>
          </cell>
        </row>
        <row r="19">
          <cell r="J19"/>
          <cell r="K19"/>
        </row>
        <row r="20">
          <cell r="J20"/>
          <cell r="K20"/>
        </row>
        <row r="21">
          <cell r="J21"/>
          <cell r="K21"/>
        </row>
        <row r="22">
          <cell r="J22"/>
          <cell r="K22">
            <v>230</v>
          </cell>
        </row>
        <row r="23">
          <cell r="J23"/>
          <cell r="K23"/>
        </row>
        <row r="24">
          <cell r="J24"/>
          <cell r="K24"/>
        </row>
        <row r="25">
          <cell r="J25"/>
          <cell r="K25"/>
        </row>
        <row r="26">
          <cell r="J26"/>
          <cell r="K26"/>
        </row>
        <row r="27">
          <cell r="J27"/>
          <cell r="K27"/>
        </row>
        <row r="28">
          <cell r="J28"/>
          <cell r="K28"/>
        </row>
        <row r="29">
          <cell r="J29"/>
          <cell r="K29"/>
        </row>
        <row r="30">
          <cell r="J30"/>
          <cell r="K30">
            <v>523</v>
          </cell>
        </row>
        <row r="31">
          <cell r="J31"/>
          <cell r="K31">
            <v>454.3</v>
          </cell>
        </row>
        <row r="32">
          <cell r="J32"/>
          <cell r="K32"/>
        </row>
        <row r="33">
          <cell r="J33"/>
          <cell r="K33"/>
        </row>
        <row r="34">
          <cell r="J34"/>
          <cell r="K34">
            <v>180</v>
          </cell>
        </row>
        <row r="35">
          <cell r="J35">
            <v>202</v>
          </cell>
          <cell r="K35"/>
        </row>
        <row r="36">
          <cell r="J36"/>
          <cell r="K36"/>
        </row>
        <row r="37">
          <cell r="J37"/>
          <cell r="K37"/>
        </row>
        <row r="38">
          <cell r="J38"/>
          <cell r="K38">
            <v>398</v>
          </cell>
        </row>
        <row r="39">
          <cell r="J39"/>
          <cell r="K39">
            <v>120</v>
          </cell>
        </row>
        <row r="40">
          <cell r="J40"/>
          <cell r="K40">
            <v>848</v>
          </cell>
        </row>
        <row r="41">
          <cell r="J41"/>
          <cell r="K41"/>
        </row>
        <row r="42">
          <cell r="J42"/>
          <cell r="K42">
            <v>476</v>
          </cell>
        </row>
        <row r="43">
          <cell r="J43"/>
          <cell r="K43"/>
        </row>
        <row r="44">
          <cell r="J44"/>
          <cell r="K44"/>
        </row>
        <row r="45">
          <cell r="J45"/>
          <cell r="K45">
            <v>420</v>
          </cell>
        </row>
        <row r="46">
          <cell r="J46"/>
          <cell r="K46"/>
        </row>
        <row r="47">
          <cell r="J47"/>
          <cell r="K47"/>
        </row>
        <row r="48">
          <cell r="J48"/>
          <cell r="K48"/>
        </row>
        <row r="49">
          <cell r="J49"/>
          <cell r="K49"/>
        </row>
        <row r="50">
          <cell r="J50"/>
          <cell r="K50"/>
        </row>
        <row r="51">
          <cell r="J51"/>
          <cell r="K51"/>
        </row>
        <row r="52">
          <cell r="J52"/>
          <cell r="K52">
            <v>184.8</v>
          </cell>
        </row>
        <row r="53">
          <cell r="J53"/>
          <cell r="K53"/>
        </row>
        <row r="54">
          <cell r="J54"/>
          <cell r="K54"/>
        </row>
        <row r="55">
          <cell r="J55"/>
          <cell r="K55">
            <v>785</v>
          </cell>
        </row>
        <row r="56">
          <cell r="J56"/>
          <cell r="K56"/>
        </row>
        <row r="57">
          <cell r="J57"/>
          <cell r="K57"/>
        </row>
        <row r="58">
          <cell r="J58"/>
          <cell r="K58"/>
        </row>
        <row r="59">
          <cell r="J59"/>
          <cell r="K59"/>
        </row>
        <row r="60">
          <cell r="J60"/>
          <cell r="K60">
            <v>490</v>
          </cell>
        </row>
        <row r="61">
          <cell r="J61"/>
          <cell r="K61"/>
        </row>
        <row r="62">
          <cell r="J62"/>
          <cell r="K62"/>
        </row>
        <row r="63">
          <cell r="J63"/>
          <cell r="K63"/>
        </row>
        <row r="64">
          <cell r="J64"/>
          <cell r="K64"/>
        </row>
        <row r="65">
          <cell r="J65"/>
          <cell r="K65"/>
        </row>
        <row r="66">
          <cell r="J66"/>
          <cell r="K66"/>
        </row>
        <row r="67">
          <cell r="J67"/>
          <cell r="K67">
            <v>390</v>
          </cell>
        </row>
        <row r="68">
          <cell r="J68"/>
          <cell r="K68">
            <v>165</v>
          </cell>
        </row>
        <row r="69">
          <cell r="J69"/>
          <cell r="K69"/>
        </row>
        <row r="70">
          <cell r="J70"/>
          <cell r="K70"/>
        </row>
        <row r="71">
          <cell r="J71"/>
          <cell r="K71"/>
        </row>
        <row r="72">
          <cell r="J72"/>
          <cell r="K72">
            <v>240</v>
          </cell>
        </row>
        <row r="73">
          <cell r="J73"/>
          <cell r="K73"/>
        </row>
        <row r="74">
          <cell r="J74"/>
          <cell r="K74"/>
        </row>
        <row r="75">
          <cell r="J75"/>
          <cell r="K75"/>
        </row>
        <row r="76">
          <cell r="J76"/>
          <cell r="K76"/>
        </row>
        <row r="77">
          <cell r="J77"/>
          <cell r="K77"/>
        </row>
        <row r="78">
          <cell r="J78"/>
          <cell r="K78"/>
        </row>
        <row r="79">
          <cell r="J79"/>
          <cell r="K79">
            <v>345</v>
          </cell>
        </row>
        <row r="80">
          <cell r="J80">
            <v>320</v>
          </cell>
          <cell r="K80"/>
        </row>
        <row r="81">
          <cell r="J81"/>
          <cell r="K81"/>
        </row>
        <row r="82">
          <cell r="J82"/>
          <cell r="K82">
            <v>283</v>
          </cell>
        </row>
        <row r="83">
          <cell r="J83"/>
          <cell r="K83">
            <v>490</v>
          </cell>
        </row>
        <row r="84">
          <cell r="J84"/>
          <cell r="K84">
            <v>135</v>
          </cell>
        </row>
        <row r="85">
          <cell r="J85"/>
          <cell r="K85">
            <v>290</v>
          </cell>
        </row>
        <row r="86">
          <cell r="J86"/>
          <cell r="K86">
            <v>740</v>
          </cell>
        </row>
        <row r="87">
          <cell r="J87"/>
          <cell r="K87"/>
        </row>
        <row r="88">
          <cell r="J88"/>
          <cell r="K88">
            <v>388</v>
          </cell>
        </row>
        <row r="89">
          <cell r="J89"/>
          <cell r="K89">
            <v>185</v>
          </cell>
        </row>
        <row r="90">
          <cell r="J90"/>
          <cell r="K90"/>
        </row>
        <row r="91">
          <cell r="J91">
            <v>323</v>
          </cell>
          <cell r="K91"/>
        </row>
        <row r="92">
          <cell r="J92"/>
          <cell r="K92"/>
        </row>
        <row r="93">
          <cell r="J93"/>
          <cell r="K93">
            <v>360</v>
          </cell>
        </row>
        <row r="94">
          <cell r="J94"/>
          <cell r="K94">
            <v>550</v>
          </cell>
        </row>
        <row r="95">
          <cell r="J95"/>
          <cell r="K95"/>
        </row>
        <row r="96">
          <cell r="J96"/>
          <cell r="K96"/>
        </row>
        <row r="97">
          <cell r="J97"/>
          <cell r="K97"/>
        </row>
        <row r="98">
          <cell r="J98"/>
          <cell r="K98"/>
        </row>
        <row r="99">
          <cell r="J99"/>
          <cell r="K99">
            <v>310</v>
          </cell>
        </row>
        <row r="100">
          <cell r="J100"/>
          <cell r="K100"/>
        </row>
        <row r="101">
          <cell r="J101">
            <v>155</v>
          </cell>
          <cell r="K101"/>
        </row>
        <row r="102">
          <cell r="J102"/>
          <cell r="K102"/>
        </row>
        <row r="103">
          <cell r="J103"/>
          <cell r="K103"/>
        </row>
        <row r="104">
          <cell r="J104"/>
          <cell r="K104"/>
        </row>
        <row r="105">
          <cell r="J105"/>
          <cell r="K105"/>
        </row>
        <row r="106">
          <cell r="J106"/>
          <cell r="K106"/>
        </row>
        <row r="107">
          <cell r="J107"/>
          <cell r="K107"/>
        </row>
        <row r="108">
          <cell r="J108"/>
          <cell r="K108"/>
        </row>
        <row r="109">
          <cell r="J109"/>
          <cell r="K109"/>
        </row>
        <row r="110">
          <cell r="J110"/>
          <cell r="K110"/>
        </row>
        <row r="111">
          <cell r="J111"/>
          <cell r="K111"/>
        </row>
        <row r="112">
          <cell r="J112"/>
          <cell r="K112"/>
        </row>
        <row r="113">
          <cell r="J113"/>
          <cell r="K113"/>
        </row>
        <row r="114">
          <cell r="J114"/>
          <cell r="K114"/>
        </row>
        <row r="115">
          <cell r="J115"/>
          <cell r="K115"/>
        </row>
        <row r="116">
          <cell r="J116"/>
          <cell r="K116"/>
        </row>
        <row r="117">
          <cell r="J117"/>
          <cell r="K117"/>
        </row>
        <row r="118">
          <cell r="J118"/>
          <cell r="K118"/>
        </row>
        <row r="119">
          <cell r="J119"/>
          <cell r="K119"/>
        </row>
        <row r="120">
          <cell r="J120"/>
          <cell r="K120"/>
        </row>
        <row r="121">
          <cell r="J121"/>
          <cell r="K121"/>
        </row>
        <row r="122">
          <cell r="J122"/>
          <cell r="K122"/>
        </row>
        <row r="123">
          <cell r="J123"/>
          <cell r="K123"/>
        </row>
        <row r="124">
          <cell r="J124"/>
          <cell r="K124"/>
        </row>
        <row r="125">
          <cell r="J125"/>
          <cell r="K125"/>
        </row>
        <row r="126">
          <cell r="J126"/>
          <cell r="K126"/>
        </row>
        <row r="127">
          <cell r="J127"/>
          <cell r="K127"/>
        </row>
        <row r="128">
          <cell r="J128"/>
          <cell r="K128"/>
        </row>
        <row r="129">
          <cell r="J129"/>
          <cell r="K129"/>
        </row>
        <row r="130">
          <cell r="J130"/>
          <cell r="K130"/>
        </row>
        <row r="131">
          <cell r="J131"/>
          <cell r="K131"/>
        </row>
        <row r="132">
          <cell r="J132"/>
          <cell r="K132"/>
        </row>
        <row r="133">
          <cell r="J133"/>
          <cell r="K133"/>
        </row>
        <row r="134">
          <cell r="J134"/>
          <cell r="K134"/>
        </row>
        <row r="135">
          <cell r="J135"/>
          <cell r="K135"/>
        </row>
        <row r="136">
          <cell r="J136"/>
          <cell r="K136"/>
        </row>
        <row r="137">
          <cell r="J137"/>
          <cell r="K137"/>
        </row>
        <row r="138">
          <cell r="J138"/>
          <cell r="K138"/>
        </row>
        <row r="139">
          <cell r="J139"/>
          <cell r="K139"/>
        </row>
        <row r="140">
          <cell r="J140"/>
          <cell r="K140"/>
        </row>
        <row r="141">
          <cell r="J141"/>
          <cell r="K141"/>
        </row>
        <row r="142">
          <cell r="J142"/>
          <cell r="K142"/>
        </row>
        <row r="143">
          <cell r="J143"/>
          <cell r="K143"/>
        </row>
        <row r="144">
          <cell r="J144"/>
          <cell r="K144"/>
        </row>
        <row r="145">
          <cell r="J145"/>
          <cell r="K145"/>
        </row>
        <row r="146">
          <cell r="J146"/>
          <cell r="K146"/>
        </row>
        <row r="147">
          <cell r="J147"/>
          <cell r="K147"/>
        </row>
        <row r="148">
          <cell r="J148"/>
          <cell r="K148"/>
        </row>
        <row r="149">
          <cell r="J149"/>
          <cell r="K149"/>
        </row>
        <row r="150">
          <cell r="J150"/>
          <cell r="K150"/>
        </row>
        <row r="151">
          <cell r="J151"/>
          <cell r="K151"/>
        </row>
      </sheetData>
      <sheetData sheetId="298">
        <row r="2">
          <cell r="J2"/>
          <cell r="K2"/>
        </row>
        <row r="3">
          <cell r="J3"/>
          <cell r="K3"/>
        </row>
        <row r="4">
          <cell r="J4"/>
          <cell r="K4">
            <v>595</v>
          </cell>
        </row>
        <row r="5">
          <cell r="J5"/>
          <cell r="K5"/>
        </row>
        <row r="6">
          <cell r="J6"/>
          <cell r="K6"/>
          <cell r="T6">
            <v>1883</v>
          </cell>
          <cell r="W6">
            <v>1438</v>
          </cell>
          <cell r="Z6">
            <v>3356</v>
          </cell>
          <cell r="AC6">
            <v>2439</v>
          </cell>
          <cell r="AF6">
            <v>750</v>
          </cell>
          <cell r="AI6">
            <v>1741</v>
          </cell>
          <cell r="AP6">
            <v>13607.5</v>
          </cell>
          <cell r="AU6">
            <v>13193.5</v>
          </cell>
          <cell r="AV6">
            <v>11279.5</v>
          </cell>
          <cell r="AW6">
            <v>10727</v>
          </cell>
          <cell r="AX6">
            <v>0</v>
          </cell>
          <cell r="BD6">
            <v>425</v>
          </cell>
          <cell r="BE6">
            <v>1258</v>
          </cell>
        </row>
        <row r="7">
          <cell r="J7"/>
          <cell r="K7"/>
        </row>
        <row r="8">
          <cell r="J8"/>
          <cell r="K8">
            <v>188</v>
          </cell>
        </row>
        <row r="9">
          <cell r="J9">
            <v>145</v>
          </cell>
          <cell r="K9"/>
        </row>
        <row r="10">
          <cell r="J10">
            <v>90</v>
          </cell>
          <cell r="K10"/>
        </row>
        <row r="11">
          <cell r="J11"/>
          <cell r="K11"/>
        </row>
        <row r="12">
          <cell r="J12"/>
          <cell r="K12"/>
        </row>
        <row r="13">
          <cell r="J13"/>
          <cell r="K13"/>
        </row>
        <row r="14">
          <cell r="J14"/>
          <cell r="K14"/>
        </row>
        <row r="15">
          <cell r="J15"/>
          <cell r="K15"/>
        </row>
        <row r="16">
          <cell r="J16"/>
          <cell r="K16">
            <v>320.10000000000002</v>
          </cell>
        </row>
        <row r="17">
          <cell r="J17"/>
          <cell r="K17">
            <v>237.6</v>
          </cell>
        </row>
        <row r="18">
          <cell r="J18"/>
          <cell r="K18"/>
        </row>
        <row r="19">
          <cell r="J19"/>
          <cell r="K19">
            <v>10</v>
          </cell>
        </row>
        <row r="20">
          <cell r="J20"/>
          <cell r="K20"/>
        </row>
        <row r="21">
          <cell r="J21"/>
          <cell r="K21">
            <v>820</v>
          </cell>
        </row>
        <row r="22">
          <cell r="J22"/>
          <cell r="K22"/>
        </row>
        <row r="23">
          <cell r="J23"/>
          <cell r="K23">
            <v>114</v>
          </cell>
        </row>
        <row r="24">
          <cell r="J24"/>
          <cell r="K24"/>
        </row>
        <row r="25">
          <cell r="J25"/>
          <cell r="K25">
            <v>445</v>
          </cell>
        </row>
        <row r="26">
          <cell r="J26"/>
          <cell r="K26"/>
        </row>
        <row r="27">
          <cell r="J27"/>
          <cell r="K27">
            <v>530</v>
          </cell>
        </row>
        <row r="28">
          <cell r="J28"/>
          <cell r="K28">
            <v>140.80000000000001</v>
          </cell>
        </row>
        <row r="29">
          <cell r="J29"/>
          <cell r="K29">
            <v>893</v>
          </cell>
        </row>
        <row r="30">
          <cell r="J30"/>
          <cell r="K30"/>
        </row>
        <row r="31">
          <cell r="J31"/>
          <cell r="K31"/>
        </row>
        <row r="32">
          <cell r="J32"/>
          <cell r="K32">
            <v>108</v>
          </cell>
        </row>
        <row r="33">
          <cell r="J33"/>
          <cell r="K33"/>
        </row>
        <row r="34">
          <cell r="J34"/>
          <cell r="K34">
            <v>227</v>
          </cell>
        </row>
        <row r="35">
          <cell r="J35"/>
          <cell r="K35">
            <v>168</v>
          </cell>
        </row>
        <row r="36">
          <cell r="J36"/>
          <cell r="K36">
            <v>315</v>
          </cell>
        </row>
        <row r="37">
          <cell r="J37"/>
          <cell r="K37"/>
        </row>
        <row r="38">
          <cell r="J38">
            <v>202</v>
          </cell>
          <cell r="K38"/>
        </row>
        <row r="39">
          <cell r="J39"/>
          <cell r="K39"/>
        </row>
        <row r="40">
          <cell r="J40"/>
          <cell r="K40"/>
        </row>
        <row r="41">
          <cell r="J41"/>
          <cell r="K41">
            <v>200.2</v>
          </cell>
        </row>
        <row r="42">
          <cell r="J42"/>
          <cell r="K42"/>
        </row>
        <row r="43">
          <cell r="J43"/>
          <cell r="K43"/>
        </row>
        <row r="44">
          <cell r="J44"/>
          <cell r="K44"/>
        </row>
        <row r="45">
          <cell r="J45"/>
          <cell r="K45"/>
        </row>
        <row r="46">
          <cell r="J46"/>
          <cell r="K46"/>
        </row>
        <row r="47">
          <cell r="J47"/>
          <cell r="K47"/>
        </row>
        <row r="48">
          <cell r="J48"/>
          <cell r="K48">
            <v>450</v>
          </cell>
        </row>
        <row r="49">
          <cell r="J49"/>
          <cell r="K49"/>
        </row>
        <row r="50">
          <cell r="J50"/>
          <cell r="K50"/>
        </row>
        <row r="51">
          <cell r="J51"/>
          <cell r="K51"/>
        </row>
        <row r="52">
          <cell r="J52"/>
          <cell r="K52"/>
        </row>
        <row r="53">
          <cell r="J53"/>
          <cell r="K53">
            <v>200</v>
          </cell>
        </row>
        <row r="54">
          <cell r="J54"/>
          <cell r="K54"/>
        </row>
        <row r="55">
          <cell r="J55"/>
          <cell r="K55"/>
        </row>
        <row r="56">
          <cell r="J56"/>
          <cell r="K56"/>
        </row>
        <row r="57">
          <cell r="J57"/>
          <cell r="K57"/>
        </row>
        <row r="58">
          <cell r="J58"/>
          <cell r="K58"/>
        </row>
        <row r="59">
          <cell r="J59"/>
          <cell r="K59"/>
        </row>
        <row r="60">
          <cell r="J60"/>
          <cell r="K60"/>
        </row>
        <row r="61">
          <cell r="J61"/>
          <cell r="K61"/>
        </row>
        <row r="62">
          <cell r="J62"/>
          <cell r="K62"/>
        </row>
        <row r="63">
          <cell r="J63"/>
          <cell r="K63">
            <v>145</v>
          </cell>
        </row>
        <row r="64">
          <cell r="J64"/>
          <cell r="K64"/>
        </row>
        <row r="65">
          <cell r="J65"/>
          <cell r="K65">
            <v>210</v>
          </cell>
        </row>
        <row r="66">
          <cell r="J66"/>
          <cell r="K66"/>
        </row>
        <row r="67">
          <cell r="J67"/>
          <cell r="K67">
            <v>888</v>
          </cell>
        </row>
        <row r="68">
          <cell r="J68"/>
          <cell r="K68">
            <v>102</v>
          </cell>
        </row>
        <row r="69">
          <cell r="J69"/>
          <cell r="K69">
            <v>198</v>
          </cell>
        </row>
        <row r="70">
          <cell r="J70"/>
          <cell r="K70"/>
        </row>
        <row r="71">
          <cell r="J71"/>
          <cell r="K71"/>
        </row>
        <row r="72">
          <cell r="J72"/>
          <cell r="K72"/>
        </row>
        <row r="73">
          <cell r="J73"/>
          <cell r="K73"/>
        </row>
        <row r="74">
          <cell r="J74"/>
          <cell r="K74"/>
        </row>
        <row r="75">
          <cell r="J75"/>
          <cell r="K75"/>
        </row>
        <row r="76">
          <cell r="J76"/>
          <cell r="K76"/>
        </row>
        <row r="77">
          <cell r="J77"/>
          <cell r="K77">
            <v>185</v>
          </cell>
        </row>
        <row r="78">
          <cell r="J78"/>
          <cell r="K78"/>
        </row>
        <row r="79">
          <cell r="J79"/>
          <cell r="K79"/>
        </row>
        <row r="80">
          <cell r="J80"/>
          <cell r="K80"/>
        </row>
        <row r="81">
          <cell r="J81"/>
          <cell r="K81"/>
        </row>
        <row r="82">
          <cell r="J82"/>
          <cell r="K82"/>
        </row>
        <row r="83">
          <cell r="J83"/>
          <cell r="K83">
            <v>560</v>
          </cell>
        </row>
        <row r="84">
          <cell r="J84">
            <v>12.5</v>
          </cell>
          <cell r="K84"/>
        </row>
        <row r="85">
          <cell r="J85"/>
          <cell r="K85"/>
        </row>
        <row r="86">
          <cell r="J86"/>
          <cell r="K86"/>
        </row>
        <row r="87">
          <cell r="J87"/>
          <cell r="K87">
            <v>92</v>
          </cell>
        </row>
        <row r="88">
          <cell r="J88"/>
          <cell r="K88"/>
        </row>
        <row r="89">
          <cell r="J89"/>
          <cell r="K89"/>
        </row>
        <row r="90">
          <cell r="J90"/>
          <cell r="K90"/>
        </row>
        <row r="91">
          <cell r="J91"/>
          <cell r="K91"/>
        </row>
        <row r="92">
          <cell r="J92"/>
          <cell r="K92">
            <v>590</v>
          </cell>
        </row>
        <row r="93">
          <cell r="J93"/>
          <cell r="K93"/>
        </row>
        <row r="94">
          <cell r="J94"/>
          <cell r="K94"/>
        </row>
        <row r="95">
          <cell r="J95"/>
          <cell r="K95"/>
        </row>
        <row r="96">
          <cell r="J96"/>
          <cell r="K96">
            <v>235</v>
          </cell>
        </row>
        <row r="97">
          <cell r="J97"/>
          <cell r="K97"/>
        </row>
        <row r="98">
          <cell r="J98"/>
          <cell r="K98"/>
        </row>
        <row r="99">
          <cell r="J99"/>
          <cell r="K99"/>
        </row>
        <row r="100">
          <cell r="J100"/>
          <cell r="K100"/>
        </row>
        <row r="101">
          <cell r="J101"/>
          <cell r="K101">
            <v>180</v>
          </cell>
        </row>
        <row r="102">
          <cell r="J102"/>
          <cell r="K102"/>
        </row>
        <row r="103">
          <cell r="J103"/>
          <cell r="K103"/>
        </row>
        <row r="104">
          <cell r="J104"/>
          <cell r="K104"/>
        </row>
        <row r="105">
          <cell r="J105"/>
          <cell r="K105"/>
        </row>
        <row r="106">
          <cell r="J106"/>
          <cell r="K106"/>
        </row>
        <row r="107">
          <cell r="J107"/>
          <cell r="K107"/>
        </row>
        <row r="108">
          <cell r="J108"/>
          <cell r="K108"/>
        </row>
        <row r="109">
          <cell r="J109"/>
          <cell r="K109">
            <v>135</v>
          </cell>
        </row>
        <row r="110">
          <cell r="J110"/>
          <cell r="K110"/>
        </row>
        <row r="111">
          <cell r="J111"/>
          <cell r="K111">
            <v>230</v>
          </cell>
        </row>
        <row r="112">
          <cell r="J112"/>
          <cell r="K112"/>
        </row>
        <row r="113">
          <cell r="J113"/>
          <cell r="K113"/>
        </row>
        <row r="114">
          <cell r="J114"/>
          <cell r="K114">
            <v>525</v>
          </cell>
        </row>
        <row r="115">
          <cell r="J115"/>
          <cell r="K115"/>
        </row>
        <row r="116">
          <cell r="J116"/>
          <cell r="K116"/>
        </row>
        <row r="117">
          <cell r="J117">
            <v>155</v>
          </cell>
          <cell r="K117"/>
        </row>
        <row r="118">
          <cell r="J118"/>
          <cell r="K118">
            <v>683</v>
          </cell>
        </row>
        <row r="119">
          <cell r="J119"/>
          <cell r="K119">
            <v>185</v>
          </cell>
        </row>
        <row r="120">
          <cell r="J120"/>
          <cell r="K120"/>
        </row>
        <row r="121">
          <cell r="J121"/>
          <cell r="K121"/>
        </row>
        <row r="122">
          <cell r="J122"/>
          <cell r="K122">
            <v>318</v>
          </cell>
        </row>
        <row r="123">
          <cell r="J123"/>
          <cell r="K123"/>
        </row>
        <row r="124">
          <cell r="J124">
            <v>130</v>
          </cell>
          <cell r="K124"/>
        </row>
        <row r="125">
          <cell r="J125"/>
          <cell r="K125">
            <v>343</v>
          </cell>
        </row>
        <row r="126">
          <cell r="J126"/>
          <cell r="K126"/>
        </row>
        <row r="127">
          <cell r="J127"/>
          <cell r="K127"/>
        </row>
        <row r="128">
          <cell r="J128"/>
          <cell r="K128"/>
        </row>
        <row r="129">
          <cell r="J129"/>
          <cell r="K129"/>
        </row>
        <row r="130">
          <cell r="J130"/>
          <cell r="K130"/>
        </row>
        <row r="131">
          <cell r="J131"/>
          <cell r="K131"/>
        </row>
        <row r="132">
          <cell r="J132"/>
          <cell r="K132"/>
        </row>
        <row r="133">
          <cell r="J133"/>
          <cell r="K133"/>
        </row>
        <row r="134">
          <cell r="J134"/>
          <cell r="K134"/>
        </row>
        <row r="135">
          <cell r="J135"/>
          <cell r="K135"/>
        </row>
        <row r="136">
          <cell r="J136"/>
          <cell r="K136"/>
        </row>
        <row r="137">
          <cell r="J137"/>
          <cell r="K137"/>
        </row>
        <row r="138">
          <cell r="J138"/>
          <cell r="K138"/>
        </row>
        <row r="139">
          <cell r="J139"/>
          <cell r="K139"/>
        </row>
        <row r="140">
          <cell r="J140"/>
          <cell r="K140"/>
        </row>
        <row r="141">
          <cell r="J141"/>
          <cell r="K141"/>
        </row>
        <row r="142">
          <cell r="J142"/>
          <cell r="K142"/>
        </row>
        <row r="143">
          <cell r="J143"/>
          <cell r="K143"/>
        </row>
        <row r="144">
          <cell r="J144"/>
          <cell r="K144"/>
        </row>
        <row r="145">
          <cell r="J145"/>
          <cell r="K145"/>
        </row>
        <row r="146">
          <cell r="J146"/>
          <cell r="K146"/>
        </row>
        <row r="147">
          <cell r="J147"/>
          <cell r="K147"/>
        </row>
        <row r="148">
          <cell r="J148"/>
          <cell r="K148"/>
        </row>
        <row r="149">
          <cell r="J149"/>
          <cell r="K149"/>
        </row>
        <row r="150">
          <cell r="J150"/>
          <cell r="K150"/>
        </row>
        <row r="151">
          <cell r="J151"/>
          <cell r="K151"/>
        </row>
      </sheetData>
      <sheetData sheetId="299">
        <row r="2">
          <cell r="J2"/>
          <cell r="K2"/>
        </row>
        <row r="3">
          <cell r="J3"/>
          <cell r="K3"/>
        </row>
        <row r="4">
          <cell r="J4"/>
          <cell r="K4"/>
        </row>
        <row r="5">
          <cell r="J5"/>
          <cell r="K5"/>
        </row>
        <row r="6">
          <cell r="J6"/>
          <cell r="K6"/>
          <cell r="T6">
            <v>2090</v>
          </cell>
          <cell r="W6">
            <v>2178</v>
          </cell>
          <cell r="Z6">
            <v>4830</v>
          </cell>
          <cell r="AC6">
            <v>2466</v>
          </cell>
          <cell r="AF6">
            <v>998</v>
          </cell>
          <cell r="AI6">
            <v>3866</v>
          </cell>
          <cell r="AP6">
            <v>16003</v>
          </cell>
          <cell r="AU6">
            <v>14401</v>
          </cell>
          <cell r="AV6">
            <v>8594</v>
          </cell>
          <cell r="AW6">
            <v>11760</v>
          </cell>
          <cell r="AX6">
            <v>0</v>
          </cell>
          <cell r="BD6">
            <v>201.75</v>
          </cell>
          <cell r="BE6">
            <v>600</v>
          </cell>
        </row>
        <row r="7">
          <cell r="J7">
            <v>240</v>
          </cell>
          <cell r="K7"/>
        </row>
        <row r="8">
          <cell r="J8"/>
          <cell r="K8">
            <v>188</v>
          </cell>
        </row>
        <row r="9">
          <cell r="J9"/>
          <cell r="K9">
            <v>244</v>
          </cell>
        </row>
        <row r="10">
          <cell r="J10"/>
          <cell r="K10"/>
        </row>
        <row r="11">
          <cell r="J11"/>
          <cell r="K11"/>
        </row>
        <row r="12">
          <cell r="J12"/>
          <cell r="K12">
            <v>155</v>
          </cell>
        </row>
        <row r="13">
          <cell r="J13"/>
          <cell r="K13">
            <v>300</v>
          </cell>
        </row>
        <row r="14">
          <cell r="J14"/>
          <cell r="K14"/>
        </row>
        <row r="15">
          <cell r="J15"/>
          <cell r="K15"/>
        </row>
        <row r="16">
          <cell r="J16"/>
          <cell r="K16"/>
        </row>
        <row r="17">
          <cell r="J17"/>
          <cell r="K17">
            <v>240</v>
          </cell>
        </row>
        <row r="18">
          <cell r="J18"/>
          <cell r="K18"/>
        </row>
        <row r="19">
          <cell r="J19"/>
          <cell r="K19">
            <v>481</v>
          </cell>
        </row>
        <row r="20">
          <cell r="J20"/>
          <cell r="K20">
            <v>240</v>
          </cell>
        </row>
        <row r="21">
          <cell r="J21"/>
          <cell r="K21"/>
        </row>
        <row r="22">
          <cell r="J22"/>
          <cell r="K22"/>
        </row>
        <row r="23">
          <cell r="J23"/>
          <cell r="K23"/>
        </row>
        <row r="24">
          <cell r="J24"/>
          <cell r="K24">
            <v>40</v>
          </cell>
        </row>
        <row r="25">
          <cell r="J25"/>
          <cell r="K25"/>
        </row>
        <row r="26">
          <cell r="J26"/>
          <cell r="K26"/>
        </row>
        <row r="27">
          <cell r="J27"/>
          <cell r="K27"/>
        </row>
        <row r="28">
          <cell r="J28"/>
          <cell r="K28">
            <v>136</v>
          </cell>
        </row>
        <row r="29">
          <cell r="J29"/>
          <cell r="K29"/>
        </row>
        <row r="30">
          <cell r="J30"/>
          <cell r="K30">
            <v>264</v>
          </cell>
        </row>
        <row r="31">
          <cell r="J31"/>
          <cell r="K31">
            <v>30</v>
          </cell>
        </row>
        <row r="32">
          <cell r="J32"/>
          <cell r="K32"/>
        </row>
        <row r="33">
          <cell r="J33"/>
          <cell r="K33"/>
        </row>
        <row r="34">
          <cell r="J34"/>
          <cell r="K34"/>
        </row>
        <row r="35">
          <cell r="J35"/>
          <cell r="K35"/>
        </row>
        <row r="36">
          <cell r="J36"/>
          <cell r="K36"/>
        </row>
        <row r="37">
          <cell r="J37"/>
          <cell r="K37"/>
        </row>
        <row r="38">
          <cell r="J38"/>
          <cell r="K38"/>
        </row>
        <row r="39">
          <cell r="J39"/>
          <cell r="K39"/>
        </row>
        <row r="40">
          <cell r="J40"/>
          <cell r="K40"/>
        </row>
        <row r="41">
          <cell r="J41"/>
          <cell r="K41"/>
        </row>
        <row r="42">
          <cell r="J42"/>
          <cell r="K42"/>
        </row>
        <row r="43">
          <cell r="J43"/>
          <cell r="K43"/>
        </row>
        <row r="44">
          <cell r="J44"/>
          <cell r="K44"/>
        </row>
        <row r="45">
          <cell r="J45"/>
          <cell r="K45"/>
        </row>
        <row r="46">
          <cell r="J46"/>
          <cell r="K46"/>
        </row>
        <row r="47">
          <cell r="J47"/>
          <cell r="K47"/>
        </row>
        <row r="48">
          <cell r="J48"/>
          <cell r="K48"/>
        </row>
        <row r="49">
          <cell r="J49"/>
          <cell r="K49">
            <v>631</v>
          </cell>
        </row>
        <row r="50">
          <cell r="J50"/>
          <cell r="K50"/>
        </row>
        <row r="51">
          <cell r="J51"/>
          <cell r="K51"/>
        </row>
        <row r="52">
          <cell r="J52"/>
          <cell r="K52"/>
        </row>
        <row r="53">
          <cell r="J53"/>
          <cell r="K53"/>
        </row>
        <row r="54">
          <cell r="J54"/>
          <cell r="K54">
            <v>851.4</v>
          </cell>
        </row>
        <row r="55">
          <cell r="J55"/>
          <cell r="K55"/>
        </row>
        <row r="56">
          <cell r="J56"/>
          <cell r="K56">
            <v>380</v>
          </cell>
        </row>
        <row r="57">
          <cell r="J57"/>
          <cell r="K57">
            <v>560</v>
          </cell>
        </row>
        <row r="58">
          <cell r="J58"/>
          <cell r="K58"/>
        </row>
        <row r="59">
          <cell r="J59"/>
          <cell r="K59"/>
        </row>
        <row r="60">
          <cell r="J60"/>
          <cell r="K60"/>
        </row>
        <row r="61">
          <cell r="J61"/>
          <cell r="K61">
            <v>345</v>
          </cell>
        </row>
        <row r="62">
          <cell r="J62"/>
          <cell r="K62"/>
        </row>
        <row r="63">
          <cell r="J63"/>
          <cell r="K63"/>
        </row>
        <row r="64">
          <cell r="J64"/>
          <cell r="K64"/>
        </row>
        <row r="65">
          <cell r="J65">
            <v>182</v>
          </cell>
          <cell r="K65"/>
        </row>
        <row r="66">
          <cell r="J66"/>
          <cell r="K66"/>
        </row>
        <row r="67">
          <cell r="J67"/>
          <cell r="K67"/>
        </row>
        <row r="68">
          <cell r="J68"/>
          <cell r="K68"/>
        </row>
        <row r="69">
          <cell r="J69"/>
          <cell r="K69"/>
        </row>
        <row r="70">
          <cell r="J70"/>
          <cell r="K70">
            <v>118</v>
          </cell>
        </row>
        <row r="71">
          <cell r="J71"/>
          <cell r="K71"/>
        </row>
        <row r="72">
          <cell r="J72"/>
          <cell r="K72"/>
        </row>
        <row r="73">
          <cell r="J73"/>
          <cell r="K73"/>
        </row>
        <row r="74">
          <cell r="J74"/>
          <cell r="K74"/>
        </row>
        <row r="75">
          <cell r="J75"/>
          <cell r="K75"/>
        </row>
        <row r="76">
          <cell r="J76"/>
          <cell r="K76"/>
        </row>
        <row r="77">
          <cell r="J77"/>
          <cell r="K77"/>
        </row>
        <row r="78">
          <cell r="J78"/>
          <cell r="K78"/>
        </row>
        <row r="79">
          <cell r="J79"/>
          <cell r="K79"/>
        </row>
        <row r="80">
          <cell r="J80"/>
          <cell r="K80"/>
        </row>
        <row r="81">
          <cell r="J81"/>
          <cell r="K81">
            <v>1500</v>
          </cell>
        </row>
        <row r="82">
          <cell r="J82"/>
          <cell r="K82">
            <v>353.1</v>
          </cell>
        </row>
        <row r="83">
          <cell r="J83"/>
          <cell r="K83"/>
        </row>
        <row r="84">
          <cell r="J84"/>
          <cell r="K84"/>
        </row>
        <row r="85">
          <cell r="J85"/>
          <cell r="K85"/>
        </row>
        <row r="86">
          <cell r="J86"/>
          <cell r="K86"/>
        </row>
        <row r="87">
          <cell r="J87"/>
          <cell r="K87"/>
        </row>
        <row r="88">
          <cell r="J88"/>
          <cell r="K88"/>
        </row>
        <row r="89">
          <cell r="J89"/>
          <cell r="K89"/>
        </row>
        <row r="90">
          <cell r="J90"/>
          <cell r="K90">
            <v>165</v>
          </cell>
        </row>
        <row r="91">
          <cell r="J91"/>
          <cell r="K91"/>
        </row>
        <row r="92">
          <cell r="J92"/>
          <cell r="K92">
            <v>308</v>
          </cell>
        </row>
        <row r="93">
          <cell r="J93"/>
          <cell r="K93"/>
        </row>
        <row r="94">
          <cell r="J94"/>
          <cell r="K94"/>
        </row>
        <row r="95">
          <cell r="J95"/>
          <cell r="K95"/>
        </row>
        <row r="96">
          <cell r="J96"/>
          <cell r="K96"/>
        </row>
        <row r="97">
          <cell r="J97"/>
          <cell r="K97">
            <v>425</v>
          </cell>
        </row>
        <row r="98">
          <cell r="J98"/>
          <cell r="K98"/>
        </row>
        <row r="99">
          <cell r="J99"/>
          <cell r="K99">
            <v>363</v>
          </cell>
        </row>
        <row r="100">
          <cell r="J100"/>
          <cell r="K100">
            <v>205</v>
          </cell>
        </row>
        <row r="101">
          <cell r="J101"/>
          <cell r="K101"/>
        </row>
        <row r="102">
          <cell r="J102"/>
          <cell r="K102"/>
        </row>
        <row r="103">
          <cell r="J103"/>
          <cell r="K103"/>
        </row>
        <row r="104">
          <cell r="J104"/>
          <cell r="K104"/>
        </row>
        <row r="105">
          <cell r="J105">
            <v>155</v>
          </cell>
          <cell r="K105"/>
        </row>
        <row r="106">
          <cell r="J106"/>
          <cell r="K106"/>
        </row>
        <row r="107">
          <cell r="J107"/>
          <cell r="K107"/>
        </row>
        <row r="108">
          <cell r="J108">
            <v>140</v>
          </cell>
          <cell r="K108"/>
        </row>
        <row r="109">
          <cell r="J109"/>
          <cell r="K109"/>
        </row>
        <row r="110">
          <cell r="J110"/>
          <cell r="K110"/>
        </row>
        <row r="111">
          <cell r="J111"/>
          <cell r="K111"/>
        </row>
        <row r="112">
          <cell r="J112"/>
          <cell r="K112">
            <v>451</v>
          </cell>
        </row>
        <row r="113">
          <cell r="J113"/>
          <cell r="K113"/>
        </row>
        <row r="114">
          <cell r="J114"/>
          <cell r="K114"/>
        </row>
        <row r="115">
          <cell r="J115"/>
          <cell r="K115"/>
        </row>
        <row r="116">
          <cell r="J116"/>
          <cell r="K116"/>
        </row>
        <row r="117">
          <cell r="J117"/>
          <cell r="K117"/>
        </row>
        <row r="118">
          <cell r="J118"/>
          <cell r="K118"/>
        </row>
        <row r="119">
          <cell r="J119"/>
          <cell r="K119"/>
        </row>
        <row r="120">
          <cell r="J120"/>
          <cell r="K120"/>
        </row>
        <row r="121">
          <cell r="J121"/>
          <cell r="K121"/>
        </row>
        <row r="122">
          <cell r="J122"/>
          <cell r="K122"/>
        </row>
        <row r="123">
          <cell r="J123"/>
          <cell r="K123"/>
        </row>
        <row r="124">
          <cell r="J124"/>
          <cell r="K124"/>
        </row>
        <row r="125">
          <cell r="J125"/>
          <cell r="K125"/>
        </row>
        <row r="126">
          <cell r="J126"/>
          <cell r="K126"/>
        </row>
        <row r="127">
          <cell r="J127"/>
          <cell r="K127"/>
        </row>
        <row r="128">
          <cell r="J128"/>
          <cell r="K128"/>
        </row>
        <row r="129">
          <cell r="J129"/>
          <cell r="K129"/>
        </row>
        <row r="130">
          <cell r="J130"/>
          <cell r="K130"/>
        </row>
        <row r="131">
          <cell r="J131"/>
          <cell r="K131"/>
        </row>
        <row r="132">
          <cell r="J132"/>
          <cell r="K132"/>
        </row>
        <row r="133">
          <cell r="J133"/>
          <cell r="K133"/>
        </row>
        <row r="134">
          <cell r="J134"/>
          <cell r="K134"/>
        </row>
        <row r="135">
          <cell r="J135"/>
          <cell r="K135"/>
        </row>
        <row r="136">
          <cell r="J136"/>
          <cell r="K136"/>
        </row>
        <row r="137">
          <cell r="J137"/>
          <cell r="K137"/>
        </row>
        <row r="138">
          <cell r="J138"/>
          <cell r="K138"/>
        </row>
        <row r="139">
          <cell r="J139"/>
          <cell r="K139"/>
        </row>
        <row r="140">
          <cell r="J140"/>
          <cell r="K140"/>
        </row>
        <row r="141">
          <cell r="J141"/>
          <cell r="K141"/>
        </row>
        <row r="142">
          <cell r="J142"/>
          <cell r="K142"/>
        </row>
        <row r="143">
          <cell r="J143"/>
          <cell r="K143"/>
        </row>
        <row r="144">
          <cell r="J144"/>
          <cell r="K144"/>
        </row>
        <row r="145">
          <cell r="J145"/>
          <cell r="K145"/>
        </row>
        <row r="146">
          <cell r="J146"/>
          <cell r="K146"/>
        </row>
        <row r="147">
          <cell r="J147"/>
          <cell r="K147"/>
        </row>
        <row r="148">
          <cell r="J148"/>
          <cell r="K148"/>
        </row>
        <row r="149">
          <cell r="J149"/>
          <cell r="K149"/>
        </row>
        <row r="150">
          <cell r="J150"/>
          <cell r="K150"/>
        </row>
        <row r="151">
          <cell r="J151"/>
          <cell r="K151"/>
        </row>
      </sheetData>
      <sheetData sheetId="300">
        <row r="2">
          <cell r="J2"/>
          <cell r="K2"/>
        </row>
        <row r="3">
          <cell r="J3"/>
          <cell r="K3">
            <v>168</v>
          </cell>
        </row>
        <row r="4">
          <cell r="J4"/>
          <cell r="K4"/>
        </row>
        <row r="5">
          <cell r="J5">
            <v>200</v>
          </cell>
          <cell r="K5"/>
        </row>
        <row r="6">
          <cell r="J6"/>
          <cell r="K6"/>
          <cell r="T6">
            <v>2432</v>
          </cell>
          <cell r="W6">
            <v>1129</v>
          </cell>
          <cell r="Z6">
            <v>3473</v>
          </cell>
          <cell r="AC6">
            <v>2236</v>
          </cell>
          <cell r="AF6">
            <v>524</v>
          </cell>
          <cell r="AI6">
            <v>1682</v>
          </cell>
          <cell r="AP6">
            <v>14637.5</v>
          </cell>
          <cell r="AU6">
            <v>15375</v>
          </cell>
          <cell r="AV6">
            <v>15211</v>
          </cell>
          <cell r="AW6">
            <v>13090</v>
          </cell>
          <cell r="AX6">
            <v>6000</v>
          </cell>
          <cell r="BD6">
            <v>580</v>
          </cell>
          <cell r="BE6">
            <v>1149</v>
          </cell>
        </row>
        <row r="7">
          <cell r="J7"/>
          <cell r="K7"/>
        </row>
        <row r="8">
          <cell r="J8"/>
          <cell r="K8"/>
        </row>
        <row r="9">
          <cell r="J9"/>
          <cell r="K9"/>
        </row>
        <row r="10">
          <cell r="J10">
            <v>200</v>
          </cell>
          <cell r="K10"/>
        </row>
        <row r="11">
          <cell r="J11"/>
          <cell r="K11"/>
        </row>
        <row r="12">
          <cell r="J12"/>
          <cell r="K12"/>
        </row>
        <row r="13">
          <cell r="J13"/>
          <cell r="K13"/>
        </row>
        <row r="14">
          <cell r="J14"/>
          <cell r="K14"/>
        </row>
        <row r="15">
          <cell r="J15"/>
          <cell r="K15">
            <v>205</v>
          </cell>
        </row>
        <row r="16">
          <cell r="J16"/>
          <cell r="K16">
            <v>397</v>
          </cell>
        </row>
        <row r="17">
          <cell r="J17"/>
          <cell r="K17"/>
        </row>
        <row r="18">
          <cell r="J18"/>
          <cell r="K18"/>
        </row>
        <row r="19">
          <cell r="J19"/>
          <cell r="K19"/>
        </row>
        <row r="20">
          <cell r="J20"/>
          <cell r="K20">
            <v>497</v>
          </cell>
        </row>
        <row r="21">
          <cell r="J21">
            <v>65</v>
          </cell>
          <cell r="K21"/>
        </row>
        <row r="22">
          <cell r="J22"/>
          <cell r="K22"/>
        </row>
        <row r="23">
          <cell r="J23"/>
          <cell r="K23"/>
        </row>
        <row r="24">
          <cell r="J24"/>
          <cell r="K24"/>
        </row>
        <row r="25">
          <cell r="J25"/>
          <cell r="K25">
            <v>303</v>
          </cell>
        </row>
        <row r="26">
          <cell r="J26"/>
          <cell r="K26">
            <v>564.29999999999995</v>
          </cell>
        </row>
        <row r="27">
          <cell r="J27"/>
          <cell r="K27">
            <v>550</v>
          </cell>
        </row>
        <row r="28">
          <cell r="J28"/>
          <cell r="K28"/>
        </row>
        <row r="29">
          <cell r="J29"/>
          <cell r="K29">
            <v>220</v>
          </cell>
        </row>
        <row r="30">
          <cell r="J30"/>
          <cell r="K30">
            <v>861.3</v>
          </cell>
        </row>
        <row r="31">
          <cell r="J31"/>
          <cell r="K31"/>
        </row>
        <row r="32">
          <cell r="J32"/>
          <cell r="K32"/>
        </row>
        <row r="33">
          <cell r="J33"/>
          <cell r="K33"/>
        </row>
        <row r="34">
          <cell r="J34"/>
          <cell r="K34">
            <v>240</v>
          </cell>
        </row>
        <row r="35">
          <cell r="J35"/>
          <cell r="K35">
            <v>1447</v>
          </cell>
        </row>
        <row r="36">
          <cell r="J36"/>
          <cell r="K36">
            <v>867</v>
          </cell>
        </row>
        <row r="37">
          <cell r="J37"/>
          <cell r="K37"/>
        </row>
        <row r="38">
          <cell r="J38"/>
          <cell r="K38"/>
        </row>
        <row r="39">
          <cell r="J39"/>
          <cell r="K39"/>
        </row>
        <row r="40">
          <cell r="J40"/>
          <cell r="K40">
            <v>780</v>
          </cell>
        </row>
        <row r="41">
          <cell r="J41"/>
          <cell r="K41"/>
        </row>
        <row r="42">
          <cell r="J42"/>
          <cell r="K42">
            <v>285</v>
          </cell>
        </row>
        <row r="43">
          <cell r="J43"/>
          <cell r="K43"/>
        </row>
        <row r="44">
          <cell r="J44"/>
          <cell r="K44"/>
        </row>
        <row r="45">
          <cell r="J45"/>
          <cell r="K45"/>
        </row>
        <row r="46">
          <cell r="J46"/>
          <cell r="K46">
            <v>410</v>
          </cell>
        </row>
        <row r="47">
          <cell r="J47"/>
          <cell r="K47"/>
        </row>
        <row r="48">
          <cell r="J48"/>
          <cell r="K48"/>
        </row>
        <row r="49">
          <cell r="J49"/>
          <cell r="K49"/>
        </row>
        <row r="50">
          <cell r="J50"/>
          <cell r="K50"/>
        </row>
        <row r="51">
          <cell r="J51"/>
          <cell r="K51">
            <v>475</v>
          </cell>
        </row>
        <row r="52">
          <cell r="J52"/>
          <cell r="K52"/>
        </row>
        <row r="53">
          <cell r="J53">
            <v>202</v>
          </cell>
          <cell r="K53"/>
        </row>
        <row r="54">
          <cell r="J54"/>
          <cell r="K54">
            <v>804</v>
          </cell>
        </row>
        <row r="55">
          <cell r="J55"/>
          <cell r="K55"/>
        </row>
        <row r="56">
          <cell r="J56"/>
          <cell r="K56"/>
        </row>
        <row r="57">
          <cell r="J57"/>
          <cell r="K57"/>
        </row>
        <row r="58">
          <cell r="J58"/>
          <cell r="K58"/>
        </row>
        <row r="59">
          <cell r="J59"/>
          <cell r="K59">
            <v>250</v>
          </cell>
        </row>
        <row r="60">
          <cell r="J60"/>
          <cell r="K60"/>
        </row>
        <row r="61">
          <cell r="J61"/>
          <cell r="K61"/>
        </row>
        <row r="62">
          <cell r="J62"/>
          <cell r="K62"/>
        </row>
        <row r="63">
          <cell r="J63"/>
          <cell r="K63">
            <v>422.4</v>
          </cell>
        </row>
        <row r="64">
          <cell r="J64"/>
          <cell r="K64">
            <v>443</v>
          </cell>
        </row>
        <row r="65">
          <cell r="J65"/>
          <cell r="K65">
            <v>270</v>
          </cell>
        </row>
        <row r="66">
          <cell r="J66"/>
          <cell r="K66">
            <v>447</v>
          </cell>
        </row>
        <row r="67">
          <cell r="J67"/>
          <cell r="K67"/>
        </row>
        <row r="68">
          <cell r="J68"/>
          <cell r="K68">
            <v>1215</v>
          </cell>
        </row>
        <row r="69">
          <cell r="J69"/>
          <cell r="K69"/>
        </row>
        <row r="70">
          <cell r="J70"/>
          <cell r="K70">
            <v>585</v>
          </cell>
        </row>
        <row r="71">
          <cell r="J71"/>
          <cell r="K71">
            <v>59.5</v>
          </cell>
        </row>
        <row r="72">
          <cell r="J72"/>
          <cell r="K72"/>
        </row>
        <row r="73">
          <cell r="J73"/>
          <cell r="K73"/>
        </row>
        <row r="74">
          <cell r="J74"/>
          <cell r="K74"/>
        </row>
        <row r="75">
          <cell r="J75"/>
          <cell r="K75">
            <v>600</v>
          </cell>
        </row>
        <row r="76">
          <cell r="J76"/>
          <cell r="K76">
            <v>871.2</v>
          </cell>
        </row>
        <row r="77">
          <cell r="J77"/>
          <cell r="K77"/>
        </row>
        <row r="78">
          <cell r="J78"/>
          <cell r="K78"/>
        </row>
        <row r="79">
          <cell r="J79"/>
          <cell r="K79">
            <v>80</v>
          </cell>
        </row>
        <row r="80">
          <cell r="J80"/>
          <cell r="K80"/>
        </row>
        <row r="81">
          <cell r="J81"/>
          <cell r="K81"/>
        </row>
        <row r="82">
          <cell r="J82"/>
          <cell r="K82"/>
        </row>
        <row r="83">
          <cell r="J83"/>
          <cell r="K83"/>
        </row>
        <row r="84">
          <cell r="J84"/>
          <cell r="K84"/>
        </row>
        <row r="85">
          <cell r="J85"/>
          <cell r="K85">
            <v>414</v>
          </cell>
        </row>
        <row r="86">
          <cell r="J86"/>
          <cell r="K86"/>
        </row>
        <row r="87">
          <cell r="J87"/>
          <cell r="K87"/>
        </row>
        <row r="88">
          <cell r="J88"/>
          <cell r="K88"/>
        </row>
        <row r="89">
          <cell r="J89"/>
          <cell r="K89">
            <v>610.5</v>
          </cell>
        </row>
        <row r="90">
          <cell r="J90"/>
          <cell r="K90">
            <v>780</v>
          </cell>
        </row>
        <row r="91">
          <cell r="J91"/>
          <cell r="K91"/>
        </row>
        <row r="92">
          <cell r="J92"/>
          <cell r="K92"/>
        </row>
        <row r="93">
          <cell r="J93"/>
          <cell r="K93"/>
        </row>
        <row r="94">
          <cell r="J94"/>
          <cell r="K94"/>
        </row>
        <row r="95">
          <cell r="J95"/>
          <cell r="K95">
            <v>1436.6</v>
          </cell>
        </row>
        <row r="96">
          <cell r="J96"/>
          <cell r="K96">
            <v>615</v>
          </cell>
        </row>
        <row r="97">
          <cell r="J97"/>
          <cell r="K97"/>
        </row>
        <row r="98">
          <cell r="J98"/>
          <cell r="K98"/>
        </row>
        <row r="99">
          <cell r="J99"/>
          <cell r="K99"/>
        </row>
        <row r="100">
          <cell r="J100"/>
          <cell r="K100"/>
        </row>
        <row r="101">
          <cell r="J101"/>
          <cell r="K101"/>
        </row>
        <row r="102">
          <cell r="J102"/>
          <cell r="K102"/>
        </row>
        <row r="103">
          <cell r="J103"/>
          <cell r="K103">
            <v>145</v>
          </cell>
        </row>
        <row r="104">
          <cell r="J104"/>
          <cell r="K104">
            <v>425</v>
          </cell>
        </row>
        <row r="105">
          <cell r="J105"/>
          <cell r="K105">
            <v>277</v>
          </cell>
        </row>
        <row r="106">
          <cell r="J106"/>
          <cell r="K106">
            <v>583</v>
          </cell>
        </row>
        <row r="107">
          <cell r="J107"/>
          <cell r="K107"/>
        </row>
        <row r="108">
          <cell r="J108"/>
          <cell r="K108"/>
        </row>
        <row r="109">
          <cell r="J109"/>
          <cell r="K109"/>
        </row>
        <row r="110">
          <cell r="J110"/>
          <cell r="K110"/>
        </row>
        <row r="111">
          <cell r="J111"/>
          <cell r="K111"/>
        </row>
        <row r="112">
          <cell r="J112"/>
          <cell r="K112"/>
        </row>
        <row r="113">
          <cell r="J113"/>
          <cell r="K113"/>
        </row>
        <row r="114">
          <cell r="J114"/>
          <cell r="K114"/>
        </row>
        <row r="115">
          <cell r="J115"/>
          <cell r="K115"/>
        </row>
        <row r="116">
          <cell r="J116"/>
          <cell r="K116"/>
        </row>
        <row r="117">
          <cell r="J117"/>
          <cell r="K117">
            <v>910</v>
          </cell>
        </row>
        <row r="118">
          <cell r="J118"/>
          <cell r="K118"/>
        </row>
        <row r="119">
          <cell r="J119"/>
          <cell r="K119">
            <v>2630</v>
          </cell>
        </row>
        <row r="120">
          <cell r="J120"/>
          <cell r="K120"/>
        </row>
        <row r="121">
          <cell r="J121"/>
          <cell r="K121"/>
        </row>
        <row r="122">
          <cell r="J122"/>
          <cell r="K122"/>
        </row>
        <row r="123">
          <cell r="J123"/>
          <cell r="K123"/>
        </row>
        <row r="124">
          <cell r="J124"/>
          <cell r="K124"/>
        </row>
        <row r="125">
          <cell r="J125"/>
          <cell r="K125"/>
        </row>
        <row r="126">
          <cell r="J126"/>
          <cell r="K126"/>
        </row>
        <row r="127">
          <cell r="J127"/>
          <cell r="K127"/>
        </row>
        <row r="128">
          <cell r="J128"/>
          <cell r="K128"/>
        </row>
        <row r="129">
          <cell r="J129"/>
          <cell r="K129"/>
        </row>
        <row r="130">
          <cell r="J130"/>
          <cell r="K130"/>
        </row>
        <row r="131">
          <cell r="J131">
            <v>133</v>
          </cell>
          <cell r="K131"/>
        </row>
        <row r="132">
          <cell r="J132"/>
          <cell r="K132"/>
        </row>
        <row r="133">
          <cell r="J133"/>
          <cell r="K133">
            <v>420</v>
          </cell>
        </row>
        <row r="134">
          <cell r="J134"/>
          <cell r="K134"/>
        </row>
        <row r="135">
          <cell r="J135"/>
          <cell r="K135"/>
        </row>
        <row r="136">
          <cell r="J136"/>
          <cell r="K136"/>
        </row>
        <row r="137">
          <cell r="J137"/>
          <cell r="K137"/>
        </row>
        <row r="138">
          <cell r="J138"/>
          <cell r="K138"/>
        </row>
        <row r="139">
          <cell r="J139"/>
          <cell r="K139"/>
        </row>
        <row r="140">
          <cell r="J140"/>
          <cell r="K140"/>
        </row>
        <row r="141">
          <cell r="J141"/>
          <cell r="K141"/>
        </row>
        <row r="142">
          <cell r="J142"/>
          <cell r="K142"/>
        </row>
        <row r="143">
          <cell r="J143"/>
          <cell r="K143"/>
        </row>
        <row r="144">
          <cell r="J144"/>
          <cell r="K144"/>
        </row>
        <row r="145">
          <cell r="J145"/>
          <cell r="K145"/>
        </row>
        <row r="146">
          <cell r="J146"/>
          <cell r="K146"/>
        </row>
        <row r="147">
          <cell r="J147"/>
          <cell r="K147"/>
        </row>
        <row r="148">
          <cell r="J148"/>
          <cell r="K148"/>
        </row>
        <row r="149">
          <cell r="J149"/>
          <cell r="K149"/>
        </row>
        <row r="150">
          <cell r="J150"/>
          <cell r="K150"/>
        </row>
        <row r="151">
          <cell r="J151"/>
          <cell r="K151"/>
        </row>
      </sheetData>
      <sheetData sheetId="301">
        <row r="2">
          <cell r="J2"/>
          <cell r="K2"/>
        </row>
        <row r="3">
          <cell r="J3"/>
          <cell r="K3">
            <v>155</v>
          </cell>
        </row>
        <row r="4">
          <cell r="J4"/>
          <cell r="K4"/>
        </row>
        <row r="5">
          <cell r="J5"/>
          <cell r="K5"/>
        </row>
        <row r="6">
          <cell r="J6"/>
          <cell r="K6"/>
          <cell r="T6">
            <v>2910</v>
          </cell>
          <cell r="W6">
            <v>1153</v>
          </cell>
          <cell r="Z6">
            <v>3597</v>
          </cell>
          <cell r="AC6">
            <v>1708</v>
          </cell>
          <cell r="AF6">
            <v>1584</v>
          </cell>
          <cell r="AI6">
            <v>800</v>
          </cell>
          <cell r="AP6">
            <v>24396</v>
          </cell>
          <cell r="AU6">
            <v>8298.5</v>
          </cell>
          <cell r="AV6">
            <v>6975</v>
          </cell>
          <cell r="AW6">
            <v>15441</v>
          </cell>
          <cell r="AX6">
            <v>5000</v>
          </cell>
          <cell r="BD6">
            <v>0</v>
          </cell>
          <cell r="BE6">
            <v>1756</v>
          </cell>
        </row>
        <row r="7">
          <cell r="J7">
            <v>235</v>
          </cell>
          <cell r="K7"/>
        </row>
        <row r="8">
          <cell r="J8"/>
          <cell r="K8">
            <v>194</v>
          </cell>
        </row>
        <row r="9">
          <cell r="J9"/>
          <cell r="K9"/>
        </row>
        <row r="10">
          <cell r="J10"/>
          <cell r="K10">
            <v>210</v>
          </cell>
        </row>
        <row r="11">
          <cell r="J11"/>
          <cell r="K11"/>
        </row>
        <row r="12">
          <cell r="J12">
            <v>295</v>
          </cell>
          <cell r="K12"/>
        </row>
        <row r="13">
          <cell r="J13"/>
          <cell r="K13"/>
        </row>
        <row r="14">
          <cell r="J14"/>
          <cell r="K14"/>
        </row>
        <row r="15">
          <cell r="J15"/>
          <cell r="K15"/>
        </row>
        <row r="16">
          <cell r="J16"/>
          <cell r="K16"/>
        </row>
        <row r="17">
          <cell r="J17"/>
          <cell r="K17"/>
        </row>
        <row r="18">
          <cell r="J18"/>
          <cell r="K18"/>
        </row>
        <row r="19">
          <cell r="J19"/>
          <cell r="K19"/>
        </row>
        <row r="20">
          <cell r="J20"/>
          <cell r="K20"/>
        </row>
        <row r="21">
          <cell r="J21"/>
          <cell r="K21">
            <v>593</v>
          </cell>
        </row>
        <row r="22">
          <cell r="J22"/>
          <cell r="K22">
            <v>338.8</v>
          </cell>
        </row>
        <row r="23">
          <cell r="J23"/>
          <cell r="K23"/>
        </row>
        <row r="24">
          <cell r="J24"/>
          <cell r="K24"/>
        </row>
        <row r="25">
          <cell r="J25"/>
          <cell r="K25">
            <v>561</v>
          </cell>
        </row>
        <row r="26">
          <cell r="J26"/>
          <cell r="K26">
            <v>602.79999999999995</v>
          </cell>
        </row>
        <row r="27">
          <cell r="J27"/>
          <cell r="K27"/>
        </row>
        <row r="28">
          <cell r="J28"/>
          <cell r="K28"/>
        </row>
        <row r="29">
          <cell r="J29"/>
          <cell r="K29"/>
        </row>
        <row r="30">
          <cell r="J30"/>
          <cell r="K30"/>
        </row>
        <row r="31">
          <cell r="J31"/>
          <cell r="K31">
            <v>235</v>
          </cell>
        </row>
        <row r="32">
          <cell r="J32"/>
          <cell r="K32"/>
        </row>
        <row r="33">
          <cell r="J33"/>
          <cell r="K33"/>
        </row>
        <row r="34">
          <cell r="J34">
            <v>167</v>
          </cell>
          <cell r="K34"/>
        </row>
        <row r="35">
          <cell r="J35"/>
          <cell r="K35">
            <v>528</v>
          </cell>
        </row>
        <row r="36">
          <cell r="J36"/>
          <cell r="K36"/>
        </row>
        <row r="37">
          <cell r="J37"/>
          <cell r="K37"/>
        </row>
        <row r="38">
          <cell r="J38"/>
          <cell r="K38"/>
        </row>
        <row r="39">
          <cell r="J39"/>
          <cell r="K39"/>
        </row>
        <row r="40">
          <cell r="J40"/>
          <cell r="K40"/>
        </row>
        <row r="41">
          <cell r="J41"/>
          <cell r="K41">
            <v>114</v>
          </cell>
        </row>
        <row r="42">
          <cell r="J42"/>
          <cell r="K42"/>
        </row>
        <row r="43">
          <cell r="J43"/>
          <cell r="K43">
            <v>250</v>
          </cell>
        </row>
        <row r="44">
          <cell r="J44"/>
          <cell r="K44">
            <v>522.5</v>
          </cell>
        </row>
        <row r="45">
          <cell r="J45"/>
          <cell r="K45">
            <v>515</v>
          </cell>
        </row>
        <row r="46">
          <cell r="J46"/>
          <cell r="K46"/>
        </row>
        <row r="47">
          <cell r="J47"/>
          <cell r="K47">
            <v>359</v>
          </cell>
        </row>
        <row r="48">
          <cell r="J48"/>
          <cell r="K48"/>
        </row>
        <row r="49">
          <cell r="J49"/>
          <cell r="K49"/>
        </row>
        <row r="50">
          <cell r="J50"/>
          <cell r="K50">
            <v>278</v>
          </cell>
        </row>
        <row r="51">
          <cell r="J51"/>
          <cell r="K51">
            <v>754</v>
          </cell>
        </row>
        <row r="52">
          <cell r="J52"/>
          <cell r="K52">
            <v>22</v>
          </cell>
        </row>
        <row r="53">
          <cell r="J53">
            <v>202</v>
          </cell>
          <cell r="K53"/>
        </row>
        <row r="54">
          <cell r="J54"/>
          <cell r="K54">
            <v>42</v>
          </cell>
        </row>
        <row r="55">
          <cell r="J55"/>
          <cell r="K55"/>
        </row>
        <row r="56">
          <cell r="J56"/>
          <cell r="K56">
            <v>759</v>
          </cell>
        </row>
        <row r="57">
          <cell r="J57"/>
          <cell r="K57"/>
        </row>
        <row r="58">
          <cell r="J58"/>
          <cell r="K58">
            <v>517</v>
          </cell>
        </row>
        <row r="59">
          <cell r="J59"/>
          <cell r="K59"/>
        </row>
        <row r="60">
          <cell r="J60">
            <v>165</v>
          </cell>
          <cell r="K60"/>
        </row>
        <row r="61">
          <cell r="J61"/>
          <cell r="K61"/>
        </row>
        <row r="62">
          <cell r="J62"/>
          <cell r="K62"/>
        </row>
        <row r="63">
          <cell r="J63"/>
          <cell r="K63"/>
        </row>
        <row r="64">
          <cell r="J64"/>
          <cell r="K64">
            <v>442.2</v>
          </cell>
        </row>
        <row r="65">
          <cell r="J65"/>
          <cell r="K65"/>
        </row>
        <row r="66">
          <cell r="J66"/>
          <cell r="K66"/>
        </row>
        <row r="67">
          <cell r="J67"/>
          <cell r="K67"/>
        </row>
        <row r="68">
          <cell r="J68"/>
          <cell r="K68">
            <v>655</v>
          </cell>
        </row>
        <row r="69">
          <cell r="J69"/>
          <cell r="K69"/>
        </row>
        <row r="70">
          <cell r="J70"/>
          <cell r="K70"/>
        </row>
        <row r="71">
          <cell r="J71"/>
          <cell r="K71"/>
        </row>
        <row r="72">
          <cell r="J72"/>
          <cell r="K72"/>
        </row>
        <row r="73">
          <cell r="J73"/>
          <cell r="K73">
            <v>321</v>
          </cell>
        </row>
        <row r="74">
          <cell r="J74"/>
          <cell r="K74">
            <v>247</v>
          </cell>
        </row>
        <row r="75">
          <cell r="J75"/>
          <cell r="K75"/>
        </row>
        <row r="76">
          <cell r="J76"/>
          <cell r="K76"/>
        </row>
        <row r="77">
          <cell r="J77"/>
          <cell r="K77"/>
        </row>
        <row r="78">
          <cell r="J78"/>
          <cell r="K78"/>
        </row>
        <row r="79">
          <cell r="J79"/>
          <cell r="K79"/>
        </row>
        <row r="80">
          <cell r="J80"/>
          <cell r="K80">
            <v>882</v>
          </cell>
        </row>
        <row r="81">
          <cell r="J81"/>
          <cell r="K81"/>
        </row>
        <row r="82">
          <cell r="J82"/>
          <cell r="K82">
            <v>22</v>
          </cell>
        </row>
        <row r="83">
          <cell r="J83"/>
          <cell r="K83"/>
        </row>
        <row r="84">
          <cell r="J84"/>
          <cell r="K84"/>
        </row>
        <row r="85">
          <cell r="J85"/>
          <cell r="K85"/>
        </row>
        <row r="86">
          <cell r="J86"/>
          <cell r="K86"/>
        </row>
        <row r="87">
          <cell r="J87"/>
          <cell r="K87"/>
        </row>
        <row r="88">
          <cell r="J88"/>
          <cell r="K88"/>
        </row>
        <row r="89">
          <cell r="J89"/>
          <cell r="K89"/>
        </row>
        <row r="90">
          <cell r="J90"/>
          <cell r="K90"/>
        </row>
        <row r="91">
          <cell r="J91"/>
          <cell r="K91"/>
        </row>
        <row r="92">
          <cell r="J92"/>
          <cell r="K92"/>
        </row>
        <row r="93">
          <cell r="J93"/>
          <cell r="K93"/>
        </row>
        <row r="94">
          <cell r="J94"/>
          <cell r="K94">
            <v>382.8</v>
          </cell>
        </row>
        <row r="95">
          <cell r="J95"/>
          <cell r="K95"/>
        </row>
        <row r="96">
          <cell r="J96"/>
          <cell r="K96"/>
        </row>
        <row r="97">
          <cell r="J97"/>
          <cell r="K97"/>
        </row>
        <row r="98">
          <cell r="J98"/>
          <cell r="K98"/>
        </row>
        <row r="99">
          <cell r="J99"/>
          <cell r="K99"/>
        </row>
        <row r="100">
          <cell r="J100"/>
          <cell r="K100"/>
        </row>
        <row r="101">
          <cell r="J101"/>
          <cell r="K101"/>
        </row>
        <row r="102">
          <cell r="J102"/>
          <cell r="K102">
            <v>44</v>
          </cell>
        </row>
        <row r="103">
          <cell r="J103"/>
          <cell r="K103"/>
        </row>
        <row r="104">
          <cell r="J104"/>
          <cell r="K104"/>
        </row>
        <row r="105">
          <cell r="J105"/>
          <cell r="K105"/>
        </row>
        <row r="106">
          <cell r="J106"/>
          <cell r="K106">
            <v>168</v>
          </cell>
        </row>
        <row r="107">
          <cell r="J107">
            <v>22</v>
          </cell>
          <cell r="K107"/>
        </row>
        <row r="108">
          <cell r="J108"/>
          <cell r="K108"/>
        </row>
        <row r="109">
          <cell r="J109"/>
          <cell r="K109"/>
        </row>
        <row r="110">
          <cell r="J110"/>
          <cell r="K110"/>
        </row>
        <row r="111">
          <cell r="J111"/>
          <cell r="K111">
            <v>25</v>
          </cell>
        </row>
        <row r="112">
          <cell r="J112"/>
          <cell r="K112"/>
        </row>
        <row r="113">
          <cell r="J113"/>
          <cell r="K113"/>
        </row>
        <row r="114">
          <cell r="J114"/>
          <cell r="K114"/>
        </row>
        <row r="115">
          <cell r="J115">
            <v>470</v>
          </cell>
          <cell r="K115"/>
        </row>
        <row r="116">
          <cell r="J116"/>
          <cell r="K116"/>
        </row>
        <row r="117">
          <cell r="J117"/>
          <cell r="K117"/>
        </row>
        <row r="118">
          <cell r="J118"/>
          <cell r="K118">
            <v>593</v>
          </cell>
        </row>
        <row r="119">
          <cell r="J119"/>
          <cell r="K119"/>
        </row>
        <row r="120">
          <cell r="J120"/>
          <cell r="K120"/>
        </row>
        <row r="121">
          <cell r="J121"/>
          <cell r="K121"/>
        </row>
        <row r="122">
          <cell r="J122"/>
          <cell r="K122"/>
        </row>
        <row r="123">
          <cell r="J123"/>
          <cell r="K123">
            <v>1850</v>
          </cell>
        </row>
        <row r="124">
          <cell r="J124"/>
          <cell r="K124"/>
        </row>
        <row r="125">
          <cell r="J125"/>
          <cell r="K125"/>
        </row>
        <row r="126">
          <cell r="J126"/>
          <cell r="K126"/>
        </row>
        <row r="127">
          <cell r="J127"/>
          <cell r="K127"/>
        </row>
        <row r="128">
          <cell r="J128"/>
          <cell r="K128">
            <v>195</v>
          </cell>
        </row>
        <row r="129">
          <cell r="J129">
            <v>128</v>
          </cell>
          <cell r="K129"/>
        </row>
        <row r="130">
          <cell r="J130"/>
          <cell r="K130"/>
        </row>
        <row r="131">
          <cell r="J131"/>
          <cell r="K131"/>
        </row>
        <row r="132">
          <cell r="J132"/>
          <cell r="K132"/>
        </row>
        <row r="133">
          <cell r="J133"/>
          <cell r="K133"/>
        </row>
        <row r="134">
          <cell r="J134"/>
          <cell r="K134"/>
        </row>
        <row r="135">
          <cell r="J135"/>
          <cell r="K135"/>
        </row>
        <row r="136">
          <cell r="J136"/>
          <cell r="K136"/>
        </row>
        <row r="137">
          <cell r="J137"/>
          <cell r="K137"/>
        </row>
        <row r="138">
          <cell r="J138"/>
          <cell r="K138"/>
        </row>
        <row r="139">
          <cell r="J139"/>
          <cell r="K139"/>
        </row>
        <row r="140">
          <cell r="J140"/>
          <cell r="K140">
            <v>956</v>
          </cell>
        </row>
        <row r="141">
          <cell r="J141"/>
          <cell r="K141"/>
        </row>
        <row r="142">
          <cell r="J142"/>
          <cell r="K142"/>
        </row>
        <row r="143">
          <cell r="J143"/>
          <cell r="K143"/>
        </row>
        <row r="144">
          <cell r="J144"/>
          <cell r="K144"/>
        </row>
        <row r="145">
          <cell r="J145"/>
          <cell r="K145"/>
        </row>
        <row r="146">
          <cell r="J146"/>
          <cell r="K146"/>
        </row>
        <row r="147">
          <cell r="J147"/>
          <cell r="K147"/>
        </row>
        <row r="148">
          <cell r="J148"/>
          <cell r="K148"/>
        </row>
        <row r="149">
          <cell r="J149"/>
          <cell r="K149"/>
        </row>
        <row r="150">
          <cell r="J150"/>
          <cell r="K150"/>
        </row>
        <row r="151">
          <cell r="J151"/>
          <cell r="K151"/>
        </row>
      </sheetData>
      <sheetData sheetId="302">
        <row r="2">
          <cell r="J2"/>
          <cell r="K2"/>
        </row>
        <row r="3">
          <cell r="J3"/>
          <cell r="K3"/>
        </row>
        <row r="4">
          <cell r="J4"/>
          <cell r="K4"/>
        </row>
        <row r="5">
          <cell r="J5"/>
          <cell r="K5"/>
        </row>
        <row r="6">
          <cell r="J6"/>
          <cell r="K6"/>
          <cell r="T6">
            <v>3145</v>
          </cell>
          <cell r="W6">
            <v>1714</v>
          </cell>
          <cell r="Z6">
            <v>4545</v>
          </cell>
          <cell r="AC6">
            <v>1150</v>
          </cell>
          <cell r="AF6">
            <v>966</v>
          </cell>
          <cell r="AI6">
            <v>1678</v>
          </cell>
          <cell r="AP6">
            <v>15464</v>
          </cell>
          <cell r="AU6">
            <v>12342</v>
          </cell>
          <cell r="AV6">
            <v>11260</v>
          </cell>
          <cell r="AW6">
            <v>10959</v>
          </cell>
          <cell r="AX6">
            <v>1500</v>
          </cell>
          <cell r="BD6">
            <v>279</v>
          </cell>
          <cell r="BE6">
            <v>654</v>
          </cell>
        </row>
        <row r="7">
          <cell r="J7"/>
          <cell r="K7">
            <v>188</v>
          </cell>
        </row>
        <row r="8">
          <cell r="J8"/>
          <cell r="K8">
            <v>120</v>
          </cell>
        </row>
        <row r="9">
          <cell r="J9"/>
          <cell r="K9"/>
        </row>
        <row r="10">
          <cell r="J10">
            <v>133</v>
          </cell>
          <cell r="K10"/>
        </row>
        <row r="11">
          <cell r="J11"/>
          <cell r="K11"/>
        </row>
        <row r="12">
          <cell r="J12"/>
          <cell r="K12"/>
        </row>
        <row r="13">
          <cell r="J13"/>
          <cell r="K13"/>
        </row>
        <row r="14">
          <cell r="J14"/>
          <cell r="K14"/>
        </row>
        <row r="15">
          <cell r="J15"/>
          <cell r="K15"/>
        </row>
        <row r="16">
          <cell r="J16"/>
          <cell r="K16"/>
        </row>
        <row r="17">
          <cell r="J17"/>
          <cell r="K17"/>
        </row>
        <row r="18">
          <cell r="J18"/>
          <cell r="K18"/>
        </row>
        <row r="19">
          <cell r="J19"/>
          <cell r="K19">
            <v>402.6</v>
          </cell>
        </row>
        <row r="20">
          <cell r="J20"/>
          <cell r="K20"/>
        </row>
        <row r="21">
          <cell r="J21"/>
          <cell r="K21"/>
        </row>
        <row r="22">
          <cell r="J22"/>
          <cell r="K22">
            <v>1175</v>
          </cell>
        </row>
        <row r="23">
          <cell r="J23"/>
          <cell r="K23"/>
        </row>
        <row r="24">
          <cell r="J24">
            <v>465</v>
          </cell>
          <cell r="K24"/>
        </row>
        <row r="25">
          <cell r="J25"/>
          <cell r="K25">
            <v>154</v>
          </cell>
        </row>
        <row r="26">
          <cell r="J26">
            <v>205</v>
          </cell>
          <cell r="K26"/>
        </row>
        <row r="27">
          <cell r="J27"/>
          <cell r="K27">
            <v>360</v>
          </cell>
        </row>
        <row r="28">
          <cell r="J28"/>
          <cell r="K28"/>
        </row>
        <row r="29">
          <cell r="J29"/>
          <cell r="K29"/>
        </row>
        <row r="30">
          <cell r="J30"/>
          <cell r="K30"/>
        </row>
        <row r="31">
          <cell r="J31"/>
          <cell r="K31"/>
        </row>
        <row r="32">
          <cell r="J32"/>
          <cell r="K32">
            <v>508</v>
          </cell>
        </row>
        <row r="33">
          <cell r="J33"/>
          <cell r="K33"/>
        </row>
        <row r="34">
          <cell r="J34"/>
          <cell r="K34"/>
        </row>
        <row r="35">
          <cell r="J35">
            <v>202</v>
          </cell>
          <cell r="K35"/>
        </row>
        <row r="36">
          <cell r="J36"/>
          <cell r="K36"/>
        </row>
        <row r="37">
          <cell r="J37"/>
          <cell r="K37"/>
        </row>
        <row r="38">
          <cell r="J38"/>
          <cell r="K38"/>
        </row>
        <row r="39">
          <cell r="J39"/>
          <cell r="K39">
            <v>596</v>
          </cell>
        </row>
        <row r="40">
          <cell r="J40"/>
          <cell r="K40"/>
        </row>
        <row r="41">
          <cell r="J41"/>
          <cell r="K41"/>
        </row>
        <row r="42">
          <cell r="J42"/>
          <cell r="K42"/>
        </row>
        <row r="43">
          <cell r="J43"/>
          <cell r="K43"/>
        </row>
        <row r="44">
          <cell r="J44"/>
          <cell r="K44"/>
        </row>
        <row r="45">
          <cell r="J45"/>
          <cell r="K45"/>
        </row>
        <row r="46">
          <cell r="J46"/>
          <cell r="K46">
            <v>298</v>
          </cell>
        </row>
        <row r="47">
          <cell r="J47"/>
          <cell r="K47"/>
        </row>
        <row r="48">
          <cell r="J48"/>
          <cell r="K48"/>
        </row>
        <row r="49">
          <cell r="J49"/>
          <cell r="K49"/>
        </row>
        <row r="50">
          <cell r="J50"/>
          <cell r="K50">
            <v>281</v>
          </cell>
        </row>
        <row r="51">
          <cell r="J51"/>
          <cell r="K51"/>
        </row>
        <row r="52">
          <cell r="J52"/>
          <cell r="K52"/>
        </row>
        <row r="53">
          <cell r="J53"/>
          <cell r="K53">
            <v>844</v>
          </cell>
        </row>
        <row r="54">
          <cell r="J54"/>
          <cell r="K54">
            <v>420</v>
          </cell>
        </row>
        <row r="55">
          <cell r="J55"/>
          <cell r="K55"/>
        </row>
        <row r="56">
          <cell r="J56"/>
          <cell r="K56"/>
        </row>
        <row r="57">
          <cell r="J57"/>
          <cell r="K57">
            <v>450</v>
          </cell>
        </row>
        <row r="58">
          <cell r="J58"/>
          <cell r="K58"/>
        </row>
        <row r="59">
          <cell r="J59">
            <v>170</v>
          </cell>
          <cell r="K59"/>
        </row>
        <row r="60">
          <cell r="J60"/>
          <cell r="K60"/>
        </row>
        <row r="61">
          <cell r="J61"/>
          <cell r="K61"/>
        </row>
        <row r="62">
          <cell r="J62"/>
          <cell r="K62"/>
        </row>
        <row r="63">
          <cell r="J63"/>
          <cell r="K63"/>
        </row>
        <row r="64">
          <cell r="J64"/>
          <cell r="K64">
            <v>475</v>
          </cell>
        </row>
        <row r="65">
          <cell r="J65"/>
          <cell r="K65"/>
        </row>
        <row r="66">
          <cell r="J66"/>
          <cell r="K66"/>
        </row>
        <row r="67">
          <cell r="J67"/>
          <cell r="K67"/>
        </row>
        <row r="68">
          <cell r="J68"/>
          <cell r="K68"/>
        </row>
        <row r="69">
          <cell r="J69"/>
          <cell r="K69"/>
        </row>
        <row r="70">
          <cell r="J70"/>
          <cell r="K70"/>
        </row>
        <row r="71">
          <cell r="J71"/>
          <cell r="K71">
            <v>100</v>
          </cell>
        </row>
        <row r="72">
          <cell r="J72"/>
          <cell r="K72"/>
        </row>
        <row r="73">
          <cell r="J73"/>
          <cell r="K73"/>
        </row>
        <row r="74">
          <cell r="J74"/>
          <cell r="K74"/>
        </row>
        <row r="75">
          <cell r="J75"/>
          <cell r="K75"/>
        </row>
        <row r="76">
          <cell r="J76"/>
          <cell r="K76">
            <v>572</v>
          </cell>
        </row>
        <row r="77">
          <cell r="J77"/>
          <cell r="K77"/>
        </row>
        <row r="78">
          <cell r="J78"/>
          <cell r="K78"/>
        </row>
        <row r="79">
          <cell r="J79"/>
          <cell r="K79">
            <v>300</v>
          </cell>
        </row>
        <row r="80">
          <cell r="J80"/>
          <cell r="K80">
            <v>130</v>
          </cell>
        </row>
        <row r="81">
          <cell r="J81"/>
          <cell r="K81"/>
        </row>
        <row r="82">
          <cell r="J82"/>
          <cell r="K82"/>
        </row>
        <row r="83">
          <cell r="J83"/>
          <cell r="K83"/>
        </row>
        <row r="84">
          <cell r="J84"/>
          <cell r="K84"/>
        </row>
        <row r="85">
          <cell r="J85"/>
          <cell r="K85">
            <v>501</v>
          </cell>
        </row>
        <row r="86">
          <cell r="J86"/>
          <cell r="K86">
            <v>664.4</v>
          </cell>
        </row>
        <row r="87">
          <cell r="J87">
            <v>80</v>
          </cell>
          <cell r="K87"/>
        </row>
        <row r="88">
          <cell r="J88"/>
          <cell r="K88"/>
        </row>
        <row r="89">
          <cell r="J89"/>
          <cell r="K89"/>
        </row>
        <row r="90">
          <cell r="J90"/>
          <cell r="K90"/>
        </row>
        <row r="91">
          <cell r="J91"/>
          <cell r="K91"/>
        </row>
        <row r="92">
          <cell r="J92"/>
          <cell r="K92">
            <v>245</v>
          </cell>
        </row>
        <row r="93">
          <cell r="J93"/>
          <cell r="K93">
            <v>180</v>
          </cell>
        </row>
        <row r="94">
          <cell r="J94"/>
          <cell r="K94">
            <v>407</v>
          </cell>
        </row>
        <row r="95">
          <cell r="J95"/>
          <cell r="K95"/>
        </row>
        <row r="96">
          <cell r="J96"/>
          <cell r="K96">
            <v>215</v>
          </cell>
        </row>
        <row r="97">
          <cell r="J97">
            <v>155</v>
          </cell>
          <cell r="K97"/>
        </row>
        <row r="98">
          <cell r="J98"/>
          <cell r="K98">
            <v>865.7</v>
          </cell>
        </row>
        <row r="99">
          <cell r="J99"/>
          <cell r="K99"/>
        </row>
        <row r="100">
          <cell r="J100"/>
          <cell r="K100"/>
        </row>
        <row r="101">
          <cell r="J101"/>
          <cell r="K101"/>
        </row>
        <row r="102">
          <cell r="J102"/>
          <cell r="K102"/>
        </row>
        <row r="103">
          <cell r="J103"/>
          <cell r="K103"/>
        </row>
        <row r="104">
          <cell r="J104"/>
          <cell r="K104">
            <v>964</v>
          </cell>
        </row>
        <row r="105">
          <cell r="J105"/>
          <cell r="K105"/>
        </row>
        <row r="106">
          <cell r="J106"/>
          <cell r="K106">
            <v>185</v>
          </cell>
        </row>
        <row r="107">
          <cell r="J107">
            <v>300</v>
          </cell>
          <cell r="K107"/>
        </row>
        <row r="108">
          <cell r="J108"/>
          <cell r="K108"/>
        </row>
        <row r="109">
          <cell r="J109"/>
          <cell r="K109"/>
        </row>
        <row r="110">
          <cell r="J110"/>
          <cell r="K110"/>
        </row>
        <row r="111">
          <cell r="J111"/>
          <cell r="K111"/>
        </row>
        <row r="112">
          <cell r="J112"/>
          <cell r="K112"/>
        </row>
        <row r="113">
          <cell r="J113"/>
          <cell r="K113"/>
        </row>
        <row r="114">
          <cell r="J114"/>
          <cell r="K114"/>
        </row>
        <row r="115">
          <cell r="J115">
            <v>130</v>
          </cell>
          <cell r="K115"/>
        </row>
        <row r="116">
          <cell r="J116"/>
          <cell r="K116">
            <v>44</v>
          </cell>
        </row>
        <row r="117">
          <cell r="J117"/>
          <cell r="K117"/>
        </row>
        <row r="118">
          <cell r="J118"/>
          <cell r="K118"/>
        </row>
        <row r="119">
          <cell r="J119"/>
          <cell r="K119"/>
        </row>
        <row r="120">
          <cell r="J120"/>
          <cell r="K120"/>
        </row>
        <row r="121">
          <cell r="J121"/>
          <cell r="K121"/>
        </row>
        <row r="122">
          <cell r="J122"/>
          <cell r="K122"/>
        </row>
        <row r="123">
          <cell r="J123"/>
          <cell r="K123"/>
        </row>
        <row r="124">
          <cell r="J124"/>
          <cell r="K124"/>
        </row>
        <row r="125">
          <cell r="J125"/>
          <cell r="K125"/>
        </row>
        <row r="126">
          <cell r="J126"/>
          <cell r="K126"/>
        </row>
        <row r="127">
          <cell r="J127"/>
          <cell r="K127"/>
        </row>
        <row r="128">
          <cell r="J128"/>
          <cell r="K128"/>
        </row>
        <row r="129">
          <cell r="J129"/>
          <cell r="K129"/>
        </row>
        <row r="130">
          <cell r="J130"/>
          <cell r="K130"/>
        </row>
        <row r="131">
          <cell r="J131"/>
          <cell r="K131"/>
        </row>
        <row r="132">
          <cell r="J132"/>
          <cell r="K132"/>
        </row>
        <row r="133">
          <cell r="J133"/>
          <cell r="K133"/>
        </row>
        <row r="134">
          <cell r="J134"/>
          <cell r="K134"/>
        </row>
        <row r="135">
          <cell r="J135"/>
          <cell r="K135"/>
        </row>
        <row r="136">
          <cell r="J136"/>
          <cell r="K136"/>
        </row>
        <row r="137">
          <cell r="J137"/>
          <cell r="K137"/>
        </row>
        <row r="138">
          <cell r="J138"/>
          <cell r="K138"/>
        </row>
        <row r="139">
          <cell r="J139"/>
          <cell r="K139"/>
        </row>
        <row r="140">
          <cell r="J140"/>
          <cell r="K140"/>
        </row>
        <row r="141">
          <cell r="J141"/>
          <cell r="K141"/>
        </row>
        <row r="142">
          <cell r="J142"/>
          <cell r="K142"/>
        </row>
        <row r="143">
          <cell r="J143"/>
          <cell r="K143"/>
        </row>
        <row r="144">
          <cell r="J144"/>
          <cell r="K144"/>
        </row>
        <row r="145">
          <cell r="J145"/>
          <cell r="K145"/>
        </row>
        <row r="146">
          <cell r="J146"/>
          <cell r="K146"/>
        </row>
        <row r="147">
          <cell r="J147"/>
          <cell r="K147"/>
        </row>
        <row r="148">
          <cell r="J148"/>
          <cell r="K148"/>
        </row>
        <row r="149">
          <cell r="J149"/>
          <cell r="K149"/>
        </row>
        <row r="150">
          <cell r="J150"/>
          <cell r="K150"/>
        </row>
        <row r="151">
          <cell r="J151"/>
          <cell r="K151"/>
        </row>
      </sheetData>
      <sheetData sheetId="303">
        <row r="2">
          <cell r="J2"/>
          <cell r="K2"/>
        </row>
        <row r="3">
          <cell r="J3"/>
          <cell r="K3">
            <v>60</v>
          </cell>
        </row>
        <row r="4">
          <cell r="J4"/>
          <cell r="K4"/>
        </row>
        <row r="5">
          <cell r="J5"/>
          <cell r="K5">
            <v>173</v>
          </cell>
        </row>
        <row r="6">
          <cell r="J6"/>
          <cell r="K6"/>
          <cell r="T6">
            <v>1267</v>
          </cell>
          <cell r="W6">
            <v>958</v>
          </cell>
          <cell r="Z6">
            <v>3991</v>
          </cell>
          <cell r="AC6">
            <v>2197</v>
          </cell>
          <cell r="AF6">
            <v>696</v>
          </cell>
          <cell r="AI6">
            <v>3373</v>
          </cell>
          <cell r="AP6">
            <v>10114.5</v>
          </cell>
          <cell r="AU6">
            <v>8101.5</v>
          </cell>
          <cell r="AV6">
            <v>10946</v>
          </cell>
          <cell r="AW6">
            <v>11050</v>
          </cell>
          <cell r="AX6">
            <v>0</v>
          </cell>
          <cell r="BD6">
            <v>0</v>
          </cell>
          <cell r="BE6">
            <v>441</v>
          </cell>
        </row>
        <row r="7">
          <cell r="J7"/>
          <cell r="K7"/>
        </row>
        <row r="8">
          <cell r="J8"/>
          <cell r="K8">
            <v>152</v>
          </cell>
        </row>
        <row r="9">
          <cell r="J9"/>
          <cell r="K9"/>
        </row>
        <row r="10">
          <cell r="J10"/>
          <cell r="K10"/>
        </row>
        <row r="11">
          <cell r="J11"/>
          <cell r="K11"/>
        </row>
        <row r="12">
          <cell r="J12"/>
          <cell r="K12"/>
        </row>
        <row r="13">
          <cell r="J13"/>
          <cell r="K13"/>
        </row>
        <row r="14">
          <cell r="J14"/>
          <cell r="K14">
            <v>90</v>
          </cell>
        </row>
        <row r="15">
          <cell r="J15"/>
          <cell r="K15"/>
        </row>
        <row r="16">
          <cell r="J16"/>
          <cell r="K16"/>
        </row>
        <row r="17">
          <cell r="J17"/>
          <cell r="K17"/>
        </row>
        <row r="18">
          <cell r="J18"/>
          <cell r="K18"/>
        </row>
        <row r="19">
          <cell r="J19"/>
          <cell r="K19"/>
        </row>
        <row r="20">
          <cell r="J20"/>
          <cell r="K20"/>
        </row>
        <row r="21">
          <cell r="J21"/>
          <cell r="K21"/>
        </row>
        <row r="22">
          <cell r="J22"/>
          <cell r="K22"/>
        </row>
        <row r="23">
          <cell r="J23"/>
          <cell r="K23"/>
        </row>
        <row r="24">
          <cell r="J24"/>
          <cell r="K24"/>
        </row>
        <row r="25">
          <cell r="J25"/>
          <cell r="K25">
            <v>554</v>
          </cell>
        </row>
        <row r="26">
          <cell r="J26"/>
          <cell r="K26"/>
        </row>
        <row r="27">
          <cell r="J27"/>
          <cell r="K27"/>
        </row>
        <row r="28">
          <cell r="J28"/>
          <cell r="K28">
            <v>359</v>
          </cell>
        </row>
        <row r="29">
          <cell r="J29">
            <v>111</v>
          </cell>
          <cell r="K29"/>
        </row>
        <row r="30">
          <cell r="J30"/>
          <cell r="K30">
            <v>294</v>
          </cell>
        </row>
        <row r="31">
          <cell r="J31"/>
          <cell r="K31">
            <v>345</v>
          </cell>
        </row>
        <row r="32">
          <cell r="J32"/>
          <cell r="K32"/>
        </row>
        <row r="33">
          <cell r="J33"/>
          <cell r="K33"/>
        </row>
        <row r="34">
          <cell r="J34">
            <v>165</v>
          </cell>
          <cell r="K34"/>
        </row>
        <row r="35">
          <cell r="J35">
            <v>465</v>
          </cell>
          <cell r="K35"/>
        </row>
        <row r="36">
          <cell r="J36"/>
          <cell r="K36"/>
        </row>
        <row r="37">
          <cell r="J37"/>
          <cell r="K37"/>
        </row>
        <row r="38">
          <cell r="J38"/>
          <cell r="K38"/>
        </row>
        <row r="39">
          <cell r="J39"/>
          <cell r="K39"/>
        </row>
        <row r="40">
          <cell r="J40"/>
          <cell r="K40"/>
        </row>
        <row r="41">
          <cell r="J41"/>
          <cell r="K41"/>
        </row>
        <row r="42">
          <cell r="J42">
            <v>290</v>
          </cell>
          <cell r="K42"/>
        </row>
        <row r="43">
          <cell r="J43"/>
          <cell r="K43"/>
        </row>
        <row r="44">
          <cell r="J44"/>
          <cell r="K44"/>
        </row>
        <row r="45">
          <cell r="J45"/>
          <cell r="K45"/>
        </row>
        <row r="46">
          <cell r="J46"/>
          <cell r="K46">
            <v>443</v>
          </cell>
        </row>
        <row r="47">
          <cell r="J47"/>
          <cell r="K47">
            <v>152</v>
          </cell>
        </row>
        <row r="48">
          <cell r="J48"/>
          <cell r="K48"/>
        </row>
        <row r="49">
          <cell r="J49"/>
          <cell r="K49">
            <v>264</v>
          </cell>
        </row>
        <row r="50">
          <cell r="J50"/>
          <cell r="K50"/>
        </row>
        <row r="51">
          <cell r="J51">
            <v>202</v>
          </cell>
          <cell r="K51"/>
        </row>
        <row r="52">
          <cell r="J52"/>
          <cell r="K52"/>
        </row>
        <row r="53">
          <cell r="J53"/>
          <cell r="K53"/>
        </row>
        <row r="54">
          <cell r="J54"/>
          <cell r="K54"/>
        </row>
        <row r="55">
          <cell r="J55"/>
          <cell r="K55">
            <v>123</v>
          </cell>
        </row>
        <row r="56">
          <cell r="J56"/>
          <cell r="K56"/>
        </row>
        <row r="57">
          <cell r="J57"/>
          <cell r="K57"/>
        </row>
        <row r="58">
          <cell r="J58"/>
          <cell r="K58"/>
        </row>
        <row r="59">
          <cell r="J59"/>
          <cell r="K59"/>
        </row>
        <row r="60">
          <cell r="J60"/>
          <cell r="K60"/>
        </row>
        <row r="61">
          <cell r="J61"/>
          <cell r="K61"/>
        </row>
        <row r="62">
          <cell r="J62"/>
          <cell r="K62"/>
        </row>
        <row r="63">
          <cell r="J63"/>
          <cell r="K63"/>
        </row>
        <row r="64">
          <cell r="J64"/>
          <cell r="K64"/>
        </row>
        <row r="65">
          <cell r="J65"/>
          <cell r="K65"/>
        </row>
        <row r="66">
          <cell r="J66"/>
          <cell r="K66"/>
        </row>
        <row r="67">
          <cell r="J67"/>
          <cell r="K67"/>
        </row>
        <row r="68">
          <cell r="J68"/>
          <cell r="K68"/>
        </row>
        <row r="69">
          <cell r="J69"/>
          <cell r="K69"/>
        </row>
        <row r="70">
          <cell r="J70"/>
          <cell r="K70"/>
        </row>
        <row r="71">
          <cell r="J71"/>
          <cell r="K71"/>
        </row>
        <row r="72">
          <cell r="J72"/>
          <cell r="K72">
            <v>405</v>
          </cell>
        </row>
        <row r="73">
          <cell r="J73"/>
          <cell r="K73">
            <v>250</v>
          </cell>
        </row>
        <row r="74">
          <cell r="J74"/>
          <cell r="K74">
            <v>668</v>
          </cell>
        </row>
        <row r="75">
          <cell r="J75"/>
          <cell r="K75"/>
        </row>
        <row r="76">
          <cell r="J76"/>
          <cell r="K76"/>
        </row>
        <row r="77">
          <cell r="J77"/>
          <cell r="K77"/>
        </row>
        <row r="78">
          <cell r="J78"/>
          <cell r="K78">
            <v>470</v>
          </cell>
        </row>
        <row r="79">
          <cell r="J79"/>
          <cell r="K79"/>
        </row>
        <row r="80">
          <cell r="J80"/>
          <cell r="K80">
            <v>185</v>
          </cell>
        </row>
        <row r="81">
          <cell r="J81"/>
          <cell r="K81"/>
        </row>
        <row r="82">
          <cell r="J82"/>
          <cell r="K82"/>
        </row>
        <row r="83">
          <cell r="J83"/>
          <cell r="K83"/>
        </row>
        <row r="84">
          <cell r="J84"/>
          <cell r="K84"/>
        </row>
        <row r="85">
          <cell r="J85"/>
          <cell r="K85"/>
        </row>
        <row r="86">
          <cell r="J86"/>
          <cell r="K86"/>
        </row>
        <row r="87">
          <cell r="J87"/>
          <cell r="K87">
            <v>245</v>
          </cell>
        </row>
        <row r="88">
          <cell r="J88"/>
          <cell r="K88">
            <v>185</v>
          </cell>
        </row>
        <row r="89">
          <cell r="J89">
            <v>280</v>
          </cell>
          <cell r="K89"/>
        </row>
        <row r="90">
          <cell r="J90"/>
          <cell r="K90">
            <v>242</v>
          </cell>
        </row>
        <row r="91">
          <cell r="J91"/>
          <cell r="K91"/>
        </row>
        <row r="92">
          <cell r="J92"/>
          <cell r="K92">
            <v>278</v>
          </cell>
        </row>
        <row r="93">
          <cell r="J93"/>
          <cell r="K93"/>
        </row>
        <row r="94">
          <cell r="J94">
            <v>130</v>
          </cell>
          <cell r="K94"/>
        </row>
        <row r="95">
          <cell r="J95">
            <v>155</v>
          </cell>
          <cell r="K95"/>
        </row>
        <row r="96">
          <cell r="J96"/>
          <cell r="K96"/>
        </row>
        <row r="97">
          <cell r="J97"/>
          <cell r="K97"/>
        </row>
        <row r="98">
          <cell r="J98"/>
          <cell r="K98"/>
        </row>
        <row r="99">
          <cell r="J99"/>
          <cell r="K99">
            <v>468</v>
          </cell>
        </row>
        <row r="100">
          <cell r="J100"/>
          <cell r="K100"/>
        </row>
        <row r="101">
          <cell r="J101"/>
          <cell r="K101">
            <v>1005</v>
          </cell>
        </row>
        <row r="102">
          <cell r="J102"/>
          <cell r="K102"/>
        </row>
        <row r="103">
          <cell r="J103"/>
          <cell r="K103"/>
        </row>
        <row r="104">
          <cell r="J104"/>
          <cell r="K104">
            <v>370</v>
          </cell>
        </row>
        <row r="105">
          <cell r="J105">
            <v>260</v>
          </cell>
          <cell r="K105"/>
        </row>
        <row r="106">
          <cell r="J106"/>
          <cell r="K106">
            <v>710</v>
          </cell>
        </row>
        <row r="107">
          <cell r="J107"/>
          <cell r="K107"/>
        </row>
        <row r="108">
          <cell r="J108"/>
          <cell r="K108"/>
        </row>
        <row r="109">
          <cell r="J109"/>
          <cell r="K109"/>
        </row>
        <row r="110">
          <cell r="J110"/>
          <cell r="K110"/>
        </row>
        <row r="111">
          <cell r="J111"/>
          <cell r="K111"/>
        </row>
        <row r="112">
          <cell r="J112"/>
          <cell r="K112"/>
        </row>
        <row r="113">
          <cell r="J113"/>
          <cell r="K113"/>
        </row>
        <row r="114">
          <cell r="J114"/>
          <cell r="K114"/>
        </row>
        <row r="115">
          <cell r="J115"/>
          <cell r="K115"/>
        </row>
        <row r="116">
          <cell r="J116"/>
          <cell r="K116"/>
        </row>
        <row r="117">
          <cell r="J117"/>
          <cell r="K117"/>
        </row>
        <row r="118">
          <cell r="J118"/>
          <cell r="K118"/>
        </row>
        <row r="119">
          <cell r="J119"/>
          <cell r="K119"/>
        </row>
        <row r="120">
          <cell r="J120"/>
          <cell r="K120"/>
        </row>
        <row r="121">
          <cell r="J121"/>
          <cell r="K121"/>
        </row>
        <row r="122">
          <cell r="J122"/>
          <cell r="K122"/>
        </row>
        <row r="123">
          <cell r="J123"/>
          <cell r="K123"/>
        </row>
        <row r="124">
          <cell r="J124"/>
          <cell r="K124"/>
        </row>
        <row r="125">
          <cell r="J125"/>
          <cell r="K125"/>
        </row>
        <row r="126">
          <cell r="J126"/>
          <cell r="K126"/>
        </row>
        <row r="127">
          <cell r="J127"/>
          <cell r="K127"/>
        </row>
        <row r="128">
          <cell r="J128"/>
          <cell r="K128"/>
        </row>
        <row r="129">
          <cell r="J129"/>
          <cell r="K129"/>
        </row>
        <row r="130">
          <cell r="J130"/>
          <cell r="K130"/>
        </row>
        <row r="131">
          <cell r="J131"/>
          <cell r="K131"/>
        </row>
        <row r="132">
          <cell r="J132"/>
          <cell r="K132"/>
        </row>
        <row r="133">
          <cell r="J133"/>
          <cell r="K133"/>
        </row>
        <row r="134">
          <cell r="J134"/>
          <cell r="K134"/>
        </row>
        <row r="135">
          <cell r="J135"/>
          <cell r="K135"/>
        </row>
        <row r="136">
          <cell r="J136"/>
          <cell r="K136"/>
        </row>
        <row r="137">
          <cell r="J137"/>
          <cell r="K137"/>
        </row>
        <row r="138">
          <cell r="J138"/>
          <cell r="K138"/>
        </row>
        <row r="139">
          <cell r="J139"/>
          <cell r="K139"/>
        </row>
        <row r="140">
          <cell r="J140"/>
          <cell r="K140"/>
        </row>
        <row r="141">
          <cell r="J141"/>
          <cell r="K141"/>
        </row>
        <row r="142">
          <cell r="J142"/>
          <cell r="K142"/>
        </row>
        <row r="143">
          <cell r="J143"/>
          <cell r="K143"/>
        </row>
        <row r="144">
          <cell r="J144"/>
          <cell r="K144"/>
        </row>
        <row r="145">
          <cell r="J145"/>
          <cell r="K145"/>
        </row>
        <row r="146">
          <cell r="J146"/>
          <cell r="K146"/>
        </row>
        <row r="147">
          <cell r="J147"/>
          <cell r="K147"/>
        </row>
        <row r="148">
          <cell r="J148"/>
          <cell r="K148"/>
        </row>
        <row r="149">
          <cell r="J149"/>
          <cell r="K149"/>
        </row>
        <row r="150">
          <cell r="J150"/>
          <cell r="K150"/>
        </row>
        <row r="151">
          <cell r="J151"/>
          <cell r="K151"/>
        </row>
      </sheetData>
      <sheetData sheetId="304">
        <row r="2">
          <cell r="J2"/>
          <cell r="K2"/>
        </row>
        <row r="3">
          <cell r="J3"/>
          <cell r="K3">
            <v>80</v>
          </cell>
        </row>
        <row r="4">
          <cell r="J4"/>
          <cell r="K4"/>
        </row>
        <row r="5">
          <cell r="J5"/>
          <cell r="K5"/>
        </row>
        <row r="6">
          <cell r="J6"/>
          <cell r="K6"/>
          <cell r="T6">
            <v>1855</v>
          </cell>
          <cell r="W6">
            <v>2219</v>
          </cell>
          <cell r="Z6">
            <v>4913</v>
          </cell>
          <cell r="AC6">
            <v>2299</v>
          </cell>
          <cell r="AF6">
            <v>1059</v>
          </cell>
          <cell r="AI6">
            <v>1544</v>
          </cell>
          <cell r="AP6">
            <v>11530.5</v>
          </cell>
          <cell r="AU6">
            <v>7433</v>
          </cell>
          <cell r="AV6">
            <v>7556.35</v>
          </cell>
          <cell r="AW6">
            <v>14860</v>
          </cell>
          <cell r="AX6">
            <v>1000</v>
          </cell>
          <cell r="BD6">
            <v>490</v>
          </cell>
          <cell r="BE6">
            <v>184</v>
          </cell>
        </row>
        <row r="7">
          <cell r="J7"/>
          <cell r="K7"/>
        </row>
        <row r="8">
          <cell r="J8"/>
          <cell r="K8"/>
        </row>
        <row r="9">
          <cell r="J9"/>
          <cell r="K9">
            <v>170</v>
          </cell>
        </row>
        <row r="10">
          <cell r="J10">
            <v>344</v>
          </cell>
          <cell r="K10"/>
        </row>
        <row r="11">
          <cell r="J11"/>
          <cell r="K11">
            <v>124</v>
          </cell>
        </row>
        <row r="12">
          <cell r="J12"/>
          <cell r="K12"/>
        </row>
        <row r="13">
          <cell r="J13"/>
          <cell r="K13"/>
        </row>
        <row r="14">
          <cell r="J14"/>
          <cell r="K14"/>
        </row>
        <row r="15">
          <cell r="J15"/>
          <cell r="K15"/>
        </row>
        <row r="16">
          <cell r="J16"/>
          <cell r="K16"/>
        </row>
        <row r="17">
          <cell r="J17"/>
          <cell r="K17"/>
        </row>
        <row r="18">
          <cell r="J18"/>
          <cell r="K18"/>
        </row>
        <row r="19">
          <cell r="J19"/>
          <cell r="K19">
            <v>240</v>
          </cell>
        </row>
        <row r="20">
          <cell r="J20"/>
          <cell r="K20">
            <v>867</v>
          </cell>
        </row>
        <row r="21">
          <cell r="J21"/>
          <cell r="K21">
            <v>20</v>
          </cell>
        </row>
        <row r="22">
          <cell r="J22"/>
          <cell r="K22"/>
        </row>
        <row r="23">
          <cell r="J23"/>
          <cell r="K23"/>
        </row>
        <row r="24">
          <cell r="J24"/>
          <cell r="K24"/>
        </row>
        <row r="25">
          <cell r="J25"/>
          <cell r="K25"/>
        </row>
        <row r="26">
          <cell r="J26"/>
          <cell r="K26"/>
        </row>
        <row r="27">
          <cell r="J27"/>
          <cell r="K27"/>
        </row>
        <row r="28">
          <cell r="J28"/>
          <cell r="K28"/>
        </row>
        <row r="29">
          <cell r="J29"/>
          <cell r="K29"/>
        </row>
        <row r="30">
          <cell r="J30"/>
          <cell r="K30"/>
        </row>
        <row r="31">
          <cell r="J31"/>
          <cell r="K31"/>
        </row>
        <row r="32">
          <cell r="J32"/>
          <cell r="K32"/>
        </row>
        <row r="33">
          <cell r="J33">
            <v>265</v>
          </cell>
          <cell r="K33"/>
        </row>
        <row r="34">
          <cell r="J34"/>
          <cell r="K34"/>
        </row>
        <row r="35">
          <cell r="J35"/>
          <cell r="K35"/>
        </row>
        <row r="36">
          <cell r="J36"/>
          <cell r="K36"/>
        </row>
        <row r="37">
          <cell r="J37"/>
          <cell r="K37"/>
        </row>
        <row r="38">
          <cell r="J38"/>
          <cell r="K38"/>
        </row>
        <row r="39">
          <cell r="J39"/>
          <cell r="K39"/>
        </row>
        <row r="40">
          <cell r="J40"/>
          <cell r="K40"/>
        </row>
        <row r="41">
          <cell r="J41"/>
          <cell r="K41"/>
        </row>
        <row r="42">
          <cell r="J42"/>
          <cell r="K42"/>
        </row>
        <row r="43">
          <cell r="J43"/>
          <cell r="K43"/>
        </row>
        <row r="44">
          <cell r="J44"/>
          <cell r="K44">
            <v>303</v>
          </cell>
        </row>
        <row r="45">
          <cell r="J45"/>
          <cell r="K45"/>
        </row>
        <row r="46">
          <cell r="J46"/>
          <cell r="K46">
            <v>164</v>
          </cell>
        </row>
        <row r="47">
          <cell r="J47"/>
          <cell r="K47"/>
        </row>
        <row r="48">
          <cell r="J48"/>
          <cell r="K48">
            <v>462</v>
          </cell>
        </row>
        <row r="49">
          <cell r="J49"/>
          <cell r="K49"/>
        </row>
        <row r="50">
          <cell r="J50"/>
          <cell r="K50"/>
        </row>
        <row r="51">
          <cell r="J51"/>
          <cell r="K51"/>
        </row>
        <row r="52">
          <cell r="J52"/>
          <cell r="K52"/>
        </row>
        <row r="53">
          <cell r="J53"/>
          <cell r="K53">
            <v>103</v>
          </cell>
        </row>
        <row r="54">
          <cell r="J54"/>
          <cell r="K54">
            <v>503</v>
          </cell>
        </row>
        <row r="55">
          <cell r="J55"/>
          <cell r="K55"/>
        </row>
        <row r="56">
          <cell r="J56"/>
          <cell r="K56"/>
        </row>
        <row r="57">
          <cell r="J57"/>
          <cell r="K57"/>
        </row>
        <row r="58">
          <cell r="J58"/>
          <cell r="K58"/>
        </row>
        <row r="59">
          <cell r="J59"/>
          <cell r="K59">
            <v>138</v>
          </cell>
        </row>
        <row r="60">
          <cell r="J60"/>
          <cell r="K60"/>
        </row>
        <row r="61">
          <cell r="J61"/>
          <cell r="K61"/>
        </row>
        <row r="62">
          <cell r="J62"/>
          <cell r="K62"/>
        </row>
        <row r="63">
          <cell r="J63"/>
          <cell r="K63"/>
        </row>
        <row r="64">
          <cell r="J64"/>
          <cell r="K64"/>
        </row>
        <row r="65">
          <cell r="J65"/>
          <cell r="K65"/>
        </row>
        <row r="66">
          <cell r="J66"/>
          <cell r="K66">
            <v>225</v>
          </cell>
        </row>
        <row r="67">
          <cell r="J67"/>
          <cell r="K67"/>
        </row>
        <row r="68">
          <cell r="J68"/>
          <cell r="K68"/>
        </row>
        <row r="69">
          <cell r="J69"/>
          <cell r="K69"/>
        </row>
        <row r="70">
          <cell r="J70"/>
          <cell r="K70"/>
        </row>
        <row r="71">
          <cell r="J71"/>
          <cell r="K71"/>
        </row>
        <row r="72">
          <cell r="J72">
            <v>202</v>
          </cell>
          <cell r="K72"/>
        </row>
        <row r="73">
          <cell r="J73"/>
          <cell r="K73"/>
        </row>
        <row r="74">
          <cell r="J74"/>
          <cell r="K74"/>
        </row>
        <row r="75">
          <cell r="J75"/>
          <cell r="K75"/>
        </row>
        <row r="76">
          <cell r="J76"/>
          <cell r="K76"/>
        </row>
        <row r="77">
          <cell r="J77"/>
          <cell r="K77"/>
        </row>
        <row r="78">
          <cell r="J78"/>
          <cell r="K78"/>
        </row>
        <row r="79">
          <cell r="J79"/>
          <cell r="K79"/>
        </row>
        <row r="80">
          <cell r="J80"/>
          <cell r="K80"/>
        </row>
        <row r="81">
          <cell r="J81"/>
          <cell r="K81"/>
        </row>
        <row r="82">
          <cell r="J82"/>
          <cell r="K82"/>
        </row>
        <row r="83">
          <cell r="J83"/>
          <cell r="K83"/>
        </row>
        <row r="84">
          <cell r="J84"/>
          <cell r="K84">
            <v>295</v>
          </cell>
        </row>
        <row r="85">
          <cell r="J85"/>
          <cell r="K85">
            <v>185</v>
          </cell>
        </row>
        <row r="86">
          <cell r="J86"/>
          <cell r="K86">
            <v>716</v>
          </cell>
        </row>
        <row r="87">
          <cell r="J87"/>
          <cell r="K87">
            <v>380</v>
          </cell>
        </row>
        <row r="88">
          <cell r="J88"/>
          <cell r="K88"/>
        </row>
        <row r="89">
          <cell r="J89"/>
          <cell r="K89"/>
        </row>
        <row r="90">
          <cell r="J90"/>
          <cell r="K90"/>
        </row>
        <row r="91">
          <cell r="J91"/>
          <cell r="K91"/>
        </row>
        <row r="92">
          <cell r="J92"/>
          <cell r="K92"/>
        </row>
        <row r="93">
          <cell r="J93"/>
          <cell r="K93"/>
        </row>
        <row r="94">
          <cell r="J94"/>
          <cell r="K94">
            <v>280</v>
          </cell>
        </row>
        <row r="95">
          <cell r="J95"/>
          <cell r="K95">
            <v>180</v>
          </cell>
        </row>
        <row r="96">
          <cell r="J96"/>
          <cell r="K96"/>
        </row>
        <row r="97">
          <cell r="J97"/>
          <cell r="K97">
            <v>230</v>
          </cell>
        </row>
        <row r="98">
          <cell r="J98"/>
          <cell r="K98">
            <v>392</v>
          </cell>
        </row>
        <row r="99">
          <cell r="J99">
            <v>164</v>
          </cell>
          <cell r="K99"/>
        </row>
        <row r="100">
          <cell r="J100"/>
          <cell r="K100"/>
        </row>
        <row r="101">
          <cell r="J101"/>
          <cell r="K101"/>
        </row>
        <row r="102">
          <cell r="J102"/>
          <cell r="K102"/>
        </row>
        <row r="103">
          <cell r="J103"/>
          <cell r="K103"/>
        </row>
        <row r="104">
          <cell r="J104"/>
          <cell r="K104"/>
        </row>
        <row r="105">
          <cell r="J105"/>
          <cell r="K105"/>
        </row>
        <row r="106">
          <cell r="J106"/>
          <cell r="K106"/>
        </row>
        <row r="107">
          <cell r="J107"/>
          <cell r="K107"/>
        </row>
        <row r="108">
          <cell r="J108"/>
          <cell r="K108">
            <v>500</v>
          </cell>
        </row>
        <row r="109">
          <cell r="J109"/>
          <cell r="K109"/>
        </row>
        <row r="110">
          <cell r="J110"/>
          <cell r="K110"/>
        </row>
        <row r="111">
          <cell r="J111"/>
          <cell r="K111"/>
        </row>
        <row r="112">
          <cell r="J112"/>
          <cell r="K112"/>
        </row>
        <row r="113">
          <cell r="J113"/>
          <cell r="K113"/>
        </row>
        <row r="114">
          <cell r="J114"/>
          <cell r="K114"/>
        </row>
        <row r="115">
          <cell r="J115"/>
          <cell r="K115"/>
        </row>
        <row r="116">
          <cell r="J116"/>
          <cell r="K116"/>
        </row>
        <row r="117">
          <cell r="J117"/>
          <cell r="K117"/>
        </row>
        <row r="118">
          <cell r="J118"/>
          <cell r="K118"/>
        </row>
        <row r="119">
          <cell r="J119"/>
          <cell r="K119"/>
        </row>
        <row r="120">
          <cell r="J120"/>
          <cell r="K120"/>
        </row>
        <row r="121">
          <cell r="J121"/>
          <cell r="K121"/>
        </row>
        <row r="122">
          <cell r="J122"/>
          <cell r="K122"/>
        </row>
        <row r="123">
          <cell r="J123"/>
          <cell r="K123"/>
        </row>
        <row r="124">
          <cell r="J124"/>
          <cell r="K124"/>
        </row>
        <row r="125">
          <cell r="J125"/>
          <cell r="K125"/>
        </row>
        <row r="126">
          <cell r="J126"/>
          <cell r="K126"/>
        </row>
        <row r="127">
          <cell r="J127"/>
          <cell r="K127"/>
        </row>
        <row r="128">
          <cell r="J128"/>
          <cell r="K128"/>
        </row>
        <row r="129">
          <cell r="J129"/>
          <cell r="K129"/>
        </row>
        <row r="130">
          <cell r="J130"/>
          <cell r="K130"/>
        </row>
        <row r="131">
          <cell r="J131"/>
          <cell r="K131"/>
        </row>
        <row r="132">
          <cell r="J132"/>
          <cell r="K132"/>
        </row>
        <row r="133">
          <cell r="J133"/>
          <cell r="K133"/>
        </row>
        <row r="134">
          <cell r="J134"/>
          <cell r="K134"/>
        </row>
        <row r="135">
          <cell r="J135"/>
          <cell r="K135"/>
        </row>
        <row r="136">
          <cell r="J136"/>
          <cell r="K136"/>
        </row>
        <row r="137">
          <cell r="J137"/>
          <cell r="K137"/>
        </row>
        <row r="138">
          <cell r="J138"/>
          <cell r="K138"/>
        </row>
        <row r="139">
          <cell r="J139"/>
          <cell r="K139"/>
        </row>
        <row r="140">
          <cell r="J140"/>
          <cell r="K140"/>
        </row>
        <row r="141">
          <cell r="J141"/>
          <cell r="K141"/>
        </row>
        <row r="142">
          <cell r="J142"/>
          <cell r="K142"/>
        </row>
        <row r="143">
          <cell r="J143"/>
          <cell r="K143"/>
        </row>
        <row r="144">
          <cell r="J144"/>
          <cell r="K144"/>
        </row>
        <row r="145">
          <cell r="J145"/>
          <cell r="K145"/>
        </row>
        <row r="146">
          <cell r="J146"/>
          <cell r="K146"/>
        </row>
        <row r="147">
          <cell r="J147"/>
          <cell r="K147"/>
        </row>
        <row r="148">
          <cell r="J148"/>
          <cell r="K148"/>
        </row>
        <row r="149">
          <cell r="J149"/>
          <cell r="K149"/>
        </row>
        <row r="150">
          <cell r="J150"/>
          <cell r="K150"/>
        </row>
        <row r="151">
          <cell r="J151"/>
          <cell r="K151"/>
        </row>
      </sheetData>
      <sheetData sheetId="305">
        <row r="2">
          <cell r="J2"/>
          <cell r="K2"/>
        </row>
        <row r="3">
          <cell r="J3"/>
          <cell r="K3">
            <v>100</v>
          </cell>
        </row>
        <row r="4">
          <cell r="J4"/>
          <cell r="K4">
            <v>60</v>
          </cell>
        </row>
        <row r="5">
          <cell r="J5"/>
          <cell r="K5"/>
        </row>
        <row r="6">
          <cell r="J6"/>
          <cell r="K6">
            <v>280</v>
          </cell>
          <cell r="T6">
            <v>1812</v>
          </cell>
          <cell r="W6">
            <v>2108</v>
          </cell>
          <cell r="Z6">
            <v>4102</v>
          </cell>
          <cell r="AC6">
            <v>1784</v>
          </cell>
          <cell r="AF6">
            <v>731</v>
          </cell>
          <cell r="AI6">
            <v>3435</v>
          </cell>
          <cell r="AP6">
            <v>15410</v>
          </cell>
          <cell r="AU6">
            <v>16636.5</v>
          </cell>
          <cell r="AV6">
            <v>11474</v>
          </cell>
          <cell r="AW6">
            <v>10651</v>
          </cell>
          <cell r="AX6">
            <v>1000</v>
          </cell>
          <cell r="BD6">
            <v>418</v>
          </cell>
          <cell r="BE6">
            <v>948</v>
          </cell>
        </row>
        <row r="7">
          <cell r="J7">
            <v>240</v>
          </cell>
          <cell r="K7"/>
        </row>
        <row r="8">
          <cell r="J8"/>
          <cell r="K8">
            <v>173</v>
          </cell>
        </row>
        <row r="9">
          <cell r="J9"/>
          <cell r="K9"/>
        </row>
        <row r="10">
          <cell r="J10"/>
          <cell r="K10"/>
        </row>
        <row r="11">
          <cell r="J11"/>
          <cell r="K11">
            <v>258</v>
          </cell>
        </row>
        <row r="12">
          <cell r="J12"/>
          <cell r="K12"/>
        </row>
        <row r="13">
          <cell r="J13"/>
          <cell r="K13">
            <v>152</v>
          </cell>
        </row>
        <row r="14">
          <cell r="J14"/>
          <cell r="K14"/>
        </row>
        <row r="15">
          <cell r="J15"/>
          <cell r="K15"/>
        </row>
        <row r="16">
          <cell r="J16"/>
          <cell r="K16"/>
        </row>
        <row r="17">
          <cell r="J17"/>
          <cell r="K17"/>
        </row>
        <row r="18">
          <cell r="J18"/>
          <cell r="K18"/>
        </row>
        <row r="19">
          <cell r="J19"/>
          <cell r="K19"/>
        </row>
        <row r="20">
          <cell r="J20"/>
          <cell r="K20"/>
        </row>
        <row r="21">
          <cell r="J21"/>
          <cell r="K21"/>
        </row>
        <row r="22">
          <cell r="J22"/>
          <cell r="K22">
            <v>528</v>
          </cell>
        </row>
        <row r="23">
          <cell r="J23"/>
          <cell r="K23">
            <v>451</v>
          </cell>
        </row>
        <row r="24">
          <cell r="J24"/>
          <cell r="K24"/>
        </row>
        <row r="25">
          <cell r="J25"/>
          <cell r="K25"/>
        </row>
        <row r="26">
          <cell r="J26"/>
          <cell r="K26"/>
        </row>
        <row r="27">
          <cell r="J27"/>
          <cell r="K27"/>
        </row>
        <row r="28">
          <cell r="J28"/>
          <cell r="K28"/>
        </row>
        <row r="29">
          <cell r="J29">
            <v>262</v>
          </cell>
          <cell r="K29"/>
        </row>
        <row r="30">
          <cell r="J30"/>
          <cell r="K30"/>
        </row>
        <row r="31">
          <cell r="J31"/>
          <cell r="K31">
            <v>632.5</v>
          </cell>
        </row>
        <row r="32">
          <cell r="J32"/>
          <cell r="K32">
            <v>442.2</v>
          </cell>
        </row>
        <row r="33">
          <cell r="J33"/>
          <cell r="K33"/>
        </row>
        <row r="34">
          <cell r="J34"/>
          <cell r="K34"/>
        </row>
        <row r="35">
          <cell r="J35"/>
          <cell r="K35"/>
        </row>
        <row r="36">
          <cell r="J36"/>
          <cell r="K36">
            <v>420</v>
          </cell>
        </row>
        <row r="37">
          <cell r="J37"/>
          <cell r="K37"/>
        </row>
        <row r="38">
          <cell r="J38"/>
          <cell r="K38"/>
        </row>
        <row r="39">
          <cell r="J39"/>
          <cell r="K39">
            <v>390</v>
          </cell>
        </row>
        <row r="40">
          <cell r="J40">
            <v>202</v>
          </cell>
          <cell r="K40"/>
        </row>
        <row r="41">
          <cell r="J41"/>
          <cell r="K41">
            <v>48</v>
          </cell>
        </row>
        <row r="42">
          <cell r="J42"/>
          <cell r="K42"/>
        </row>
        <row r="43">
          <cell r="J43"/>
          <cell r="K43"/>
        </row>
        <row r="44">
          <cell r="J44"/>
          <cell r="K44">
            <v>350</v>
          </cell>
        </row>
        <row r="45">
          <cell r="J45"/>
          <cell r="K45"/>
        </row>
        <row r="46">
          <cell r="J46"/>
          <cell r="K46"/>
        </row>
        <row r="47">
          <cell r="J47"/>
          <cell r="K47"/>
        </row>
        <row r="48">
          <cell r="J48"/>
          <cell r="K48">
            <v>495</v>
          </cell>
        </row>
        <row r="49">
          <cell r="J49"/>
          <cell r="K49">
            <v>387</v>
          </cell>
        </row>
        <row r="50">
          <cell r="J50"/>
          <cell r="K50"/>
        </row>
        <row r="51">
          <cell r="J51"/>
          <cell r="K51"/>
        </row>
        <row r="52">
          <cell r="J52"/>
          <cell r="K52"/>
        </row>
        <row r="53">
          <cell r="J53"/>
          <cell r="K53"/>
        </row>
        <row r="54">
          <cell r="J54"/>
          <cell r="K54"/>
        </row>
        <row r="55">
          <cell r="J55"/>
          <cell r="K55">
            <v>342</v>
          </cell>
        </row>
        <row r="56">
          <cell r="J56"/>
          <cell r="K56"/>
        </row>
        <row r="57">
          <cell r="J57"/>
          <cell r="K57">
            <v>456</v>
          </cell>
        </row>
        <row r="58">
          <cell r="J58"/>
          <cell r="K58">
            <v>530</v>
          </cell>
        </row>
        <row r="59">
          <cell r="J59"/>
          <cell r="K59"/>
        </row>
        <row r="60">
          <cell r="J60"/>
          <cell r="K60"/>
        </row>
        <row r="61">
          <cell r="J61"/>
          <cell r="K61"/>
        </row>
        <row r="62">
          <cell r="J62"/>
          <cell r="K62">
            <v>143</v>
          </cell>
        </row>
        <row r="63">
          <cell r="J63"/>
          <cell r="K63"/>
        </row>
        <row r="64">
          <cell r="J64"/>
          <cell r="K64"/>
        </row>
        <row r="65">
          <cell r="J65"/>
          <cell r="K65"/>
        </row>
        <row r="66">
          <cell r="J66"/>
          <cell r="K66">
            <v>440</v>
          </cell>
        </row>
        <row r="67">
          <cell r="J67"/>
          <cell r="K67"/>
        </row>
        <row r="68">
          <cell r="J68"/>
          <cell r="K68">
            <v>391</v>
          </cell>
        </row>
        <row r="69">
          <cell r="J69">
            <v>234</v>
          </cell>
          <cell r="K69"/>
        </row>
        <row r="70">
          <cell r="J70"/>
          <cell r="K70"/>
        </row>
        <row r="71">
          <cell r="J71"/>
          <cell r="K71"/>
        </row>
        <row r="72">
          <cell r="J72"/>
          <cell r="K72">
            <v>406</v>
          </cell>
        </row>
        <row r="73">
          <cell r="J73"/>
          <cell r="K73"/>
        </row>
        <row r="74">
          <cell r="J74"/>
          <cell r="K74"/>
        </row>
        <row r="75">
          <cell r="J75"/>
          <cell r="K75"/>
        </row>
        <row r="76">
          <cell r="J76"/>
          <cell r="K76">
            <v>60</v>
          </cell>
        </row>
        <row r="77">
          <cell r="J77"/>
          <cell r="K77">
            <v>90</v>
          </cell>
        </row>
        <row r="78">
          <cell r="J78"/>
          <cell r="K78"/>
        </row>
        <row r="79">
          <cell r="J79"/>
          <cell r="K79"/>
        </row>
        <row r="80">
          <cell r="J80"/>
          <cell r="K80"/>
        </row>
        <row r="81">
          <cell r="J81"/>
          <cell r="K81"/>
        </row>
        <row r="82">
          <cell r="J82"/>
          <cell r="K82"/>
        </row>
        <row r="83">
          <cell r="J83"/>
          <cell r="K83"/>
        </row>
        <row r="84">
          <cell r="J84"/>
          <cell r="K84"/>
        </row>
        <row r="85">
          <cell r="J85"/>
          <cell r="K85"/>
        </row>
        <row r="86">
          <cell r="J86"/>
          <cell r="K86"/>
        </row>
        <row r="87">
          <cell r="J87"/>
          <cell r="K87"/>
        </row>
        <row r="88">
          <cell r="J88"/>
          <cell r="K88"/>
        </row>
        <row r="89">
          <cell r="J89"/>
          <cell r="K89"/>
        </row>
        <row r="90">
          <cell r="J90"/>
          <cell r="K90">
            <v>780</v>
          </cell>
        </row>
        <row r="91">
          <cell r="J91"/>
          <cell r="K91"/>
        </row>
        <row r="92">
          <cell r="J92"/>
          <cell r="K92"/>
        </row>
        <row r="93">
          <cell r="J93"/>
          <cell r="K93"/>
        </row>
        <row r="94">
          <cell r="J94"/>
          <cell r="K94">
            <v>341</v>
          </cell>
        </row>
        <row r="95">
          <cell r="J95"/>
          <cell r="K95"/>
        </row>
        <row r="96">
          <cell r="J96"/>
          <cell r="K96"/>
        </row>
        <row r="97">
          <cell r="J97"/>
          <cell r="K97"/>
        </row>
        <row r="98">
          <cell r="J98"/>
          <cell r="K98"/>
        </row>
        <row r="99">
          <cell r="J99"/>
          <cell r="K99">
            <v>165</v>
          </cell>
        </row>
        <row r="100">
          <cell r="J100"/>
          <cell r="K100"/>
        </row>
        <row r="101">
          <cell r="J101"/>
          <cell r="K101"/>
        </row>
        <row r="102">
          <cell r="J102"/>
          <cell r="K102">
            <v>185</v>
          </cell>
        </row>
        <row r="103">
          <cell r="J103"/>
          <cell r="K103"/>
        </row>
        <row r="104">
          <cell r="J104"/>
          <cell r="K104">
            <v>163</v>
          </cell>
        </row>
        <row r="105">
          <cell r="J105"/>
          <cell r="K105"/>
        </row>
        <row r="106">
          <cell r="J106"/>
          <cell r="K106"/>
        </row>
        <row r="107">
          <cell r="J107"/>
          <cell r="K107"/>
        </row>
        <row r="108">
          <cell r="J108"/>
          <cell r="K108"/>
        </row>
        <row r="109">
          <cell r="J109"/>
          <cell r="K109"/>
        </row>
        <row r="110">
          <cell r="J110"/>
          <cell r="K110"/>
        </row>
        <row r="111">
          <cell r="J111"/>
          <cell r="K111">
            <v>1150</v>
          </cell>
        </row>
        <row r="112">
          <cell r="J112"/>
          <cell r="K112">
            <v>418</v>
          </cell>
        </row>
        <row r="113">
          <cell r="J113"/>
          <cell r="K113">
            <v>555</v>
          </cell>
        </row>
        <row r="114">
          <cell r="J114"/>
          <cell r="K114">
            <v>378</v>
          </cell>
        </row>
        <row r="115">
          <cell r="J115"/>
          <cell r="K115">
            <v>185</v>
          </cell>
        </row>
        <row r="116">
          <cell r="J116"/>
          <cell r="K116"/>
        </row>
        <row r="117">
          <cell r="J117"/>
          <cell r="K117">
            <v>350</v>
          </cell>
        </row>
        <row r="118">
          <cell r="J118"/>
          <cell r="K118"/>
        </row>
        <row r="119">
          <cell r="J119"/>
          <cell r="K119"/>
        </row>
        <row r="120">
          <cell r="J120"/>
          <cell r="K120"/>
        </row>
        <row r="121">
          <cell r="J121"/>
          <cell r="K121"/>
        </row>
        <row r="122">
          <cell r="J122"/>
          <cell r="K122"/>
        </row>
        <row r="123">
          <cell r="J123"/>
          <cell r="K123"/>
        </row>
        <row r="124">
          <cell r="J124"/>
          <cell r="K124"/>
        </row>
        <row r="125">
          <cell r="J125"/>
          <cell r="K125">
            <v>252</v>
          </cell>
        </row>
        <row r="126">
          <cell r="J126"/>
          <cell r="K126"/>
        </row>
        <row r="127">
          <cell r="J127"/>
          <cell r="K127"/>
        </row>
        <row r="128">
          <cell r="J128"/>
          <cell r="K128"/>
        </row>
        <row r="129">
          <cell r="J129"/>
          <cell r="K129"/>
        </row>
        <row r="130">
          <cell r="J130"/>
          <cell r="K130">
            <v>225.6</v>
          </cell>
        </row>
        <row r="131">
          <cell r="J131"/>
          <cell r="K131"/>
        </row>
        <row r="132">
          <cell r="J132"/>
          <cell r="K132"/>
        </row>
        <row r="133">
          <cell r="J133"/>
          <cell r="K133"/>
        </row>
        <row r="134">
          <cell r="J134"/>
          <cell r="K134"/>
        </row>
        <row r="135">
          <cell r="J135"/>
          <cell r="K135"/>
        </row>
        <row r="136">
          <cell r="J136">
            <v>130</v>
          </cell>
          <cell r="K136"/>
        </row>
        <row r="137">
          <cell r="J137"/>
          <cell r="K137">
            <v>476</v>
          </cell>
        </row>
        <row r="138">
          <cell r="J138"/>
          <cell r="K138">
            <v>1005</v>
          </cell>
        </row>
        <row r="139">
          <cell r="J139"/>
          <cell r="K139">
            <v>323</v>
          </cell>
        </row>
        <row r="140">
          <cell r="J140"/>
          <cell r="K140"/>
        </row>
        <row r="141">
          <cell r="J141"/>
          <cell r="K141"/>
        </row>
        <row r="142">
          <cell r="J142"/>
          <cell r="K142"/>
        </row>
        <row r="143">
          <cell r="J143"/>
          <cell r="K143"/>
        </row>
        <row r="144">
          <cell r="J144"/>
          <cell r="K144"/>
        </row>
        <row r="145">
          <cell r="J145"/>
          <cell r="K145"/>
        </row>
        <row r="146">
          <cell r="J146"/>
          <cell r="K146"/>
        </row>
        <row r="147">
          <cell r="J147"/>
          <cell r="K147"/>
        </row>
        <row r="148">
          <cell r="J148"/>
          <cell r="K148"/>
        </row>
        <row r="149">
          <cell r="J149"/>
          <cell r="K149"/>
        </row>
        <row r="150">
          <cell r="J150"/>
          <cell r="K150"/>
        </row>
        <row r="151">
          <cell r="J151"/>
          <cell r="K151"/>
        </row>
      </sheetData>
      <sheetData sheetId="306">
        <row r="2">
          <cell r="J2"/>
          <cell r="K2"/>
        </row>
        <row r="3">
          <cell r="J3"/>
          <cell r="K3"/>
        </row>
        <row r="4">
          <cell r="J4"/>
          <cell r="K4"/>
        </row>
        <row r="5">
          <cell r="J5"/>
          <cell r="K5">
            <v>416.9</v>
          </cell>
        </row>
        <row r="6">
          <cell r="J6"/>
          <cell r="K6"/>
          <cell r="T6">
            <v>2243</v>
          </cell>
          <cell r="W6">
            <v>1320</v>
          </cell>
          <cell r="Z6">
            <v>5550</v>
          </cell>
          <cell r="AC6">
            <v>2180</v>
          </cell>
          <cell r="AF6">
            <v>661</v>
          </cell>
          <cell r="AI6">
            <v>3009</v>
          </cell>
          <cell r="AP6">
            <v>43499.5</v>
          </cell>
          <cell r="AU6">
            <v>15948.5</v>
          </cell>
          <cell r="AV6">
            <v>7400</v>
          </cell>
          <cell r="AW6">
            <v>15705</v>
          </cell>
          <cell r="AX6">
            <v>7800</v>
          </cell>
          <cell r="BD6">
            <v>409.5</v>
          </cell>
          <cell r="BE6">
            <v>1768</v>
          </cell>
        </row>
        <row r="7">
          <cell r="J7"/>
          <cell r="K7"/>
        </row>
        <row r="8">
          <cell r="J8"/>
          <cell r="K8">
            <v>560</v>
          </cell>
        </row>
        <row r="9">
          <cell r="J9"/>
          <cell r="K9"/>
        </row>
        <row r="10">
          <cell r="J10"/>
          <cell r="K10"/>
        </row>
        <row r="11">
          <cell r="J11"/>
          <cell r="K11"/>
        </row>
        <row r="12">
          <cell r="J12"/>
          <cell r="K12">
            <v>832.7</v>
          </cell>
        </row>
        <row r="13">
          <cell r="J13"/>
          <cell r="K13">
            <v>123</v>
          </cell>
        </row>
        <row r="14">
          <cell r="J14"/>
          <cell r="K14"/>
        </row>
        <row r="15">
          <cell r="J15"/>
          <cell r="K15"/>
        </row>
        <row r="16">
          <cell r="J16"/>
          <cell r="K16"/>
        </row>
        <row r="17">
          <cell r="J17"/>
          <cell r="K17">
            <v>128</v>
          </cell>
        </row>
        <row r="18">
          <cell r="J18"/>
          <cell r="K18"/>
        </row>
        <row r="19">
          <cell r="J19"/>
          <cell r="K19">
            <v>420</v>
          </cell>
        </row>
        <row r="20">
          <cell r="J20"/>
          <cell r="K20"/>
        </row>
        <row r="21">
          <cell r="J21"/>
          <cell r="K21">
            <v>360</v>
          </cell>
        </row>
        <row r="22">
          <cell r="J22"/>
          <cell r="K22"/>
        </row>
        <row r="23">
          <cell r="J23"/>
          <cell r="K23"/>
        </row>
        <row r="24">
          <cell r="J24"/>
          <cell r="K24">
            <v>814</v>
          </cell>
        </row>
        <row r="25">
          <cell r="J25"/>
          <cell r="K25"/>
        </row>
        <row r="26">
          <cell r="J26"/>
          <cell r="K26"/>
        </row>
        <row r="27">
          <cell r="J27"/>
          <cell r="K27"/>
        </row>
        <row r="28">
          <cell r="J28"/>
          <cell r="K28"/>
        </row>
        <row r="29">
          <cell r="J29"/>
          <cell r="K29"/>
        </row>
        <row r="30">
          <cell r="J30"/>
          <cell r="K30"/>
        </row>
        <row r="31">
          <cell r="J31"/>
          <cell r="K31">
            <v>589.6</v>
          </cell>
        </row>
        <row r="32">
          <cell r="J32"/>
          <cell r="K32">
            <v>522</v>
          </cell>
        </row>
        <row r="33">
          <cell r="J33"/>
          <cell r="K33">
            <v>180</v>
          </cell>
        </row>
        <row r="34">
          <cell r="J34"/>
          <cell r="K34"/>
        </row>
        <row r="35">
          <cell r="J35"/>
          <cell r="K35">
            <v>379.5</v>
          </cell>
        </row>
        <row r="36">
          <cell r="J36"/>
          <cell r="K36">
            <v>181</v>
          </cell>
        </row>
        <row r="37">
          <cell r="J37"/>
          <cell r="K37"/>
        </row>
        <row r="38">
          <cell r="J38"/>
          <cell r="K38"/>
        </row>
        <row r="39">
          <cell r="J39"/>
          <cell r="K39"/>
        </row>
        <row r="40">
          <cell r="J40"/>
          <cell r="K40">
            <v>1776</v>
          </cell>
        </row>
        <row r="41">
          <cell r="J41"/>
          <cell r="K41">
            <v>935</v>
          </cell>
        </row>
        <row r="42">
          <cell r="J42"/>
          <cell r="K42"/>
        </row>
        <row r="43">
          <cell r="J43"/>
          <cell r="K43"/>
        </row>
        <row r="44">
          <cell r="J44"/>
          <cell r="K44"/>
        </row>
        <row r="45">
          <cell r="J45"/>
          <cell r="K45"/>
        </row>
        <row r="46">
          <cell r="J46"/>
          <cell r="K46"/>
        </row>
        <row r="47">
          <cell r="J47"/>
          <cell r="K47"/>
        </row>
        <row r="48">
          <cell r="J48"/>
          <cell r="K48"/>
        </row>
        <row r="49">
          <cell r="J49"/>
          <cell r="K49"/>
        </row>
        <row r="50">
          <cell r="J50"/>
          <cell r="K50"/>
        </row>
        <row r="51">
          <cell r="J51"/>
          <cell r="K51"/>
        </row>
        <row r="52">
          <cell r="J52"/>
          <cell r="K52"/>
        </row>
        <row r="53">
          <cell r="J53"/>
          <cell r="K53"/>
        </row>
        <row r="54">
          <cell r="J54"/>
          <cell r="K54"/>
        </row>
        <row r="55">
          <cell r="J55"/>
          <cell r="K55"/>
        </row>
        <row r="56">
          <cell r="J56"/>
          <cell r="K56"/>
        </row>
        <row r="57">
          <cell r="J57"/>
          <cell r="K57">
            <v>489.5</v>
          </cell>
        </row>
        <row r="58">
          <cell r="J58">
            <v>139</v>
          </cell>
          <cell r="K58"/>
        </row>
        <row r="59">
          <cell r="J59"/>
          <cell r="K59">
            <v>480</v>
          </cell>
        </row>
        <row r="60">
          <cell r="J60"/>
          <cell r="K60"/>
        </row>
        <row r="61">
          <cell r="J61"/>
          <cell r="K61"/>
        </row>
        <row r="62">
          <cell r="J62"/>
          <cell r="K62"/>
        </row>
        <row r="63">
          <cell r="J63"/>
          <cell r="K63"/>
        </row>
        <row r="64">
          <cell r="J64">
            <v>202</v>
          </cell>
          <cell r="K64"/>
        </row>
        <row r="65">
          <cell r="J65"/>
          <cell r="K65"/>
        </row>
        <row r="66">
          <cell r="J66"/>
          <cell r="K66"/>
        </row>
        <row r="67">
          <cell r="J67"/>
          <cell r="K67">
            <v>538</v>
          </cell>
        </row>
        <row r="68">
          <cell r="J68"/>
          <cell r="K68">
            <v>460.9</v>
          </cell>
        </row>
        <row r="69">
          <cell r="J69"/>
          <cell r="K69">
            <v>700</v>
          </cell>
        </row>
        <row r="70">
          <cell r="J70"/>
          <cell r="K70">
            <v>1973</v>
          </cell>
        </row>
        <row r="71">
          <cell r="J71"/>
          <cell r="K71"/>
        </row>
        <row r="72">
          <cell r="J72"/>
          <cell r="K72"/>
        </row>
        <row r="73">
          <cell r="J73">
            <v>375</v>
          </cell>
          <cell r="K73"/>
        </row>
        <row r="74">
          <cell r="J74"/>
          <cell r="K74">
            <v>265</v>
          </cell>
        </row>
        <row r="75">
          <cell r="J75"/>
          <cell r="K75">
            <v>195</v>
          </cell>
        </row>
        <row r="76">
          <cell r="J76"/>
          <cell r="K76"/>
        </row>
        <row r="77">
          <cell r="J77"/>
          <cell r="K77">
            <v>460</v>
          </cell>
        </row>
        <row r="78">
          <cell r="J78"/>
          <cell r="K78">
            <v>100</v>
          </cell>
        </row>
        <row r="79">
          <cell r="J79"/>
          <cell r="K79"/>
        </row>
        <row r="80">
          <cell r="J80"/>
          <cell r="K80"/>
        </row>
        <row r="81">
          <cell r="J81">
            <v>345</v>
          </cell>
          <cell r="K81"/>
        </row>
        <row r="82">
          <cell r="J82"/>
          <cell r="K82"/>
        </row>
        <row r="83">
          <cell r="J83"/>
          <cell r="K83"/>
        </row>
        <row r="84">
          <cell r="J84"/>
          <cell r="K84"/>
        </row>
        <row r="85">
          <cell r="J85"/>
          <cell r="K85"/>
        </row>
        <row r="86">
          <cell r="J86"/>
          <cell r="K86"/>
        </row>
        <row r="87">
          <cell r="J87"/>
          <cell r="K87">
            <v>648</v>
          </cell>
        </row>
        <row r="88">
          <cell r="J88"/>
          <cell r="K88">
            <v>494</v>
          </cell>
        </row>
        <row r="89">
          <cell r="J89"/>
          <cell r="K89"/>
        </row>
        <row r="90">
          <cell r="J90"/>
          <cell r="K90">
            <v>567</v>
          </cell>
        </row>
        <row r="91">
          <cell r="J91"/>
          <cell r="K91">
            <v>640</v>
          </cell>
        </row>
        <row r="92">
          <cell r="J92"/>
          <cell r="K92">
            <v>648</v>
          </cell>
        </row>
        <row r="93">
          <cell r="J93"/>
          <cell r="K93">
            <v>357</v>
          </cell>
        </row>
        <row r="94">
          <cell r="J94"/>
          <cell r="K94">
            <v>531</v>
          </cell>
        </row>
        <row r="95">
          <cell r="J95"/>
          <cell r="K95">
            <v>455</v>
          </cell>
        </row>
        <row r="96">
          <cell r="J96"/>
          <cell r="K96">
            <v>380</v>
          </cell>
        </row>
        <row r="97">
          <cell r="J97"/>
          <cell r="K97">
            <v>420</v>
          </cell>
        </row>
        <row r="98">
          <cell r="J98"/>
          <cell r="K98"/>
        </row>
        <row r="99">
          <cell r="J99"/>
          <cell r="K99"/>
        </row>
        <row r="100">
          <cell r="J100"/>
          <cell r="K100"/>
        </row>
        <row r="101">
          <cell r="J101"/>
          <cell r="K101"/>
        </row>
        <row r="102">
          <cell r="J102"/>
          <cell r="K102"/>
        </row>
        <row r="103">
          <cell r="J103"/>
          <cell r="K103"/>
        </row>
        <row r="104">
          <cell r="J104"/>
          <cell r="K104"/>
        </row>
        <row r="105">
          <cell r="J105"/>
          <cell r="K105"/>
        </row>
        <row r="106">
          <cell r="J106"/>
          <cell r="K106"/>
        </row>
        <row r="107">
          <cell r="J107"/>
          <cell r="K107"/>
        </row>
        <row r="108">
          <cell r="J108"/>
          <cell r="K108"/>
        </row>
        <row r="109">
          <cell r="J109"/>
          <cell r="K109">
            <v>545</v>
          </cell>
        </row>
        <row r="110">
          <cell r="J110"/>
          <cell r="K110">
            <v>1305</v>
          </cell>
        </row>
        <row r="111">
          <cell r="J111"/>
          <cell r="K111"/>
        </row>
        <row r="112">
          <cell r="J112"/>
          <cell r="K112"/>
        </row>
        <row r="113">
          <cell r="J113"/>
          <cell r="K113"/>
        </row>
        <row r="114">
          <cell r="J114">
            <v>386</v>
          </cell>
          <cell r="K114"/>
        </row>
        <row r="115">
          <cell r="J115"/>
          <cell r="K115"/>
        </row>
        <row r="116">
          <cell r="J116"/>
          <cell r="K116"/>
        </row>
        <row r="117">
          <cell r="J117"/>
          <cell r="K117"/>
        </row>
        <row r="118">
          <cell r="J118"/>
          <cell r="K118"/>
        </row>
        <row r="119">
          <cell r="J119"/>
          <cell r="K119"/>
        </row>
        <row r="120">
          <cell r="J120"/>
          <cell r="K120"/>
        </row>
        <row r="121">
          <cell r="J121"/>
          <cell r="K121"/>
        </row>
        <row r="122">
          <cell r="J122"/>
          <cell r="K122"/>
        </row>
        <row r="123">
          <cell r="J123"/>
          <cell r="K123"/>
        </row>
        <row r="124">
          <cell r="J124">
            <v>155</v>
          </cell>
          <cell r="K124"/>
        </row>
        <row r="125">
          <cell r="J125"/>
          <cell r="K125">
            <v>761</v>
          </cell>
        </row>
        <row r="126">
          <cell r="J126"/>
          <cell r="K126"/>
        </row>
        <row r="127">
          <cell r="J127"/>
          <cell r="K127"/>
        </row>
        <row r="128">
          <cell r="J128"/>
          <cell r="K128"/>
        </row>
        <row r="129">
          <cell r="J129"/>
          <cell r="K129"/>
        </row>
        <row r="130">
          <cell r="J130"/>
          <cell r="K130"/>
        </row>
        <row r="131">
          <cell r="J131"/>
          <cell r="K131"/>
        </row>
        <row r="132">
          <cell r="J132"/>
          <cell r="K132"/>
        </row>
        <row r="133">
          <cell r="J133"/>
          <cell r="K133"/>
        </row>
        <row r="134">
          <cell r="J134"/>
          <cell r="K134"/>
        </row>
        <row r="135">
          <cell r="J135"/>
          <cell r="K135"/>
        </row>
        <row r="136">
          <cell r="J136"/>
          <cell r="K136"/>
        </row>
        <row r="137">
          <cell r="J137"/>
          <cell r="K137"/>
        </row>
        <row r="138">
          <cell r="J138"/>
          <cell r="K138"/>
        </row>
        <row r="139">
          <cell r="J139"/>
          <cell r="K139"/>
        </row>
        <row r="140">
          <cell r="J140"/>
          <cell r="K140"/>
        </row>
        <row r="141">
          <cell r="J141"/>
          <cell r="K141"/>
        </row>
        <row r="142">
          <cell r="J142"/>
          <cell r="K142"/>
        </row>
        <row r="143">
          <cell r="J143"/>
          <cell r="K143"/>
        </row>
        <row r="144">
          <cell r="J144"/>
          <cell r="K144">
            <v>1258</v>
          </cell>
        </row>
        <row r="145">
          <cell r="J145"/>
          <cell r="K145"/>
        </row>
        <row r="146">
          <cell r="J146"/>
          <cell r="K146">
            <v>219.6</v>
          </cell>
        </row>
        <row r="147">
          <cell r="J147"/>
          <cell r="K147"/>
        </row>
        <row r="148">
          <cell r="J148"/>
          <cell r="K148"/>
        </row>
        <row r="149">
          <cell r="J149"/>
          <cell r="K149">
            <v>1262.8</v>
          </cell>
        </row>
        <row r="150">
          <cell r="J150"/>
          <cell r="K150"/>
        </row>
        <row r="151">
          <cell r="J151"/>
          <cell r="K151"/>
        </row>
        <row r="153">
          <cell r="J153">
            <v>165</v>
          </cell>
        </row>
        <row r="160">
          <cell r="J160">
            <v>140</v>
          </cell>
        </row>
        <row r="161">
          <cell r="K161">
            <v>780</v>
          </cell>
        </row>
        <row r="166">
          <cell r="K166">
            <v>240</v>
          </cell>
        </row>
        <row r="167">
          <cell r="K167">
            <v>608</v>
          </cell>
        </row>
        <row r="176">
          <cell r="K176">
            <v>303</v>
          </cell>
        </row>
      </sheetData>
      <sheetData sheetId="307">
        <row r="2">
          <cell r="J2"/>
          <cell r="K2"/>
        </row>
        <row r="3">
          <cell r="J3"/>
          <cell r="K3"/>
        </row>
        <row r="4">
          <cell r="J4"/>
          <cell r="K4"/>
        </row>
        <row r="5">
          <cell r="J5"/>
          <cell r="K5"/>
        </row>
        <row r="6">
          <cell r="J6"/>
          <cell r="K6"/>
          <cell r="T6">
            <v>0</v>
          </cell>
          <cell r="W6">
            <v>0</v>
          </cell>
          <cell r="Z6">
            <v>0</v>
          </cell>
          <cell r="AC6">
            <v>0</v>
          </cell>
          <cell r="AF6">
            <v>0</v>
          </cell>
          <cell r="AI6">
            <v>0</v>
          </cell>
          <cell r="AP6">
            <v>0</v>
          </cell>
          <cell r="AU6">
            <v>0</v>
          </cell>
          <cell r="AV6">
            <v>0</v>
          </cell>
          <cell r="AW6">
            <v>0</v>
          </cell>
          <cell r="AX6">
            <v>0</v>
          </cell>
          <cell r="BD6">
            <v>0</v>
          </cell>
          <cell r="BE6">
            <v>0</v>
          </cell>
        </row>
        <row r="7">
          <cell r="J7"/>
          <cell r="K7"/>
        </row>
        <row r="8">
          <cell r="J8"/>
          <cell r="K8"/>
        </row>
        <row r="9">
          <cell r="J9"/>
          <cell r="K9"/>
        </row>
        <row r="10">
          <cell r="J10"/>
          <cell r="K10"/>
        </row>
        <row r="11">
          <cell r="J11"/>
          <cell r="K11"/>
        </row>
        <row r="12">
          <cell r="J12"/>
          <cell r="K12"/>
        </row>
        <row r="13">
          <cell r="J13"/>
          <cell r="K13"/>
        </row>
        <row r="14">
          <cell r="J14"/>
          <cell r="K14"/>
        </row>
        <row r="15">
          <cell r="J15"/>
          <cell r="K15"/>
        </row>
        <row r="16">
          <cell r="J16"/>
          <cell r="K16"/>
        </row>
        <row r="17">
          <cell r="J17"/>
          <cell r="K17"/>
        </row>
        <row r="18">
          <cell r="J18"/>
          <cell r="K18"/>
        </row>
        <row r="19">
          <cell r="J19"/>
          <cell r="K19"/>
        </row>
        <row r="20">
          <cell r="J20"/>
          <cell r="K20"/>
        </row>
        <row r="21">
          <cell r="J21"/>
          <cell r="K21"/>
        </row>
        <row r="22">
          <cell r="J22"/>
          <cell r="K22"/>
        </row>
        <row r="23">
          <cell r="J23"/>
          <cell r="K23"/>
        </row>
        <row r="24">
          <cell r="J24"/>
          <cell r="K24"/>
        </row>
        <row r="25">
          <cell r="J25"/>
          <cell r="K25"/>
        </row>
        <row r="26">
          <cell r="J26"/>
          <cell r="K26"/>
        </row>
        <row r="27">
          <cell r="J27"/>
          <cell r="K27"/>
        </row>
        <row r="28">
          <cell r="J28"/>
          <cell r="K28"/>
        </row>
        <row r="29">
          <cell r="J29"/>
          <cell r="K29"/>
        </row>
        <row r="30">
          <cell r="J30"/>
          <cell r="K30"/>
        </row>
        <row r="31">
          <cell r="J31"/>
          <cell r="K31"/>
        </row>
        <row r="32">
          <cell r="J32"/>
          <cell r="K32"/>
        </row>
        <row r="33">
          <cell r="J33"/>
          <cell r="K33"/>
        </row>
        <row r="34">
          <cell r="J34"/>
          <cell r="K34"/>
        </row>
        <row r="35">
          <cell r="J35"/>
          <cell r="K35"/>
        </row>
        <row r="36">
          <cell r="J36"/>
          <cell r="K36"/>
        </row>
        <row r="37">
          <cell r="J37"/>
          <cell r="K37"/>
        </row>
        <row r="38">
          <cell r="J38"/>
          <cell r="K38"/>
        </row>
        <row r="39">
          <cell r="J39"/>
          <cell r="K39"/>
        </row>
        <row r="40">
          <cell r="J40"/>
          <cell r="K40"/>
        </row>
        <row r="41">
          <cell r="J41"/>
          <cell r="K41"/>
        </row>
        <row r="42">
          <cell r="J42"/>
          <cell r="K42"/>
        </row>
        <row r="43">
          <cell r="J43"/>
          <cell r="K43"/>
        </row>
        <row r="44">
          <cell r="J44"/>
          <cell r="K44"/>
        </row>
        <row r="45">
          <cell r="J45"/>
          <cell r="K45"/>
        </row>
        <row r="46">
          <cell r="J46"/>
          <cell r="K46"/>
        </row>
        <row r="47">
          <cell r="J47"/>
          <cell r="K47"/>
        </row>
        <row r="48">
          <cell r="J48"/>
          <cell r="K48"/>
        </row>
        <row r="49">
          <cell r="J49"/>
          <cell r="K49"/>
        </row>
        <row r="50">
          <cell r="J50"/>
          <cell r="K50"/>
        </row>
        <row r="51">
          <cell r="J51"/>
          <cell r="K51"/>
        </row>
        <row r="52">
          <cell r="J52"/>
          <cell r="K52"/>
        </row>
        <row r="53">
          <cell r="J53"/>
          <cell r="K53"/>
        </row>
        <row r="54">
          <cell r="J54"/>
          <cell r="K54"/>
        </row>
        <row r="55">
          <cell r="J55"/>
          <cell r="K55"/>
        </row>
        <row r="56">
          <cell r="J56"/>
          <cell r="K56"/>
        </row>
        <row r="57">
          <cell r="J57"/>
          <cell r="K57"/>
        </row>
        <row r="58">
          <cell r="J58"/>
          <cell r="K58"/>
        </row>
        <row r="59">
          <cell r="J59"/>
          <cell r="K59"/>
        </row>
        <row r="60">
          <cell r="J60"/>
          <cell r="K60"/>
        </row>
        <row r="61">
          <cell r="J61"/>
          <cell r="K61"/>
        </row>
        <row r="62">
          <cell r="J62"/>
          <cell r="K62"/>
        </row>
        <row r="63">
          <cell r="J63"/>
          <cell r="K63"/>
        </row>
        <row r="64">
          <cell r="J64"/>
          <cell r="K64"/>
        </row>
        <row r="65">
          <cell r="J65"/>
          <cell r="K65"/>
        </row>
        <row r="66">
          <cell r="J66"/>
          <cell r="K66"/>
        </row>
        <row r="67">
          <cell r="J67"/>
          <cell r="K67"/>
        </row>
        <row r="68">
          <cell r="J68"/>
          <cell r="K68"/>
        </row>
        <row r="69">
          <cell r="J69"/>
          <cell r="K69"/>
        </row>
        <row r="70">
          <cell r="J70"/>
          <cell r="K70"/>
        </row>
        <row r="71">
          <cell r="J71"/>
          <cell r="K71"/>
        </row>
        <row r="72">
          <cell r="J72"/>
          <cell r="K72"/>
        </row>
        <row r="73">
          <cell r="J73"/>
          <cell r="K73"/>
        </row>
        <row r="74">
          <cell r="J74"/>
          <cell r="K74"/>
        </row>
        <row r="75">
          <cell r="J75"/>
          <cell r="K75"/>
        </row>
        <row r="76">
          <cell r="J76"/>
          <cell r="K76"/>
        </row>
        <row r="77">
          <cell r="J77"/>
          <cell r="K77"/>
        </row>
        <row r="78">
          <cell r="J78"/>
          <cell r="K78"/>
        </row>
        <row r="79">
          <cell r="J79"/>
          <cell r="K79"/>
        </row>
        <row r="80">
          <cell r="J80"/>
          <cell r="K80"/>
        </row>
        <row r="81">
          <cell r="J81"/>
          <cell r="K81"/>
        </row>
        <row r="82">
          <cell r="J82"/>
          <cell r="K82"/>
        </row>
        <row r="83">
          <cell r="J83"/>
          <cell r="K83"/>
        </row>
        <row r="84">
          <cell r="J84"/>
          <cell r="K84"/>
        </row>
        <row r="85">
          <cell r="J85"/>
          <cell r="K85"/>
        </row>
        <row r="86">
          <cell r="J86"/>
          <cell r="K86"/>
        </row>
        <row r="87">
          <cell r="J87"/>
          <cell r="K87"/>
        </row>
        <row r="88">
          <cell r="J88"/>
          <cell r="K88"/>
        </row>
        <row r="89">
          <cell r="J89"/>
          <cell r="K89"/>
        </row>
        <row r="90">
          <cell r="J90"/>
          <cell r="K90"/>
        </row>
        <row r="91">
          <cell r="J91"/>
          <cell r="K91"/>
        </row>
        <row r="92">
          <cell r="J92"/>
          <cell r="K92"/>
        </row>
        <row r="93">
          <cell r="J93"/>
          <cell r="K93"/>
        </row>
        <row r="94">
          <cell r="J94"/>
          <cell r="K94"/>
        </row>
        <row r="95">
          <cell r="J95"/>
          <cell r="K95"/>
        </row>
        <row r="96">
          <cell r="J96"/>
          <cell r="K96"/>
        </row>
        <row r="97">
          <cell r="J97"/>
          <cell r="K97"/>
        </row>
        <row r="98">
          <cell r="J98"/>
          <cell r="K98"/>
        </row>
        <row r="99">
          <cell r="J99"/>
          <cell r="K99"/>
        </row>
        <row r="100">
          <cell r="J100"/>
          <cell r="K100"/>
        </row>
        <row r="101">
          <cell r="J101"/>
          <cell r="K101"/>
        </row>
        <row r="102">
          <cell r="J102"/>
          <cell r="K102"/>
        </row>
        <row r="103">
          <cell r="J103"/>
          <cell r="K103"/>
        </row>
        <row r="104">
          <cell r="J104"/>
          <cell r="K104"/>
        </row>
        <row r="105">
          <cell r="J105"/>
          <cell r="K105"/>
        </row>
        <row r="106">
          <cell r="J106"/>
          <cell r="K106"/>
        </row>
        <row r="107">
          <cell r="J107"/>
          <cell r="K107"/>
        </row>
        <row r="108">
          <cell r="J108"/>
          <cell r="K108"/>
        </row>
        <row r="109">
          <cell r="J109"/>
          <cell r="K109"/>
        </row>
        <row r="110">
          <cell r="J110"/>
          <cell r="K110"/>
        </row>
        <row r="111">
          <cell r="J111"/>
          <cell r="K111"/>
        </row>
        <row r="112">
          <cell r="J112"/>
          <cell r="K112"/>
        </row>
        <row r="113">
          <cell r="J113"/>
          <cell r="K113"/>
        </row>
        <row r="114">
          <cell r="J114"/>
          <cell r="K114"/>
        </row>
        <row r="115">
          <cell r="J115"/>
          <cell r="K115"/>
        </row>
        <row r="116">
          <cell r="J116"/>
          <cell r="K116"/>
        </row>
        <row r="117">
          <cell r="J117"/>
          <cell r="K117"/>
        </row>
        <row r="118">
          <cell r="J118"/>
          <cell r="K118"/>
        </row>
        <row r="119">
          <cell r="J119"/>
          <cell r="K119"/>
        </row>
        <row r="120">
          <cell r="J120"/>
          <cell r="K120"/>
        </row>
        <row r="121">
          <cell r="J121"/>
          <cell r="K121"/>
        </row>
        <row r="122">
          <cell r="J122"/>
          <cell r="K122"/>
        </row>
        <row r="123">
          <cell r="J123"/>
          <cell r="K123"/>
        </row>
        <row r="124">
          <cell r="J124"/>
          <cell r="K124"/>
        </row>
        <row r="125">
          <cell r="J125"/>
          <cell r="K125"/>
        </row>
        <row r="126">
          <cell r="J126"/>
          <cell r="K126"/>
        </row>
        <row r="127">
          <cell r="J127"/>
          <cell r="K127"/>
        </row>
        <row r="128">
          <cell r="J128"/>
          <cell r="K128"/>
        </row>
        <row r="129">
          <cell r="J129"/>
          <cell r="K129"/>
        </row>
        <row r="130">
          <cell r="J130"/>
          <cell r="K130"/>
        </row>
        <row r="131">
          <cell r="J131"/>
          <cell r="K131"/>
        </row>
        <row r="132">
          <cell r="J132"/>
          <cell r="K132"/>
        </row>
        <row r="133">
          <cell r="J133"/>
          <cell r="K133"/>
        </row>
        <row r="134">
          <cell r="J134"/>
          <cell r="K134"/>
        </row>
        <row r="135">
          <cell r="J135"/>
          <cell r="K135"/>
        </row>
        <row r="136">
          <cell r="J136"/>
          <cell r="K136"/>
        </row>
        <row r="137">
          <cell r="J137"/>
          <cell r="K137"/>
        </row>
        <row r="138">
          <cell r="J138"/>
          <cell r="K138"/>
        </row>
        <row r="139">
          <cell r="J139"/>
          <cell r="K139"/>
        </row>
        <row r="140">
          <cell r="J140"/>
          <cell r="K140"/>
        </row>
        <row r="141">
          <cell r="J141"/>
          <cell r="K141"/>
        </row>
        <row r="142">
          <cell r="J142"/>
          <cell r="K142"/>
        </row>
        <row r="143">
          <cell r="J143"/>
          <cell r="K143"/>
        </row>
        <row r="144">
          <cell r="J144"/>
          <cell r="K144"/>
        </row>
        <row r="145">
          <cell r="J145"/>
          <cell r="K145"/>
        </row>
        <row r="146">
          <cell r="J146"/>
          <cell r="K146"/>
        </row>
        <row r="147">
          <cell r="J147"/>
          <cell r="K147"/>
        </row>
        <row r="148">
          <cell r="J148"/>
          <cell r="K148"/>
        </row>
        <row r="149">
          <cell r="J149"/>
          <cell r="K149"/>
        </row>
        <row r="150">
          <cell r="J150"/>
          <cell r="K150"/>
        </row>
        <row r="151">
          <cell r="J151"/>
          <cell r="K151"/>
        </row>
      </sheetData>
      <sheetData sheetId="308">
        <row r="2">
          <cell r="J2"/>
          <cell r="K2"/>
        </row>
        <row r="3">
          <cell r="J3"/>
          <cell r="K3"/>
        </row>
        <row r="4">
          <cell r="J4"/>
          <cell r="K4"/>
        </row>
        <row r="5">
          <cell r="J5"/>
          <cell r="K5"/>
        </row>
        <row r="6">
          <cell r="J6"/>
          <cell r="K6"/>
          <cell r="T6">
            <v>0</v>
          </cell>
          <cell r="W6">
            <v>0</v>
          </cell>
          <cell r="Z6">
            <v>0</v>
          </cell>
          <cell r="AC6">
            <v>0</v>
          </cell>
          <cell r="AF6">
            <v>0</v>
          </cell>
          <cell r="AI6">
            <v>0</v>
          </cell>
          <cell r="AP6">
            <v>0</v>
          </cell>
          <cell r="AU6">
            <v>0</v>
          </cell>
          <cell r="AV6">
            <v>0</v>
          </cell>
          <cell r="AW6">
            <v>0</v>
          </cell>
          <cell r="AX6">
            <v>0</v>
          </cell>
          <cell r="BD6">
            <v>0</v>
          </cell>
          <cell r="BE6">
            <v>0</v>
          </cell>
        </row>
        <row r="7">
          <cell r="J7"/>
          <cell r="K7"/>
        </row>
        <row r="8">
          <cell r="J8"/>
          <cell r="K8"/>
        </row>
        <row r="9">
          <cell r="J9"/>
          <cell r="K9"/>
        </row>
        <row r="10">
          <cell r="J10"/>
          <cell r="K10"/>
        </row>
        <row r="11">
          <cell r="J11"/>
          <cell r="K11"/>
        </row>
        <row r="12">
          <cell r="J12"/>
          <cell r="K12"/>
        </row>
        <row r="13">
          <cell r="J13"/>
          <cell r="K13"/>
        </row>
        <row r="14">
          <cell r="J14"/>
          <cell r="K14"/>
        </row>
        <row r="15">
          <cell r="J15"/>
          <cell r="K15"/>
        </row>
        <row r="16">
          <cell r="J16"/>
          <cell r="K16"/>
        </row>
        <row r="17">
          <cell r="J17"/>
          <cell r="K17"/>
        </row>
        <row r="18">
          <cell r="J18"/>
          <cell r="K18"/>
        </row>
        <row r="19">
          <cell r="J19"/>
          <cell r="K19"/>
        </row>
        <row r="20">
          <cell r="J20"/>
          <cell r="K20"/>
        </row>
        <row r="21">
          <cell r="J21"/>
          <cell r="K21"/>
        </row>
        <row r="22">
          <cell r="J22"/>
          <cell r="K22"/>
        </row>
        <row r="23">
          <cell r="J23"/>
          <cell r="K23"/>
        </row>
        <row r="24">
          <cell r="J24"/>
          <cell r="K24"/>
        </row>
        <row r="25">
          <cell r="J25"/>
          <cell r="K25"/>
        </row>
        <row r="26">
          <cell r="J26"/>
          <cell r="K26"/>
        </row>
        <row r="27">
          <cell r="J27"/>
          <cell r="K27"/>
        </row>
        <row r="28">
          <cell r="J28"/>
          <cell r="K28"/>
        </row>
        <row r="29">
          <cell r="J29"/>
          <cell r="K29"/>
        </row>
        <row r="30">
          <cell r="J30"/>
          <cell r="K30"/>
        </row>
        <row r="31">
          <cell r="J31"/>
          <cell r="K31"/>
        </row>
        <row r="32">
          <cell r="J32"/>
          <cell r="K32"/>
        </row>
        <row r="33">
          <cell r="J33"/>
          <cell r="K33"/>
        </row>
        <row r="34">
          <cell r="J34"/>
          <cell r="K34"/>
        </row>
        <row r="35">
          <cell r="J35"/>
          <cell r="K35"/>
        </row>
        <row r="36">
          <cell r="J36"/>
          <cell r="K36"/>
        </row>
        <row r="37">
          <cell r="J37"/>
          <cell r="K37"/>
        </row>
        <row r="38">
          <cell r="J38"/>
          <cell r="K38"/>
        </row>
        <row r="39">
          <cell r="J39"/>
          <cell r="K39"/>
        </row>
        <row r="40">
          <cell r="J40"/>
          <cell r="K40"/>
        </row>
        <row r="41">
          <cell r="J41"/>
          <cell r="K41"/>
        </row>
        <row r="42">
          <cell r="J42"/>
          <cell r="K42"/>
        </row>
        <row r="43">
          <cell r="J43"/>
          <cell r="K43"/>
        </row>
        <row r="44">
          <cell r="J44"/>
          <cell r="K44"/>
        </row>
        <row r="45">
          <cell r="J45"/>
          <cell r="K45"/>
        </row>
        <row r="46">
          <cell r="J46"/>
          <cell r="K46"/>
        </row>
        <row r="47">
          <cell r="J47"/>
          <cell r="K47"/>
        </row>
        <row r="48">
          <cell r="J48"/>
          <cell r="K48"/>
        </row>
        <row r="49">
          <cell r="J49"/>
          <cell r="K49"/>
        </row>
        <row r="50">
          <cell r="J50"/>
          <cell r="K50"/>
        </row>
        <row r="51">
          <cell r="J51"/>
          <cell r="K51"/>
        </row>
        <row r="52">
          <cell r="J52"/>
          <cell r="K52"/>
        </row>
        <row r="53">
          <cell r="J53"/>
          <cell r="K53"/>
        </row>
        <row r="54">
          <cell r="J54"/>
          <cell r="K54"/>
        </row>
        <row r="55">
          <cell r="J55"/>
          <cell r="K55"/>
        </row>
        <row r="56">
          <cell r="J56"/>
          <cell r="K56"/>
        </row>
        <row r="57">
          <cell r="J57"/>
          <cell r="K57"/>
        </row>
        <row r="58">
          <cell r="J58"/>
          <cell r="K58"/>
        </row>
        <row r="59">
          <cell r="J59"/>
          <cell r="K59"/>
        </row>
        <row r="60">
          <cell r="J60"/>
          <cell r="K60"/>
        </row>
        <row r="61">
          <cell r="J61"/>
          <cell r="K61"/>
        </row>
        <row r="62">
          <cell r="J62"/>
          <cell r="K62"/>
        </row>
        <row r="63">
          <cell r="J63"/>
          <cell r="K63"/>
        </row>
        <row r="64">
          <cell r="J64"/>
          <cell r="K64"/>
        </row>
        <row r="65">
          <cell r="J65"/>
          <cell r="K65"/>
        </row>
        <row r="66">
          <cell r="J66"/>
          <cell r="K66"/>
        </row>
        <row r="67">
          <cell r="J67"/>
          <cell r="K67"/>
        </row>
        <row r="68">
          <cell r="J68"/>
          <cell r="K68"/>
        </row>
        <row r="69">
          <cell r="J69"/>
          <cell r="K69"/>
        </row>
        <row r="70">
          <cell r="J70"/>
          <cell r="K70"/>
        </row>
        <row r="71">
          <cell r="J71"/>
          <cell r="K71"/>
        </row>
        <row r="72">
          <cell r="J72"/>
          <cell r="K72"/>
        </row>
        <row r="73">
          <cell r="J73"/>
          <cell r="K73"/>
        </row>
        <row r="74">
          <cell r="J74"/>
          <cell r="K74"/>
        </row>
        <row r="75">
          <cell r="J75"/>
          <cell r="K75"/>
        </row>
        <row r="76">
          <cell r="J76"/>
          <cell r="K76"/>
        </row>
        <row r="77">
          <cell r="J77"/>
          <cell r="K77"/>
        </row>
        <row r="78">
          <cell r="J78"/>
          <cell r="K78"/>
        </row>
        <row r="79">
          <cell r="J79"/>
          <cell r="K79"/>
        </row>
        <row r="80">
          <cell r="J80"/>
          <cell r="K80"/>
        </row>
        <row r="81">
          <cell r="J81"/>
          <cell r="K81"/>
        </row>
        <row r="82">
          <cell r="J82"/>
          <cell r="K82"/>
        </row>
        <row r="83">
          <cell r="J83"/>
          <cell r="K83"/>
        </row>
        <row r="84">
          <cell r="J84"/>
          <cell r="K84"/>
        </row>
        <row r="85">
          <cell r="J85"/>
          <cell r="K85"/>
        </row>
        <row r="86">
          <cell r="J86"/>
          <cell r="K86"/>
        </row>
        <row r="87">
          <cell r="J87"/>
          <cell r="K87"/>
        </row>
        <row r="88">
          <cell r="J88"/>
          <cell r="K88"/>
        </row>
        <row r="89">
          <cell r="J89"/>
          <cell r="K89"/>
        </row>
        <row r="90">
          <cell r="J90"/>
          <cell r="K90"/>
        </row>
        <row r="91">
          <cell r="J91"/>
          <cell r="K91"/>
        </row>
        <row r="92">
          <cell r="J92"/>
          <cell r="K92"/>
        </row>
        <row r="93">
          <cell r="J93"/>
          <cell r="K93"/>
        </row>
        <row r="94">
          <cell r="J94"/>
          <cell r="K94"/>
        </row>
        <row r="95">
          <cell r="J95"/>
          <cell r="K95"/>
        </row>
        <row r="96">
          <cell r="J96"/>
          <cell r="K96"/>
        </row>
        <row r="97">
          <cell r="J97"/>
          <cell r="K97"/>
        </row>
        <row r="98">
          <cell r="J98"/>
          <cell r="K98"/>
        </row>
        <row r="99">
          <cell r="J99"/>
          <cell r="K99"/>
        </row>
        <row r="100">
          <cell r="J100"/>
          <cell r="K100"/>
        </row>
        <row r="101">
          <cell r="J101"/>
          <cell r="K101"/>
        </row>
        <row r="102">
          <cell r="J102"/>
          <cell r="K102"/>
        </row>
        <row r="103">
          <cell r="J103"/>
          <cell r="K103"/>
        </row>
        <row r="104">
          <cell r="J104"/>
          <cell r="K104"/>
        </row>
        <row r="105">
          <cell r="J105"/>
          <cell r="K105"/>
        </row>
        <row r="106">
          <cell r="J106"/>
          <cell r="K106"/>
        </row>
        <row r="107">
          <cell r="J107"/>
          <cell r="K107"/>
        </row>
        <row r="108">
          <cell r="J108"/>
          <cell r="K108"/>
        </row>
        <row r="109">
          <cell r="J109"/>
          <cell r="K109"/>
        </row>
        <row r="110">
          <cell r="J110"/>
          <cell r="K110"/>
        </row>
        <row r="111">
          <cell r="J111"/>
          <cell r="K111"/>
        </row>
        <row r="112">
          <cell r="J112"/>
          <cell r="K112"/>
        </row>
        <row r="113">
          <cell r="J113"/>
          <cell r="K113"/>
        </row>
        <row r="114">
          <cell r="J114"/>
          <cell r="K114"/>
        </row>
        <row r="115">
          <cell r="J115"/>
          <cell r="K115"/>
        </row>
        <row r="116">
          <cell r="J116"/>
          <cell r="K116"/>
        </row>
        <row r="117">
          <cell r="J117"/>
          <cell r="K117"/>
        </row>
        <row r="118">
          <cell r="J118"/>
          <cell r="K118"/>
        </row>
        <row r="119">
          <cell r="J119"/>
          <cell r="K119"/>
        </row>
        <row r="120">
          <cell r="J120"/>
          <cell r="K120"/>
        </row>
        <row r="121">
          <cell r="J121"/>
          <cell r="K121"/>
        </row>
        <row r="122">
          <cell r="J122"/>
          <cell r="K122"/>
        </row>
        <row r="123">
          <cell r="J123"/>
          <cell r="K123"/>
        </row>
        <row r="124">
          <cell r="J124"/>
          <cell r="K124"/>
        </row>
        <row r="125">
          <cell r="J125"/>
          <cell r="K125"/>
        </row>
        <row r="126">
          <cell r="J126"/>
          <cell r="K126"/>
        </row>
        <row r="127">
          <cell r="J127"/>
          <cell r="K127"/>
        </row>
        <row r="128">
          <cell r="J128"/>
          <cell r="K128"/>
        </row>
        <row r="129">
          <cell r="J129"/>
          <cell r="K129"/>
        </row>
        <row r="130">
          <cell r="J130"/>
          <cell r="K130"/>
        </row>
        <row r="131">
          <cell r="J131"/>
          <cell r="K131"/>
        </row>
        <row r="132">
          <cell r="J132"/>
          <cell r="K132"/>
        </row>
        <row r="133">
          <cell r="J133"/>
          <cell r="K133"/>
        </row>
        <row r="134">
          <cell r="J134"/>
          <cell r="K134"/>
        </row>
        <row r="135">
          <cell r="J135"/>
          <cell r="K135"/>
        </row>
        <row r="136">
          <cell r="J136"/>
          <cell r="K136"/>
        </row>
        <row r="137">
          <cell r="J137"/>
          <cell r="K137"/>
        </row>
        <row r="138">
          <cell r="J138"/>
          <cell r="K138"/>
        </row>
        <row r="139">
          <cell r="J139"/>
          <cell r="K139"/>
        </row>
        <row r="140">
          <cell r="J140"/>
          <cell r="K140"/>
        </row>
        <row r="141">
          <cell r="J141"/>
          <cell r="K141"/>
        </row>
        <row r="142">
          <cell r="J142"/>
          <cell r="K142"/>
        </row>
        <row r="143">
          <cell r="J143"/>
          <cell r="K143"/>
        </row>
        <row r="144">
          <cell r="J144"/>
          <cell r="K144"/>
        </row>
        <row r="145">
          <cell r="J145"/>
          <cell r="K145"/>
        </row>
        <row r="146">
          <cell r="J146"/>
          <cell r="K146"/>
        </row>
        <row r="147">
          <cell r="J147"/>
          <cell r="K147"/>
        </row>
        <row r="148">
          <cell r="J148"/>
          <cell r="K148"/>
        </row>
        <row r="149">
          <cell r="J149"/>
          <cell r="K149"/>
        </row>
        <row r="150">
          <cell r="J150"/>
          <cell r="K150"/>
        </row>
        <row r="151">
          <cell r="J151"/>
          <cell r="K151"/>
        </row>
      </sheetData>
      <sheetData sheetId="309">
        <row r="2">
          <cell r="J2"/>
          <cell r="K2"/>
        </row>
        <row r="3">
          <cell r="J3"/>
          <cell r="K3"/>
        </row>
        <row r="4">
          <cell r="J4"/>
          <cell r="K4"/>
        </row>
        <row r="5">
          <cell r="J5"/>
          <cell r="K5"/>
        </row>
        <row r="6">
          <cell r="J6"/>
          <cell r="K6"/>
          <cell r="T6">
            <v>0</v>
          </cell>
          <cell r="W6">
            <v>0</v>
          </cell>
          <cell r="Z6">
            <v>0</v>
          </cell>
          <cell r="AC6">
            <v>0</v>
          </cell>
          <cell r="AF6">
            <v>0</v>
          </cell>
          <cell r="AI6">
            <v>0</v>
          </cell>
          <cell r="AP6">
            <v>0</v>
          </cell>
          <cell r="AU6">
            <v>0</v>
          </cell>
          <cell r="AV6">
            <v>0</v>
          </cell>
          <cell r="AW6">
            <v>0</v>
          </cell>
          <cell r="AX6">
            <v>0</v>
          </cell>
          <cell r="BD6">
            <v>0</v>
          </cell>
          <cell r="BE6">
            <v>0</v>
          </cell>
        </row>
        <row r="7">
          <cell r="J7"/>
          <cell r="K7"/>
        </row>
        <row r="8">
          <cell r="J8"/>
          <cell r="K8"/>
        </row>
        <row r="9">
          <cell r="J9"/>
          <cell r="K9"/>
        </row>
        <row r="10">
          <cell r="J10"/>
          <cell r="K10"/>
        </row>
        <row r="11">
          <cell r="J11"/>
          <cell r="K11"/>
        </row>
        <row r="12">
          <cell r="J12"/>
          <cell r="K12"/>
        </row>
        <row r="13">
          <cell r="J13"/>
          <cell r="K13"/>
        </row>
        <row r="14">
          <cell r="J14"/>
          <cell r="K14"/>
        </row>
        <row r="15">
          <cell r="J15"/>
          <cell r="K15"/>
        </row>
        <row r="16">
          <cell r="J16"/>
          <cell r="K16"/>
        </row>
        <row r="17">
          <cell r="J17"/>
          <cell r="K17"/>
        </row>
        <row r="18">
          <cell r="J18"/>
          <cell r="K18"/>
        </row>
        <row r="19">
          <cell r="J19"/>
          <cell r="K19"/>
        </row>
        <row r="20">
          <cell r="J20"/>
          <cell r="K20"/>
        </row>
        <row r="21">
          <cell r="J21"/>
          <cell r="K21"/>
        </row>
        <row r="22">
          <cell r="J22"/>
          <cell r="K22"/>
        </row>
        <row r="23">
          <cell r="J23"/>
          <cell r="K23"/>
        </row>
        <row r="24">
          <cell r="J24"/>
          <cell r="K24"/>
        </row>
        <row r="25">
          <cell r="J25"/>
          <cell r="K25"/>
        </row>
        <row r="26">
          <cell r="J26"/>
          <cell r="K26"/>
        </row>
        <row r="27">
          <cell r="J27"/>
          <cell r="K27"/>
        </row>
        <row r="28">
          <cell r="J28"/>
          <cell r="K28"/>
        </row>
        <row r="29">
          <cell r="J29"/>
          <cell r="K29"/>
        </row>
        <row r="30">
          <cell r="J30"/>
          <cell r="K30"/>
        </row>
        <row r="31">
          <cell r="J31"/>
          <cell r="K31"/>
        </row>
        <row r="32">
          <cell r="J32"/>
          <cell r="K32"/>
        </row>
        <row r="33">
          <cell r="J33"/>
          <cell r="K33"/>
        </row>
        <row r="34">
          <cell r="J34"/>
          <cell r="K34"/>
        </row>
        <row r="35">
          <cell r="J35"/>
          <cell r="K35"/>
        </row>
        <row r="36">
          <cell r="J36"/>
          <cell r="K36"/>
        </row>
        <row r="37">
          <cell r="J37"/>
          <cell r="K37"/>
        </row>
        <row r="38">
          <cell r="J38"/>
          <cell r="K38"/>
        </row>
        <row r="39">
          <cell r="J39"/>
          <cell r="K39"/>
        </row>
        <row r="40">
          <cell r="J40"/>
          <cell r="K40"/>
        </row>
        <row r="41">
          <cell r="J41"/>
          <cell r="K41"/>
        </row>
        <row r="42">
          <cell r="J42"/>
          <cell r="K42"/>
        </row>
        <row r="43">
          <cell r="J43"/>
          <cell r="K43"/>
        </row>
        <row r="44">
          <cell r="J44"/>
          <cell r="K44"/>
        </row>
        <row r="45">
          <cell r="J45"/>
          <cell r="K45"/>
        </row>
        <row r="46">
          <cell r="J46"/>
          <cell r="K46"/>
        </row>
        <row r="47">
          <cell r="J47"/>
          <cell r="K47"/>
        </row>
        <row r="48">
          <cell r="J48"/>
          <cell r="K48"/>
        </row>
        <row r="49">
          <cell r="J49"/>
          <cell r="K49"/>
        </row>
        <row r="50">
          <cell r="J50"/>
          <cell r="K50"/>
        </row>
        <row r="51">
          <cell r="J51"/>
          <cell r="K51"/>
        </row>
        <row r="52">
          <cell r="J52"/>
          <cell r="K52"/>
        </row>
        <row r="53">
          <cell r="J53"/>
          <cell r="K53"/>
        </row>
        <row r="54">
          <cell r="J54"/>
          <cell r="K54"/>
        </row>
        <row r="55">
          <cell r="J55"/>
          <cell r="K55"/>
        </row>
        <row r="56">
          <cell r="J56"/>
          <cell r="K56"/>
        </row>
        <row r="57">
          <cell r="J57"/>
          <cell r="K57"/>
        </row>
        <row r="58">
          <cell r="J58"/>
          <cell r="K58"/>
        </row>
        <row r="59">
          <cell r="J59"/>
          <cell r="K59"/>
        </row>
        <row r="60">
          <cell r="J60"/>
          <cell r="K60"/>
        </row>
        <row r="61">
          <cell r="J61"/>
          <cell r="K61"/>
        </row>
        <row r="62">
          <cell r="J62"/>
          <cell r="K62"/>
        </row>
        <row r="63">
          <cell r="J63"/>
          <cell r="K63"/>
        </row>
        <row r="64">
          <cell r="J64"/>
          <cell r="K64"/>
        </row>
        <row r="65">
          <cell r="J65"/>
          <cell r="K65"/>
        </row>
        <row r="66">
          <cell r="J66"/>
          <cell r="K66"/>
        </row>
        <row r="67">
          <cell r="J67"/>
          <cell r="K67"/>
        </row>
        <row r="68">
          <cell r="J68"/>
          <cell r="K68"/>
        </row>
        <row r="69">
          <cell r="J69"/>
          <cell r="K69"/>
        </row>
        <row r="70">
          <cell r="J70"/>
          <cell r="K70"/>
        </row>
        <row r="71">
          <cell r="J71"/>
          <cell r="K71"/>
        </row>
        <row r="72">
          <cell r="J72"/>
          <cell r="K72"/>
        </row>
        <row r="73">
          <cell r="J73"/>
          <cell r="K73"/>
        </row>
        <row r="74">
          <cell r="J74"/>
          <cell r="K74"/>
        </row>
        <row r="75">
          <cell r="J75"/>
          <cell r="K75"/>
        </row>
        <row r="76">
          <cell r="J76"/>
          <cell r="K76"/>
        </row>
        <row r="77">
          <cell r="J77"/>
          <cell r="K77"/>
        </row>
        <row r="78">
          <cell r="J78"/>
          <cell r="K78"/>
        </row>
        <row r="79">
          <cell r="J79"/>
          <cell r="K79"/>
        </row>
        <row r="80">
          <cell r="J80"/>
          <cell r="K80"/>
        </row>
        <row r="81">
          <cell r="J81"/>
          <cell r="K81"/>
        </row>
        <row r="82">
          <cell r="J82"/>
          <cell r="K82"/>
        </row>
        <row r="83">
          <cell r="J83"/>
          <cell r="K83"/>
        </row>
        <row r="84">
          <cell r="J84"/>
          <cell r="K84"/>
        </row>
        <row r="85">
          <cell r="J85"/>
          <cell r="K85"/>
        </row>
        <row r="86">
          <cell r="J86"/>
          <cell r="K86"/>
        </row>
        <row r="87">
          <cell r="J87"/>
          <cell r="K87"/>
        </row>
        <row r="88">
          <cell r="J88"/>
          <cell r="K88"/>
        </row>
        <row r="89">
          <cell r="J89"/>
          <cell r="K89"/>
        </row>
        <row r="90">
          <cell r="J90"/>
          <cell r="K90"/>
        </row>
        <row r="91">
          <cell r="J91"/>
          <cell r="K91"/>
        </row>
        <row r="92">
          <cell r="J92"/>
          <cell r="K92"/>
        </row>
        <row r="93">
          <cell r="J93"/>
          <cell r="K93"/>
        </row>
        <row r="94">
          <cell r="J94"/>
          <cell r="K94"/>
        </row>
        <row r="95">
          <cell r="J95"/>
          <cell r="K95"/>
        </row>
        <row r="96">
          <cell r="J96"/>
          <cell r="K96"/>
        </row>
        <row r="97">
          <cell r="J97"/>
          <cell r="K97"/>
        </row>
        <row r="98">
          <cell r="J98"/>
          <cell r="K98"/>
        </row>
        <row r="99">
          <cell r="J99"/>
          <cell r="K99"/>
        </row>
        <row r="100">
          <cell r="J100"/>
          <cell r="K100"/>
        </row>
        <row r="101">
          <cell r="J101"/>
          <cell r="K101"/>
        </row>
        <row r="102">
          <cell r="J102"/>
          <cell r="K102"/>
        </row>
        <row r="103">
          <cell r="J103"/>
          <cell r="K103"/>
        </row>
        <row r="104">
          <cell r="J104"/>
          <cell r="K104"/>
        </row>
        <row r="105">
          <cell r="J105"/>
          <cell r="K105"/>
        </row>
        <row r="106">
          <cell r="J106"/>
          <cell r="K106"/>
        </row>
        <row r="107">
          <cell r="J107"/>
          <cell r="K107"/>
        </row>
        <row r="108">
          <cell r="J108"/>
          <cell r="K108"/>
        </row>
        <row r="109">
          <cell r="J109"/>
          <cell r="K109"/>
        </row>
        <row r="110">
          <cell r="J110"/>
          <cell r="K110"/>
        </row>
        <row r="111">
          <cell r="J111"/>
          <cell r="K111"/>
        </row>
        <row r="112">
          <cell r="J112"/>
          <cell r="K112"/>
        </row>
        <row r="113">
          <cell r="J113"/>
          <cell r="K113"/>
        </row>
        <row r="114">
          <cell r="J114"/>
          <cell r="K114"/>
        </row>
        <row r="115">
          <cell r="J115"/>
          <cell r="K115"/>
        </row>
        <row r="116">
          <cell r="J116"/>
          <cell r="K116"/>
        </row>
        <row r="117">
          <cell r="J117"/>
          <cell r="K117"/>
        </row>
        <row r="118">
          <cell r="J118"/>
          <cell r="K118"/>
        </row>
        <row r="119">
          <cell r="J119"/>
          <cell r="K119"/>
        </row>
        <row r="120">
          <cell r="J120"/>
          <cell r="K120"/>
        </row>
        <row r="121">
          <cell r="J121"/>
          <cell r="K121"/>
        </row>
        <row r="122">
          <cell r="J122"/>
          <cell r="K122"/>
        </row>
        <row r="123">
          <cell r="J123"/>
          <cell r="K123"/>
        </row>
        <row r="124">
          <cell r="J124"/>
          <cell r="K124"/>
        </row>
        <row r="125">
          <cell r="J125"/>
          <cell r="K125"/>
        </row>
        <row r="126">
          <cell r="J126"/>
          <cell r="K126"/>
        </row>
        <row r="127">
          <cell r="J127"/>
          <cell r="K127"/>
        </row>
        <row r="128">
          <cell r="J128"/>
          <cell r="K128"/>
        </row>
        <row r="129">
          <cell r="J129"/>
          <cell r="K129"/>
        </row>
        <row r="130">
          <cell r="J130"/>
          <cell r="K130"/>
        </row>
        <row r="131">
          <cell r="J131"/>
          <cell r="K131"/>
        </row>
        <row r="132">
          <cell r="J132"/>
          <cell r="K132"/>
        </row>
        <row r="133">
          <cell r="J133"/>
          <cell r="K133"/>
        </row>
        <row r="134">
          <cell r="J134"/>
          <cell r="K134"/>
        </row>
        <row r="135">
          <cell r="J135"/>
          <cell r="K135"/>
        </row>
        <row r="136">
          <cell r="J136"/>
          <cell r="K136"/>
        </row>
        <row r="137">
          <cell r="J137"/>
          <cell r="K137"/>
        </row>
        <row r="138">
          <cell r="J138"/>
          <cell r="K138"/>
        </row>
        <row r="139">
          <cell r="J139"/>
          <cell r="K139"/>
        </row>
        <row r="140">
          <cell r="J140"/>
          <cell r="K140"/>
        </row>
        <row r="141">
          <cell r="J141"/>
          <cell r="K141"/>
        </row>
        <row r="142">
          <cell r="J142"/>
          <cell r="K142"/>
        </row>
        <row r="143">
          <cell r="J143"/>
          <cell r="K143"/>
        </row>
        <row r="144">
          <cell r="J144"/>
          <cell r="K144"/>
        </row>
        <row r="145">
          <cell r="J145"/>
          <cell r="K145"/>
        </row>
        <row r="146">
          <cell r="J146"/>
          <cell r="K146"/>
        </row>
        <row r="147">
          <cell r="J147"/>
          <cell r="K147"/>
        </row>
        <row r="148">
          <cell r="J148"/>
          <cell r="K148"/>
        </row>
        <row r="149">
          <cell r="J149"/>
          <cell r="K149"/>
        </row>
        <row r="150">
          <cell r="J150"/>
          <cell r="K150"/>
        </row>
        <row r="151">
          <cell r="J151"/>
          <cell r="K151"/>
        </row>
      </sheetData>
      <sheetData sheetId="310">
        <row r="2">
          <cell r="J2"/>
          <cell r="K2"/>
        </row>
        <row r="3">
          <cell r="J3"/>
          <cell r="K3"/>
        </row>
        <row r="4">
          <cell r="J4"/>
          <cell r="K4"/>
        </row>
        <row r="5">
          <cell r="J5"/>
          <cell r="K5"/>
        </row>
        <row r="6">
          <cell r="J6"/>
          <cell r="K6"/>
          <cell r="T6">
            <v>0</v>
          </cell>
          <cell r="W6">
            <v>0</v>
          </cell>
          <cell r="Z6">
            <v>0</v>
          </cell>
          <cell r="AC6">
            <v>0</v>
          </cell>
          <cell r="AF6">
            <v>0</v>
          </cell>
          <cell r="AI6">
            <v>0</v>
          </cell>
          <cell r="AP6">
            <v>0</v>
          </cell>
          <cell r="AU6">
            <v>0</v>
          </cell>
          <cell r="AV6">
            <v>0</v>
          </cell>
          <cell r="AW6">
            <v>0</v>
          </cell>
          <cell r="AX6">
            <v>0</v>
          </cell>
          <cell r="BD6">
            <v>0</v>
          </cell>
          <cell r="BE6">
            <v>0</v>
          </cell>
        </row>
        <row r="7">
          <cell r="J7"/>
          <cell r="K7"/>
        </row>
        <row r="8">
          <cell r="J8"/>
          <cell r="K8"/>
        </row>
        <row r="9">
          <cell r="J9"/>
          <cell r="K9"/>
        </row>
        <row r="10">
          <cell r="J10"/>
          <cell r="K10"/>
        </row>
        <row r="11">
          <cell r="J11"/>
          <cell r="K11"/>
        </row>
        <row r="12">
          <cell r="J12"/>
          <cell r="K12"/>
        </row>
        <row r="13">
          <cell r="J13"/>
          <cell r="K13"/>
        </row>
        <row r="14">
          <cell r="J14"/>
          <cell r="K14"/>
        </row>
        <row r="15">
          <cell r="J15"/>
          <cell r="K15"/>
        </row>
        <row r="16">
          <cell r="J16"/>
          <cell r="K16"/>
        </row>
        <row r="17">
          <cell r="J17"/>
          <cell r="K17"/>
        </row>
        <row r="18">
          <cell r="J18"/>
          <cell r="K18"/>
        </row>
        <row r="19">
          <cell r="J19"/>
          <cell r="K19"/>
        </row>
        <row r="20">
          <cell r="J20"/>
          <cell r="K20"/>
        </row>
        <row r="21">
          <cell r="J21"/>
          <cell r="K21"/>
        </row>
        <row r="22">
          <cell r="J22"/>
          <cell r="K22"/>
        </row>
        <row r="23">
          <cell r="J23"/>
          <cell r="K23"/>
        </row>
        <row r="24">
          <cell r="J24"/>
          <cell r="K24"/>
        </row>
        <row r="25">
          <cell r="J25"/>
          <cell r="K25"/>
        </row>
        <row r="26">
          <cell r="J26"/>
          <cell r="K26"/>
        </row>
        <row r="27">
          <cell r="J27"/>
          <cell r="K27"/>
        </row>
        <row r="28">
          <cell r="J28"/>
          <cell r="K28"/>
        </row>
        <row r="29">
          <cell r="J29"/>
          <cell r="K29"/>
        </row>
        <row r="30">
          <cell r="J30"/>
          <cell r="K30"/>
        </row>
        <row r="31">
          <cell r="J31"/>
          <cell r="K31"/>
        </row>
        <row r="32">
          <cell r="J32"/>
          <cell r="K32"/>
        </row>
        <row r="33">
          <cell r="J33"/>
          <cell r="K33"/>
        </row>
        <row r="34">
          <cell r="J34"/>
          <cell r="K34"/>
        </row>
        <row r="35">
          <cell r="J35"/>
          <cell r="K35"/>
        </row>
        <row r="36">
          <cell r="J36"/>
          <cell r="K36"/>
        </row>
        <row r="37">
          <cell r="J37"/>
          <cell r="K37"/>
        </row>
        <row r="38">
          <cell r="J38"/>
          <cell r="K38"/>
        </row>
        <row r="39">
          <cell r="J39"/>
          <cell r="K39"/>
        </row>
        <row r="40">
          <cell r="J40"/>
          <cell r="K40"/>
        </row>
        <row r="41">
          <cell r="J41"/>
          <cell r="K41"/>
        </row>
        <row r="42">
          <cell r="J42"/>
          <cell r="K42"/>
        </row>
        <row r="43">
          <cell r="J43"/>
          <cell r="K43"/>
        </row>
        <row r="44">
          <cell r="J44"/>
          <cell r="K44"/>
        </row>
        <row r="45">
          <cell r="J45"/>
          <cell r="K45"/>
        </row>
        <row r="46">
          <cell r="J46"/>
          <cell r="K46"/>
        </row>
        <row r="47">
          <cell r="J47"/>
          <cell r="K47"/>
        </row>
        <row r="48">
          <cell r="J48"/>
          <cell r="K48"/>
        </row>
        <row r="49">
          <cell r="J49"/>
          <cell r="K49"/>
        </row>
        <row r="50">
          <cell r="J50"/>
          <cell r="K50"/>
        </row>
        <row r="51">
          <cell r="J51"/>
          <cell r="K51"/>
        </row>
        <row r="52">
          <cell r="J52"/>
          <cell r="K52"/>
        </row>
        <row r="53">
          <cell r="J53"/>
          <cell r="K53"/>
        </row>
        <row r="54">
          <cell r="J54"/>
          <cell r="K54"/>
        </row>
        <row r="55">
          <cell r="J55"/>
          <cell r="K55"/>
        </row>
        <row r="56">
          <cell r="J56"/>
          <cell r="K56"/>
        </row>
        <row r="57">
          <cell r="J57"/>
          <cell r="K57"/>
        </row>
        <row r="58">
          <cell r="J58"/>
          <cell r="K58"/>
        </row>
        <row r="59">
          <cell r="J59"/>
          <cell r="K59"/>
        </row>
        <row r="60">
          <cell r="J60"/>
          <cell r="K60"/>
        </row>
        <row r="61">
          <cell r="J61"/>
          <cell r="K61"/>
        </row>
        <row r="62">
          <cell r="J62"/>
          <cell r="K62"/>
        </row>
        <row r="63">
          <cell r="J63"/>
          <cell r="K63"/>
        </row>
        <row r="64">
          <cell r="J64"/>
          <cell r="K64"/>
        </row>
        <row r="65">
          <cell r="J65"/>
          <cell r="K65"/>
        </row>
        <row r="66">
          <cell r="J66"/>
          <cell r="K66"/>
        </row>
        <row r="67">
          <cell r="J67"/>
          <cell r="K67"/>
        </row>
        <row r="68">
          <cell r="J68"/>
          <cell r="K68"/>
        </row>
        <row r="69">
          <cell r="J69"/>
          <cell r="K69"/>
        </row>
        <row r="70">
          <cell r="J70"/>
          <cell r="K70"/>
        </row>
        <row r="71">
          <cell r="J71"/>
          <cell r="K71"/>
        </row>
        <row r="72">
          <cell r="J72"/>
          <cell r="K72"/>
        </row>
        <row r="73">
          <cell r="J73"/>
          <cell r="K73"/>
        </row>
        <row r="74">
          <cell r="J74"/>
          <cell r="K74"/>
        </row>
        <row r="75">
          <cell r="J75"/>
          <cell r="K75"/>
        </row>
        <row r="76">
          <cell r="J76"/>
          <cell r="K76"/>
        </row>
        <row r="77">
          <cell r="J77"/>
          <cell r="K77"/>
        </row>
        <row r="78">
          <cell r="J78"/>
          <cell r="K78"/>
        </row>
        <row r="79">
          <cell r="J79"/>
          <cell r="K79"/>
        </row>
        <row r="80">
          <cell r="J80"/>
          <cell r="K80"/>
        </row>
        <row r="81">
          <cell r="J81"/>
          <cell r="K81"/>
        </row>
        <row r="82">
          <cell r="J82"/>
          <cell r="K82"/>
        </row>
        <row r="83">
          <cell r="J83"/>
          <cell r="K83"/>
        </row>
        <row r="84">
          <cell r="J84"/>
          <cell r="K84"/>
        </row>
        <row r="85">
          <cell r="J85"/>
          <cell r="K85"/>
        </row>
        <row r="86">
          <cell r="J86"/>
          <cell r="K86"/>
        </row>
        <row r="87">
          <cell r="J87"/>
          <cell r="K87"/>
        </row>
        <row r="88">
          <cell r="J88"/>
          <cell r="K88"/>
        </row>
        <row r="89">
          <cell r="J89"/>
          <cell r="K89"/>
        </row>
        <row r="90">
          <cell r="J90"/>
          <cell r="K90"/>
        </row>
        <row r="91">
          <cell r="J91"/>
          <cell r="K91"/>
        </row>
        <row r="92">
          <cell r="J92"/>
          <cell r="K92"/>
        </row>
        <row r="93">
          <cell r="J93"/>
          <cell r="K93"/>
        </row>
        <row r="94">
          <cell r="J94"/>
          <cell r="K94"/>
        </row>
        <row r="95">
          <cell r="J95"/>
          <cell r="K95"/>
        </row>
        <row r="96">
          <cell r="J96"/>
          <cell r="K96"/>
        </row>
        <row r="97">
          <cell r="J97"/>
          <cell r="K97"/>
        </row>
        <row r="98">
          <cell r="J98"/>
          <cell r="K98"/>
        </row>
        <row r="99">
          <cell r="J99"/>
          <cell r="K99"/>
        </row>
        <row r="100">
          <cell r="J100"/>
          <cell r="K100"/>
        </row>
        <row r="101">
          <cell r="J101"/>
          <cell r="K101"/>
        </row>
        <row r="102">
          <cell r="J102"/>
          <cell r="K102"/>
        </row>
        <row r="103">
          <cell r="J103"/>
          <cell r="K103"/>
        </row>
        <row r="104">
          <cell r="J104"/>
          <cell r="K104"/>
        </row>
        <row r="105">
          <cell r="J105"/>
          <cell r="K105"/>
        </row>
        <row r="106">
          <cell r="J106"/>
          <cell r="K106"/>
        </row>
        <row r="107">
          <cell r="J107"/>
          <cell r="K107"/>
        </row>
        <row r="108">
          <cell r="J108"/>
          <cell r="K108"/>
        </row>
        <row r="109">
          <cell r="J109"/>
          <cell r="K109"/>
        </row>
        <row r="110">
          <cell r="J110"/>
          <cell r="K110"/>
        </row>
        <row r="111">
          <cell r="J111"/>
          <cell r="K111"/>
        </row>
        <row r="112">
          <cell r="J112"/>
          <cell r="K112"/>
        </row>
        <row r="113">
          <cell r="J113"/>
          <cell r="K113"/>
        </row>
        <row r="114">
          <cell r="J114"/>
          <cell r="K114"/>
        </row>
        <row r="115">
          <cell r="J115"/>
          <cell r="K115"/>
        </row>
        <row r="116">
          <cell r="J116"/>
          <cell r="K116"/>
        </row>
        <row r="117">
          <cell r="J117"/>
          <cell r="K117"/>
        </row>
        <row r="118">
          <cell r="J118"/>
          <cell r="K118"/>
        </row>
        <row r="119">
          <cell r="J119"/>
          <cell r="K119"/>
        </row>
        <row r="120">
          <cell r="J120"/>
          <cell r="K120"/>
        </row>
        <row r="121">
          <cell r="J121"/>
          <cell r="K121"/>
        </row>
        <row r="122">
          <cell r="J122"/>
          <cell r="K122"/>
        </row>
        <row r="123">
          <cell r="J123"/>
          <cell r="K123"/>
        </row>
        <row r="124">
          <cell r="J124"/>
          <cell r="K124"/>
        </row>
        <row r="125">
          <cell r="J125"/>
          <cell r="K125"/>
        </row>
        <row r="126">
          <cell r="J126"/>
          <cell r="K126"/>
        </row>
        <row r="127">
          <cell r="J127"/>
          <cell r="K127"/>
        </row>
        <row r="128">
          <cell r="J128"/>
          <cell r="K128"/>
        </row>
        <row r="129">
          <cell r="J129"/>
          <cell r="K129"/>
        </row>
        <row r="130">
          <cell r="J130"/>
          <cell r="K130"/>
        </row>
        <row r="131">
          <cell r="J131"/>
          <cell r="K131"/>
        </row>
        <row r="132">
          <cell r="J132"/>
          <cell r="K132"/>
        </row>
        <row r="133">
          <cell r="J133"/>
          <cell r="K133"/>
        </row>
        <row r="134">
          <cell r="J134"/>
          <cell r="K134"/>
        </row>
        <row r="135">
          <cell r="J135"/>
          <cell r="K135"/>
        </row>
        <row r="136">
          <cell r="J136"/>
          <cell r="K136"/>
        </row>
        <row r="137">
          <cell r="J137"/>
          <cell r="K137"/>
        </row>
        <row r="138">
          <cell r="J138"/>
          <cell r="K138"/>
        </row>
        <row r="139">
          <cell r="J139"/>
          <cell r="K139"/>
        </row>
        <row r="140">
          <cell r="J140"/>
          <cell r="K140"/>
        </row>
        <row r="141">
          <cell r="J141"/>
          <cell r="K141"/>
        </row>
        <row r="142">
          <cell r="J142"/>
          <cell r="K142"/>
        </row>
        <row r="143">
          <cell r="J143"/>
          <cell r="K143"/>
        </row>
        <row r="144">
          <cell r="J144"/>
          <cell r="K144"/>
        </row>
        <row r="145">
          <cell r="J145"/>
          <cell r="K145"/>
        </row>
        <row r="146">
          <cell r="J146"/>
          <cell r="K146"/>
        </row>
        <row r="147">
          <cell r="J147"/>
          <cell r="K147"/>
        </row>
        <row r="148">
          <cell r="J148"/>
          <cell r="K148"/>
        </row>
        <row r="149">
          <cell r="J149"/>
          <cell r="K149"/>
        </row>
        <row r="150">
          <cell r="J150"/>
          <cell r="K150"/>
        </row>
        <row r="151">
          <cell r="J151"/>
          <cell r="K151"/>
        </row>
      </sheetData>
      <sheetData sheetId="311">
        <row r="2">
          <cell r="J2"/>
          <cell r="K2"/>
        </row>
        <row r="3">
          <cell r="J3"/>
          <cell r="K3"/>
        </row>
        <row r="4">
          <cell r="J4"/>
          <cell r="K4"/>
        </row>
        <row r="5">
          <cell r="J5"/>
          <cell r="K5"/>
        </row>
        <row r="6">
          <cell r="J6"/>
          <cell r="K6"/>
          <cell r="T6">
            <v>0</v>
          </cell>
          <cell r="W6">
            <v>0</v>
          </cell>
          <cell r="Z6">
            <v>0</v>
          </cell>
          <cell r="AC6">
            <v>0</v>
          </cell>
          <cell r="AF6">
            <v>0</v>
          </cell>
          <cell r="AI6">
            <v>0</v>
          </cell>
          <cell r="AP6">
            <v>0</v>
          </cell>
          <cell r="AU6">
            <v>0</v>
          </cell>
          <cell r="AV6">
            <v>0</v>
          </cell>
          <cell r="AW6">
            <v>0</v>
          </cell>
          <cell r="AX6">
            <v>0</v>
          </cell>
          <cell r="BD6">
            <v>0</v>
          </cell>
          <cell r="BE6">
            <v>0</v>
          </cell>
        </row>
        <row r="7">
          <cell r="J7"/>
          <cell r="K7"/>
        </row>
        <row r="8">
          <cell r="J8"/>
          <cell r="K8"/>
        </row>
        <row r="9">
          <cell r="J9"/>
          <cell r="K9"/>
        </row>
        <row r="10">
          <cell r="J10"/>
          <cell r="K10"/>
        </row>
        <row r="11">
          <cell r="J11"/>
          <cell r="K11"/>
        </row>
        <row r="12">
          <cell r="J12"/>
          <cell r="K12"/>
        </row>
        <row r="13">
          <cell r="J13"/>
          <cell r="K13"/>
        </row>
        <row r="14">
          <cell r="J14"/>
          <cell r="K14"/>
        </row>
        <row r="15">
          <cell r="J15"/>
          <cell r="K15"/>
        </row>
        <row r="16">
          <cell r="J16"/>
          <cell r="K16"/>
        </row>
        <row r="17">
          <cell r="J17"/>
          <cell r="K17"/>
        </row>
        <row r="18">
          <cell r="J18"/>
          <cell r="K18"/>
        </row>
        <row r="19">
          <cell r="J19"/>
          <cell r="K19"/>
        </row>
        <row r="20">
          <cell r="J20"/>
          <cell r="K20"/>
        </row>
        <row r="21">
          <cell r="J21"/>
          <cell r="K21"/>
        </row>
        <row r="22">
          <cell r="J22"/>
          <cell r="K22"/>
        </row>
        <row r="23">
          <cell r="J23"/>
          <cell r="K23"/>
        </row>
        <row r="24">
          <cell r="J24"/>
          <cell r="K24"/>
        </row>
        <row r="25">
          <cell r="J25"/>
          <cell r="K25"/>
        </row>
        <row r="26">
          <cell r="J26"/>
          <cell r="K26"/>
        </row>
        <row r="27">
          <cell r="J27"/>
          <cell r="K27"/>
        </row>
        <row r="28">
          <cell r="J28"/>
          <cell r="K28"/>
        </row>
        <row r="29">
          <cell r="J29"/>
          <cell r="K29"/>
        </row>
        <row r="30">
          <cell r="J30"/>
          <cell r="K30"/>
        </row>
        <row r="31">
          <cell r="J31"/>
          <cell r="K31"/>
        </row>
        <row r="32">
          <cell r="J32"/>
          <cell r="K32"/>
        </row>
        <row r="33">
          <cell r="J33"/>
          <cell r="K33"/>
        </row>
        <row r="34">
          <cell r="J34"/>
          <cell r="K34"/>
        </row>
        <row r="35">
          <cell r="J35"/>
          <cell r="K35"/>
        </row>
        <row r="36">
          <cell r="J36"/>
          <cell r="K36"/>
        </row>
        <row r="37">
          <cell r="J37"/>
          <cell r="K37"/>
        </row>
        <row r="38">
          <cell r="J38"/>
          <cell r="K38"/>
        </row>
        <row r="39">
          <cell r="J39"/>
          <cell r="K39"/>
        </row>
        <row r="40">
          <cell r="J40"/>
          <cell r="K40"/>
        </row>
        <row r="41">
          <cell r="J41"/>
          <cell r="K41"/>
        </row>
        <row r="42">
          <cell r="J42"/>
          <cell r="K42"/>
        </row>
        <row r="43">
          <cell r="J43"/>
          <cell r="K43"/>
        </row>
        <row r="44">
          <cell r="J44"/>
          <cell r="K44"/>
        </row>
        <row r="45">
          <cell r="J45"/>
          <cell r="K45"/>
        </row>
        <row r="46">
          <cell r="J46"/>
          <cell r="K46"/>
        </row>
        <row r="47">
          <cell r="J47"/>
          <cell r="K47"/>
        </row>
        <row r="48">
          <cell r="J48"/>
          <cell r="K48"/>
        </row>
        <row r="49">
          <cell r="J49"/>
          <cell r="K49"/>
        </row>
        <row r="50">
          <cell r="J50"/>
          <cell r="K50"/>
        </row>
        <row r="51">
          <cell r="J51"/>
          <cell r="K51"/>
        </row>
        <row r="52">
          <cell r="J52"/>
          <cell r="K52"/>
        </row>
        <row r="53">
          <cell r="J53"/>
          <cell r="K53"/>
        </row>
        <row r="54">
          <cell r="J54"/>
          <cell r="K54"/>
        </row>
        <row r="55">
          <cell r="J55"/>
          <cell r="K55"/>
        </row>
        <row r="56">
          <cell r="J56"/>
          <cell r="K56"/>
        </row>
        <row r="57">
          <cell r="J57"/>
          <cell r="K57"/>
        </row>
        <row r="58">
          <cell r="J58"/>
          <cell r="K58"/>
        </row>
        <row r="59">
          <cell r="J59"/>
          <cell r="K59"/>
        </row>
        <row r="60">
          <cell r="J60"/>
          <cell r="K60"/>
        </row>
        <row r="61">
          <cell r="J61"/>
          <cell r="K61"/>
        </row>
        <row r="62">
          <cell r="J62"/>
          <cell r="K62"/>
        </row>
        <row r="63">
          <cell r="J63"/>
          <cell r="K63"/>
        </row>
        <row r="64">
          <cell r="J64"/>
          <cell r="K64"/>
        </row>
        <row r="65">
          <cell r="J65"/>
          <cell r="K65"/>
        </row>
        <row r="66">
          <cell r="J66"/>
          <cell r="K66"/>
        </row>
        <row r="67">
          <cell r="J67"/>
          <cell r="K67"/>
        </row>
        <row r="68">
          <cell r="J68"/>
          <cell r="K68"/>
        </row>
        <row r="69">
          <cell r="J69"/>
          <cell r="K69"/>
        </row>
        <row r="70">
          <cell r="J70"/>
          <cell r="K70"/>
        </row>
        <row r="71">
          <cell r="J71"/>
          <cell r="K71"/>
        </row>
        <row r="72">
          <cell r="J72"/>
          <cell r="K72"/>
        </row>
        <row r="73">
          <cell r="J73"/>
          <cell r="K73"/>
        </row>
        <row r="74">
          <cell r="J74"/>
          <cell r="K74"/>
        </row>
        <row r="75">
          <cell r="J75"/>
          <cell r="K75"/>
        </row>
        <row r="76">
          <cell r="J76"/>
          <cell r="K76"/>
        </row>
        <row r="77">
          <cell r="J77"/>
          <cell r="K77"/>
        </row>
        <row r="78">
          <cell r="J78"/>
          <cell r="K78"/>
        </row>
        <row r="79">
          <cell r="J79"/>
          <cell r="K79"/>
        </row>
        <row r="80">
          <cell r="J80"/>
          <cell r="K80"/>
        </row>
        <row r="81">
          <cell r="J81"/>
          <cell r="K81"/>
        </row>
        <row r="82">
          <cell r="J82"/>
          <cell r="K82"/>
        </row>
        <row r="83">
          <cell r="J83"/>
          <cell r="K83"/>
        </row>
        <row r="84">
          <cell r="J84"/>
          <cell r="K84"/>
        </row>
        <row r="85">
          <cell r="J85"/>
          <cell r="K85"/>
        </row>
        <row r="86">
          <cell r="J86"/>
          <cell r="K86"/>
        </row>
        <row r="87">
          <cell r="J87"/>
          <cell r="K87"/>
        </row>
        <row r="88">
          <cell r="J88"/>
          <cell r="K88"/>
        </row>
        <row r="89">
          <cell r="J89"/>
          <cell r="K89"/>
        </row>
        <row r="90">
          <cell r="J90"/>
          <cell r="K90"/>
        </row>
        <row r="91">
          <cell r="J91"/>
          <cell r="K91"/>
        </row>
        <row r="92">
          <cell r="J92"/>
          <cell r="K92"/>
        </row>
        <row r="93">
          <cell r="J93"/>
          <cell r="K93"/>
        </row>
        <row r="94">
          <cell r="J94"/>
          <cell r="K94"/>
        </row>
        <row r="95">
          <cell r="J95"/>
          <cell r="K95"/>
        </row>
        <row r="96">
          <cell r="J96"/>
          <cell r="K96"/>
        </row>
        <row r="97">
          <cell r="J97"/>
          <cell r="K97"/>
        </row>
        <row r="98">
          <cell r="J98"/>
          <cell r="K98"/>
        </row>
        <row r="99">
          <cell r="J99"/>
          <cell r="K99"/>
        </row>
        <row r="100">
          <cell r="J100"/>
          <cell r="K100"/>
        </row>
        <row r="101">
          <cell r="J101"/>
          <cell r="K101"/>
        </row>
        <row r="102">
          <cell r="J102"/>
          <cell r="K102"/>
        </row>
        <row r="103">
          <cell r="J103"/>
          <cell r="K103"/>
        </row>
        <row r="104">
          <cell r="J104"/>
          <cell r="K104"/>
        </row>
        <row r="105">
          <cell r="J105"/>
          <cell r="K105"/>
        </row>
        <row r="106">
          <cell r="J106"/>
          <cell r="K106"/>
        </row>
        <row r="107">
          <cell r="J107"/>
          <cell r="K107"/>
        </row>
        <row r="108">
          <cell r="J108"/>
          <cell r="K108"/>
        </row>
        <row r="109">
          <cell r="J109"/>
          <cell r="K109"/>
        </row>
        <row r="110">
          <cell r="J110"/>
          <cell r="K110"/>
        </row>
        <row r="111">
          <cell r="J111"/>
          <cell r="K111"/>
        </row>
        <row r="112">
          <cell r="J112"/>
          <cell r="K112"/>
        </row>
        <row r="113">
          <cell r="J113"/>
          <cell r="K113"/>
        </row>
        <row r="114">
          <cell r="J114"/>
          <cell r="K114"/>
        </row>
        <row r="115">
          <cell r="J115"/>
          <cell r="K115"/>
        </row>
        <row r="116">
          <cell r="J116"/>
          <cell r="K116"/>
        </row>
        <row r="117">
          <cell r="J117"/>
          <cell r="K117"/>
        </row>
        <row r="118">
          <cell r="J118"/>
          <cell r="K118"/>
        </row>
        <row r="119">
          <cell r="J119"/>
          <cell r="K119"/>
        </row>
        <row r="120">
          <cell r="J120"/>
          <cell r="K120"/>
        </row>
        <row r="121">
          <cell r="J121"/>
          <cell r="K121"/>
        </row>
        <row r="122">
          <cell r="J122"/>
          <cell r="K122"/>
        </row>
        <row r="123">
          <cell r="J123"/>
          <cell r="K123"/>
        </row>
        <row r="124">
          <cell r="J124"/>
          <cell r="K124"/>
        </row>
        <row r="125">
          <cell r="J125"/>
          <cell r="K125"/>
        </row>
        <row r="126">
          <cell r="J126"/>
          <cell r="K126"/>
        </row>
        <row r="127">
          <cell r="J127"/>
          <cell r="K127"/>
        </row>
        <row r="128">
          <cell r="J128"/>
          <cell r="K128"/>
        </row>
        <row r="129">
          <cell r="J129"/>
          <cell r="K129"/>
        </row>
        <row r="130">
          <cell r="J130"/>
          <cell r="K130"/>
        </row>
        <row r="131">
          <cell r="J131"/>
          <cell r="K131"/>
        </row>
        <row r="132">
          <cell r="J132"/>
          <cell r="K132"/>
        </row>
        <row r="133">
          <cell r="J133"/>
          <cell r="K133"/>
        </row>
        <row r="134">
          <cell r="J134"/>
          <cell r="K134"/>
        </row>
        <row r="135">
          <cell r="J135"/>
          <cell r="K135"/>
        </row>
        <row r="136">
          <cell r="J136"/>
          <cell r="K136"/>
        </row>
        <row r="137">
          <cell r="J137"/>
          <cell r="K137"/>
        </row>
        <row r="138">
          <cell r="J138"/>
          <cell r="K138"/>
        </row>
        <row r="139">
          <cell r="J139"/>
          <cell r="K139"/>
        </row>
        <row r="140">
          <cell r="J140"/>
          <cell r="K140"/>
        </row>
        <row r="141">
          <cell r="J141"/>
          <cell r="K141"/>
        </row>
        <row r="142">
          <cell r="J142"/>
          <cell r="K142"/>
        </row>
        <row r="143">
          <cell r="J143"/>
          <cell r="K143"/>
        </row>
        <row r="144">
          <cell r="J144"/>
          <cell r="K144"/>
        </row>
        <row r="145">
          <cell r="J145"/>
          <cell r="K145"/>
        </row>
        <row r="146">
          <cell r="J146"/>
          <cell r="K146"/>
        </row>
        <row r="147">
          <cell r="J147"/>
          <cell r="K147"/>
        </row>
        <row r="148">
          <cell r="J148"/>
          <cell r="K148"/>
        </row>
        <row r="149">
          <cell r="J149"/>
          <cell r="K149"/>
        </row>
        <row r="150">
          <cell r="J150"/>
          <cell r="K150"/>
        </row>
        <row r="151">
          <cell r="J151"/>
          <cell r="K151"/>
        </row>
      </sheetData>
      <sheetData sheetId="312">
        <row r="2">
          <cell r="J2"/>
          <cell r="K2"/>
        </row>
        <row r="3">
          <cell r="J3"/>
          <cell r="K3"/>
        </row>
        <row r="4">
          <cell r="J4"/>
          <cell r="K4"/>
        </row>
        <row r="5">
          <cell r="J5"/>
          <cell r="K5"/>
        </row>
        <row r="6">
          <cell r="J6"/>
          <cell r="K6"/>
          <cell r="T6">
            <v>0</v>
          </cell>
          <cell r="W6">
            <v>0</v>
          </cell>
          <cell r="Z6">
            <v>0</v>
          </cell>
          <cell r="AC6">
            <v>0</v>
          </cell>
          <cell r="AF6">
            <v>0</v>
          </cell>
          <cell r="AI6">
            <v>0</v>
          </cell>
          <cell r="AP6">
            <v>0</v>
          </cell>
          <cell r="AU6">
            <v>0</v>
          </cell>
          <cell r="AV6">
            <v>0</v>
          </cell>
          <cell r="AW6">
            <v>0</v>
          </cell>
          <cell r="AX6">
            <v>0</v>
          </cell>
          <cell r="BD6">
            <v>0</v>
          </cell>
          <cell r="BE6">
            <v>0</v>
          </cell>
        </row>
        <row r="7">
          <cell r="J7"/>
          <cell r="K7"/>
        </row>
        <row r="8">
          <cell r="J8"/>
          <cell r="K8"/>
        </row>
        <row r="9">
          <cell r="J9"/>
          <cell r="K9"/>
        </row>
        <row r="10">
          <cell r="J10"/>
          <cell r="K10"/>
        </row>
        <row r="11">
          <cell r="J11"/>
          <cell r="K11"/>
        </row>
        <row r="12">
          <cell r="J12"/>
          <cell r="K12"/>
        </row>
        <row r="13">
          <cell r="J13"/>
          <cell r="K13"/>
        </row>
        <row r="14">
          <cell r="J14"/>
          <cell r="K14"/>
        </row>
        <row r="15">
          <cell r="J15"/>
          <cell r="K15"/>
        </row>
        <row r="16">
          <cell r="J16"/>
          <cell r="K16"/>
        </row>
        <row r="17">
          <cell r="J17"/>
          <cell r="K17"/>
        </row>
        <row r="18">
          <cell r="J18"/>
          <cell r="K18"/>
        </row>
        <row r="19">
          <cell r="J19"/>
          <cell r="K19"/>
        </row>
        <row r="20">
          <cell r="J20"/>
          <cell r="K20"/>
        </row>
        <row r="21">
          <cell r="J21"/>
          <cell r="K21"/>
        </row>
        <row r="22">
          <cell r="J22"/>
          <cell r="K22"/>
        </row>
        <row r="23">
          <cell r="J23"/>
          <cell r="K23"/>
        </row>
        <row r="24">
          <cell r="J24"/>
          <cell r="K24"/>
        </row>
        <row r="25">
          <cell r="J25"/>
          <cell r="K25"/>
        </row>
        <row r="26">
          <cell r="J26"/>
          <cell r="K26"/>
        </row>
        <row r="27">
          <cell r="J27"/>
          <cell r="K27"/>
        </row>
        <row r="28">
          <cell r="J28"/>
          <cell r="K28"/>
        </row>
        <row r="29">
          <cell r="J29"/>
          <cell r="K29"/>
        </row>
        <row r="30">
          <cell r="J30"/>
          <cell r="K30"/>
        </row>
        <row r="31">
          <cell r="J31"/>
          <cell r="K31"/>
        </row>
        <row r="32">
          <cell r="J32"/>
          <cell r="K32"/>
        </row>
        <row r="33">
          <cell r="J33"/>
          <cell r="K33"/>
        </row>
        <row r="34">
          <cell r="J34"/>
          <cell r="K34"/>
        </row>
        <row r="35">
          <cell r="J35"/>
          <cell r="K35"/>
        </row>
        <row r="36">
          <cell r="J36"/>
          <cell r="K36"/>
        </row>
        <row r="37">
          <cell r="J37"/>
          <cell r="K37"/>
        </row>
        <row r="38">
          <cell r="J38"/>
          <cell r="K38"/>
        </row>
        <row r="39">
          <cell r="J39"/>
          <cell r="K39"/>
        </row>
        <row r="40">
          <cell r="J40"/>
          <cell r="K40"/>
        </row>
        <row r="41">
          <cell r="J41"/>
          <cell r="K41"/>
        </row>
        <row r="42">
          <cell r="J42"/>
          <cell r="K42"/>
        </row>
        <row r="43">
          <cell r="J43"/>
          <cell r="K43"/>
        </row>
        <row r="44">
          <cell r="J44"/>
          <cell r="K44"/>
        </row>
        <row r="45">
          <cell r="J45"/>
          <cell r="K45"/>
        </row>
        <row r="46">
          <cell r="J46"/>
          <cell r="K46"/>
        </row>
        <row r="47">
          <cell r="J47"/>
          <cell r="K47"/>
        </row>
        <row r="48">
          <cell r="J48"/>
          <cell r="K48"/>
        </row>
        <row r="49">
          <cell r="J49"/>
          <cell r="K49"/>
        </row>
        <row r="50">
          <cell r="J50"/>
          <cell r="K50"/>
        </row>
        <row r="51">
          <cell r="J51"/>
          <cell r="K51"/>
        </row>
        <row r="52">
          <cell r="J52"/>
          <cell r="K52"/>
        </row>
        <row r="53">
          <cell r="J53"/>
          <cell r="K53"/>
        </row>
        <row r="54">
          <cell r="J54"/>
          <cell r="K54"/>
        </row>
        <row r="55">
          <cell r="J55"/>
          <cell r="K55"/>
        </row>
        <row r="56">
          <cell r="J56"/>
          <cell r="K56"/>
        </row>
        <row r="57">
          <cell r="J57"/>
          <cell r="K57"/>
        </row>
        <row r="58">
          <cell r="J58"/>
          <cell r="K58"/>
        </row>
        <row r="59">
          <cell r="J59"/>
          <cell r="K59"/>
        </row>
        <row r="60">
          <cell r="J60"/>
          <cell r="K60"/>
        </row>
        <row r="61">
          <cell r="J61"/>
          <cell r="K61"/>
        </row>
        <row r="62">
          <cell r="J62"/>
          <cell r="K62"/>
        </row>
        <row r="63">
          <cell r="J63"/>
          <cell r="K63"/>
        </row>
        <row r="64">
          <cell r="J64"/>
          <cell r="K64"/>
        </row>
        <row r="65">
          <cell r="J65"/>
          <cell r="K65"/>
        </row>
        <row r="66">
          <cell r="J66"/>
          <cell r="K66"/>
        </row>
        <row r="67">
          <cell r="J67"/>
          <cell r="K67"/>
        </row>
        <row r="68">
          <cell r="J68"/>
          <cell r="K68"/>
        </row>
        <row r="69">
          <cell r="J69"/>
          <cell r="K69"/>
        </row>
        <row r="70">
          <cell r="J70"/>
          <cell r="K70"/>
        </row>
        <row r="71">
          <cell r="J71"/>
          <cell r="K71"/>
        </row>
        <row r="72">
          <cell r="J72"/>
          <cell r="K72"/>
        </row>
        <row r="73">
          <cell r="J73"/>
          <cell r="K73"/>
        </row>
        <row r="74">
          <cell r="J74"/>
          <cell r="K74"/>
        </row>
        <row r="75">
          <cell r="J75"/>
          <cell r="K75"/>
        </row>
        <row r="76">
          <cell r="J76"/>
          <cell r="K76"/>
        </row>
        <row r="77">
          <cell r="J77"/>
          <cell r="K77"/>
        </row>
        <row r="78">
          <cell r="J78"/>
          <cell r="K78"/>
        </row>
        <row r="79">
          <cell r="J79"/>
          <cell r="K79"/>
        </row>
        <row r="80">
          <cell r="J80"/>
          <cell r="K80"/>
        </row>
        <row r="81">
          <cell r="J81"/>
          <cell r="K81"/>
        </row>
        <row r="82">
          <cell r="J82"/>
          <cell r="K82"/>
        </row>
        <row r="83">
          <cell r="J83"/>
          <cell r="K83"/>
        </row>
        <row r="84">
          <cell r="J84"/>
          <cell r="K84"/>
        </row>
        <row r="85">
          <cell r="J85"/>
          <cell r="K85"/>
        </row>
        <row r="86">
          <cell r="J86"/>
          <cell r="K86"/>
        </row>
        <row r="87">
          <cell r="J87"/>
          <cell r="K87"/>
        </row>
        <row r="88">
          <cell r="J88"/>
          <cell r="K88"/>
        </row>
        <row r="89">
          <cell r="J89"/>
          <cell r="K89"/>
        </row>
        <row r="90">
          <cell r="J90"/>
          <cell r="K90"/>
        </row>
        <row r="91">
          <cell r="J91"/>
          <cell r="K91"/>
        </row>
        <row r="92">
          <cell r="J92"/>
          <cell r="K92"/>
        </row>
        <row r="93">
          <cell r="J93"/>
          <cell r="K93"/>
        </row>
        <row r="94">
          <cell r="J94"/>
          <cell r="K94"/>
        </row>
        <row r="95">
          <cell r="J95"/>
          <cell r="K95"/>
        </row>
        <row r="96">
          <cell r="J96"/>
          <cell r="K96"/>
        </row>
        <row r="97">
          <cell r="J97"/>
          <cell r="K97"/>
        </row>
        <row r="98">
          <cell r="J98"/>
          <cell r="K98"/>
        </row>
        <row r="99">
          <cell r="J99"/>
          <cell r="K99"/>
        </row>
        <row r="100">
          <cell r="J100"/>
          <cell r="K100"/>
        </row>
        <row r="101">
          <cell r="J101"/>
          <cell r="K101"/>
        </row>
        <row r="102">
          <cell r="J102"/>
          <cell r="K102"/>
        </row>
        <row r="103">
          <cell r="J103"/>
          <cell r="K103"/>
        </row>
        <row r="104">
          <cell r="J104"/>
          <cell r="K104"/>
        </row>
        <row r="105">
          <cell r="J105"/>
          <cell r="K105"/>
        </row>
        <row r="106">
          <cell r="J106"/>
          <cell r="K106"/>
        </row>
        <row r="107">
          <cell r="J107"/>
          <cell r="K107"/>
        </row>
        <row r="108">
          <cell r="J108"/>
          <cell r="K108"/>
        </row>
        <row r="109">
          <cell r="J109"/>
          <cell r="K109"/>
        </row>
        <row r="110">
          <cell r="J110"/>
          <cell r="K110"/>
        </row>
        <row r="111">
          <cell r="J111"/>
          <cell r="K111"/>
        </row>
        <row r="112">
          <cell r="J112"/>
          <cell r="K112"/>
        </row>
        <row r="113">
          <cell r="J113"/>
          <cell r="K113"/>
        </row>
        <row r="114">
          <cell r="J114"/>
          <cell r="K114"/>
        </row>
        <row r="115">
          <cell r="J115"/>
          <cell r="K115"/>
        </row>
        <row r="116">
          <cell r="J116"/>
          <cell r="K116"/>
        </row>
        <row r="117">
          <cell r="J117"/>
          <cell r="K117"/>
        </row>
        <row r="118">
          <cell r="J118"/>
          <cell r="K118"/>
        </row>
        <row r="119">
          <cell r="J119"/>
          <cell r="K119"/>
        </row>
        <row r="120">
          <cell r="J120"/>
          <cell r="K120"/>
        </row>
        <row r="121">
          <cell r="J121"/>
          <cell r="K121"/>
        </row>
        <row r="122">
          <cell r="J122"/>
          <cell r="K122"/>
        </row>
        <row r="123">
          <cell r="J123"/>
          <cell r="K123"/>
        </row>
        <row r="124">
          <cell r="J124"/>
          <cell r="K124"/>
        </row>
        <row r="125">
          <cell r="J125"/>
          <cell r="K125"/>
        </row>
        <row r="126">
          <cell r="J126"/>
          <cell r="K126"/>
        </row>
        <row r="127">
          <cell r="J127"/>
          <cell r="K127"/>
        </row>
        <row r="128">
          <cell r="J128"/>
          <cell r="K128"/>
        </row>
        <row r="129">
          <cell r="J129"/>
          <cell r="K129"/>
        </row>
        <row r="130">
          <cell r="J130"/>
          <cell r="K130"/>
        </row>
        <row r="131">
          <cell r="J131"/>
          <cell r="K131"/>
        </row>
        <row r="132">
          <cell r="J132"/>
          <cell r="K132"/>
        </row>
        <row r="133">
          <cell r="J133"/>
          <cell r="K133"/>
        </row>
        <row r="134">
          <cell r="J134"/>
          <cell r="K134"/>
        </row>
        <row r="135">
          <cell r="J135"/>
          <cell r="K135"/>
        </row>
        <row r="136">
          <cell r="J136"/>
          <cell r="K136"/>
        </row>
        <row r="137">
          <cell r="J137"/>
          <cell r="K137"/>
        </row>
        <row r="138">
          <cell r="J138"/>
          <cell r="K138"/>
        </row>
        <row r="139">
          <cell r="J139"/>
          <cell r="K139"/>
        </row>
        <row r="140">
          <cell r="J140"/>
          <cell r="K140"/>
        </row>
        <row r="141">
          <cell r="J141"/>
          <cell r="K141"/>
        </row>
        <row r="142">
          <cell r="J142"/>
          <cell r="K142"/>
        </row>
        <row r="143">
          <cell r="J143"/>
          <cell r="K143"/>
        </row>
        <row r="144">
          <cell r="J144"/>
          <cell r="K144"/>
        </row>
        <row r="145">
          <cell r="J145"/>
          <cell r="K145"/>
        </row>
        <row r="146">
          <cell r="J146"/>
          <cell r="K146"/>
        </row>
        <row r="147">
          <cell r="J147"/>
          <cell r="K147"/>
        </row>
        <row r="148">
          <cell r="J148"/>
          <cell r="K148"/>
        </row>
        <row r="149">
          <cell r="J149"/>
          <cell r="K149"/>
        </row>
        <row r="150">
          <cell r="J150"/>
          <cell r="K150"/>
        </row>
        <row r="151">
          <cell r="J151"/>
          <cell r="K151"/>
        </row>
      </sheetData>
      <sheetData sheetId="313">
        <row r="2">
          <cell r="J2"/>
          <cell r="K2"/>
        </row>
        <row r="3">
          <cell r="J3"/>
          <cell r="K3"/>
        </row>
        <row r="4">
          <cell r="J4"/>
          <cell r="K4"/>
        </row>
        <row r="5">
          <cell r="J5"/>
          <cell r="K5"/>
        </row>
        <row r="6">
          <cell r="J6"/>
          <cell r="K6"/>
          <cell r="T6">
            <v>0</v>
          </cell>
          <cell r="W6">
            <v>0</v>
          </cell>
          <cell r="Z6">
            <v>0</v>
          </cell>
          <cell r="AC6">
            <v>0</v>
          </cell>
          <cell r="AF6">
            <v>0</v>
          </cell>
          <cell r="AI6">
            <v>0</v>
          </cell>
          <cell r="AP6">
            <v>0</v>
          </cell>
          <cell r="AU6">
            <v>0</v>
          </cell>
          <cell r="AV6">
            <v>0</v>
          </cell>
          <cell r="AW6">
            <v>0</v>
          </cell>
          <cell r="AX6">
            <v>0</v>
          </cell>
          <cell r="BD6">
            <v>0</v>
          </cell>
          <cell r="BE6">
            <v>0</v>
          </cell>
        </row>
        <row r="7">
          <cell r="J7"/>
          <cell r="K7"/>
        </row>
        <row r="8">
          <cell r="J8"/>
          <cell r="K8"/>
        </row>
        <row r="9">
          <cell r="J9"/>
          <cell r="K9"/>
        </row>
        <row r="10">
          <cell r="J10"/>
          <cell r="K10"/>
        </row>
        <row r="11">
          <cell r="J11"/>
          <cell r="K11"/>
        </row>
        <row r="12">
          <cell r="J12"/>
          <cell r="K12"/>
        </row>
        <row r="13">
          <cell r="J13"/>
          <cell r="K13"/>
        </row>
        <row r="14">
          <cell r="J14"/>
          <cell r="K14"/>
        </row>
        <row r="15">
          <cell r="J15"/>
          <cell r="K15"/>
        </row>
        <row r="16">
          <cell r="J16"/>
          <cell r="K16"/>
        </row>
        <row r="17">
          <cell r="J17"/>
          <cell r="K17"/>
        </row>
        <row r="18">
          <cell r="J18"/>
          <cell r="K18"/>
        </row>
        <row r="19">
          <cell r="J19"/>
          <cell r="K19"/>
        </row>
        <row r="20">
          <cell r="J20"/>
          <cell r="K20"/>
        </row>
        <row r="21">
          <cell r="J21"/>
          <cell r="K21"/>
        </row>
        <row r="22">
          <cell r="J22"/>
          <cell r="K22"/>
        </row>
        <row r="23">
          <cell r="J23"/>
          <cell r="K23"/>
        </row>
        <row r="24">
          <cell r="J24"/>
          <cell r="K24"/>
        </row>
        <row r="25">
          <cell r="J25"/>
          <cell r="K25"/>
        </row>
        <row r="26">
          <cell r="J26"/>
          <cell r="K26"/>
        </row>
        <row r="27">
          <cell r="J27"/>
          <cell r="K27"/>
        </row>
        <row r="28">
          <cell r="J28"/>
          <cell r="K28"/>
        </row>
        <row r="29">
          <cell r="J29"/>
          <cell r="K29"/>
        </row>
        <row r="30">
          <cell r="J30"/>
          <cell r="K30"/>
        </row>
        <row r="31">
          <cell r="J31"/>
          <cell r="K31"/>
        </row>
        <row r="32">
          <cell r="J32"/>
          <cell r="K32"/>
        </row>
        <row r="33">
          <cell r="J33"/>
          <cell r="K33"/>
        </row>
        <row r="34">
          <cell r="J34"/>
          <cell r="K34"/>
        </row>
        <row r="35">
          <cell r="J35"/>
          <cell r="K35"/>
        </row>
        <row r="36">
          <cell r="J36"/>
          <cell r="K36"/>
        </row>
        <row r="37">
          <cell r="J37"/>
          <cell r="K37"/>
        </row>
        <row r="38">
          <cell r="J38"/>
          <cell r="K38"/>
        </row>
        <row r="39">
          <cell r="J39"/>
          <cell r="K39"/>
        </row>
        <row r="40">
          <cell r="J40"/>
          <cell r="K40"/>
        </row>
        <row r="41">
          <cell r="J41"/>
          <cell r="K41"/>
        </row>
        <row r="42">
          <cell r="J42"/>
          <cell r="K42"/>
        </row>
        <row r="43">
          <cell r="J43"/>
          <cell r="K43"/>
        </row>
        <row r="44">
          <cell r="J44"/>
          <cell r="K44"/>
        </row>
        <row r="45">
          <cell r="J45"/>
          <cell r="K45"/>
        </row>
        <row r="46">
          <cell r="J46"/>
          <cell r="K46"/>
        </row>
        <row r="47">
          <cell r="J47"/>
          <cell r="K47"/>
        </row>
        <row r="48">
          <cell r="J48"/>
          <cell r="K48"/>
        </row>
        <row r="49">
          <cell r="J49"/>
          <cell r="K49"/>
        </row>
        <row r="50">
          <cell r="J50"/>
          <cell r="K50"/>
        </row>
        <row r="51">
          <cell r="J51"/>
          <cell r="K51"/>
        </row>
        <row r="52">
          <cell r="J52"/>
          <cell r="K52"/>
        </row>
        <row r="53">
          <cell r="J53"/>
          <cell r="K53"/>
        </row>
        <row r="54">
          <cell r="J54"/>
          <cell r="K54"/>
        </row>
        <row r="55">
          <cell r="J55"/>
          <cell r="K55"/>
        </row>
        <row r="56">
          <cell r="J56"/>
          <cell r="K56"/>
        </row>
        <row r="57">
          <cell r="J57"/>
          <cell r="K57"/>
        </row>
        <row r="58">
          <cell r="J58"/>
          <cell r="K58"/>
        </row>
        <row r="59">
          <cell r="J59"/>
          <cell r="K59"/>
        </row>
        <row r="60">
          <cell r="J60"/>
          <cell r="K60"/>
        </row>
        <row r="61">
          <cell r="J61"/>
          <cell r="K61"/>
        </row>
        <row r="62">
          <cell r="J62"/>
          <cell r="K62"/>
        </row>
        <row r="63">
          <cell r="J63"/>
          <cell r="K63"/>
        </row>
        <row r="64">
          <cell r="J64"/>
          <cell r="K64"/>
        </row>
        <row r="65">
          <cell r="J65"/>
          <cell r="K65"/>
        </row>
        <row r="66">
          <cell r="J66"/>
          <cell r="K66"/>
        </row>
        <row r="67">
          <cell r="J67"/>
          <cell r="K67"/>
        </row>
        <row r="68">
          <cell r="J68"/>
          <cell r="K68"/>
        </row>
        <row r="69">
          <cell r="J69"/>
          <cell r="K69"/>
        </row>
        <row r="70">
          <cell r="J70"/>
          <cell r="K70"/>
        </row>
        <row r="71">
          <cell r="J71"/>
          <cell r="K71"/>
        </row>
        <row r="72">
          <cell r="J72"/>
          <cell r="K72"/>
        </row>
        <row r="73">
          <cell r="J73"/>
          <cell r="K73"/>
        </row>
        <row r="74">
          <cell r="J74"/>
          <cell r="K74"/>
        </row>
        <row r="75">
          <cell r="J75"/>
          <cell r="K75"/>
        </row>
        <row r="76">
          <cell r="J76"/>
          <cell r="K76"/>
        </row>
        <row r="77">
          <cell r="J77"/>
          <cell r="K77"/>
        </row>
        <row r="78">
          <cell r="J78"/>
          <cell r="K78"/>
        </row>
        <row r="79">
          <cell r="J79"/>
          <cell r="K79"/>
        </row>
        <row r="80">
          <cell r="J80"/>
          <cell r="K80"/>
        </row>
        <row r="81">
          <cell r="J81"/>
          <cell r="K81"/>
        </row>
        <row r="82">
          <cell r="J82"/>
          <cell r="K82"/>
        </row>
        <row r="83">
          <cell r="J83"/>
          <cell r="K83"/>
        </row>
        <row r="84">
          <cell r="J84"/>
          <cell r="K84"/>
        </row>
        <row r="85">
          <cell r="J85"/>
          <cell r="K85"/>
        </row>
        <row r="86">
          <cell r="J86"/>
          <cell r="K86"/>
        </row>
        <row r="87">
          <cell r="J87"/>
          <cell r="K87"/>
        </row>
        <row r="88">
          <cell r="J88"/>
          <cell r="K88"/>
        </row>
        <row r="89">
          <cell r="J89"/>
          <cell r="K89"/>
        </row>
        <row r="90">
          <cell r="J90"/>
          <cell r="K90"/>
        </row>
        <row r="91">
          <cell r="J91"/>
          <cell r="K91"/>
        </row>
        <row r="92">
          <cell r="J92"/>
          <cell r="K92"/>
        </row>
        <row r="93">
          <cell r="J93"/>
          <cell r="K93"/>
        </row>
        <row r="94">
          <cell r="J94"/>
          <cell r="K94"/>
        </row>
        <row r="95">
          <cell r="J95"/>
          <cell r="K95"/>
        </row>
        <row r="96">
          <cell r="J96"/>
          <cell r="K96"/>
        </row>
        <row r="97">
          <cell r="J97"/>
          <cell r="K97"/>
        </row>
        <row r="98">
          <cell r="J98"/>
          <cell r="K98"/>
        </row>
        <row r="99">
          <cell r="J99"/>
          <cell r="K99"/>
        </row>
        <row r="100">
          <cell r="J100"/>
          <cell r="K100"/>
        </row>
        <row r="101">
          <cell r="J101"/>
          <cell r="K101"/>
        </row>
        <row r="102">
          <cell r="J102"/>
          <cell r="K102"/>
        </row>
        <row r="103">
          <cell r="J103"/>
          <cell r="K103"/>
        </row>
        <row r="104">
          <cell r="J104"/>
          <cell r="K104"/>
        </row>
        <row r="105">
          <cell r="J105"/>
          <cell r="K105"/>
        </row>
        <row r="106">
          <cell r="J106"/>
          <cell r="K106"/>
        </row>
        <row r="107">
          <cell r="J107"/>
          <cell r="K107"/>
        </row>
        <row r="108">
          <cell r="J108"/>
          <cell r="K108"/>
        </row>
        <row r="109">
          <cell r="J109"/>
          <cell r="K109"/>
        </row>
        <row r="110">
          <cell r="J110"/>
          <cell r="K110"/>
        </row>
        <row r="111">
          <cell r="J111"/>
          <cell r="K111"/>
        </row>
        <row r="112">
          <cell r="J112"/>
          <cell r="K112"/>
        </row>
        <row r="113">
          <cell r="J113"/>
          <cell r="K113"/>
        </row>
        <row r="114">
          <cell r="J114"/>
          <cell r="K114"/>
        </row>
        <row r="115">
          <cell r="J115"/>
          <cell r="K115"/>
        </row>
        <row r="116">
          <cell r="J116"/>
          <cell r="K116"/>
        </row>
        <row r="117">
          <cell r="J117"/>
          <cell r="K117"/>
        </row>
        <row r="118">
          <cell r="J118"/>
          <cell r="K118"/>
        </row>
        <row r="119">
          <cell r="J119"/>
          <cell r="K119"/>
        </row>
        <row r="120">
          <cell r="J120"/>
          <cell r="K120"/>
        </row>
        <row r="121">
          <cell r="J121"/>
          <cell r="K121"/>
        </row>
        <row r="122">
          <cell r="J122"/>
          <cell r="K122"/>
        </row>
        <row r="123">
          <cell r="J123"/>
          <cell r="K123"/>
        </row>
        <row r="124">
          <cell r="J124"/>
          <cell r="K124"/>
        </row>
        <row r="125">
          <cell r="J125"/>
          <cell r="K125"/>
        </row>
        <row r="126">
          <cell r="J126"/>
          <cell r="K126"/>
        </row>
        <row r="127">
          <cell r="J127"/>
          <cell r="K127"/>
        </row>
        <row r="128">
          <cell r="J128"/>
          <cell r="K128"/>
        </row>
        <row r="129">
          <cell r="J129"/>
          <cell r="K129"/>
        </row>
        <row r="130">
          <cell r="J130"/>
          <cell r="K130"/>
        </row>
        <row r="131">
          <cell r="J131"/>
          <cell r="K131"/>
        </row>
        <row r="132">
          <cell r="J132"/>
          <cell r="K132"/>
        </row>
        <row r="133">
          <cell r="J133"/>
          <cell r="K133"/>
        </row>
        <row r="134">
          <cell r="J134"/>
          <cell r="K134"/>
        </row>
        <row r="135">
          <cell r="J135"/>
          <cell r="K135"/>
        </row>
        <row r="136">
          <cell r="J136"/>
          <cell r="K136"/>
        </row>
        <row r="137">
          <cell r="J137"/>
          <cell r="K137"/>
        </row>
        <row r="138">
          <cell r="J138"/>
          <cell r="K138"/>
        </row>
        <row r="139">
          <cell r="J139"/>
          <cell r="K139"/>
        </row>
        <row r="140">
          <cell r="J140"/>
          <cell r="K140"/>
        </row>
        <row r="141">
          <cell r="J141"/>
          <cell r="K141"/>
        </row>
        <row r="142">
          <cell r="J142"/>
          <cell r="K142"/>
        </row>
        <row r="143">
          <cell r="J143"/>
          <cell r="K143"/>
        </row>
        <row r="144">
          <cell r="J144"/>
          <cell r="K144"/>
        </row>
        <row r="145">
          <cell r="J145"/>
          <cell r="K145"/>
        </row>
        <row r="146">
          <cell r="J146"/>
          <cell r="K146"/>
        </row>
        <row r="147">
          <cell r="J147"/>
          <cell r="K147"/>
        </row>
        <row r="148">
          <cell r="J148"/>
          <cell r="K148"/>
        </row>
        <row r="149">
          <cell r="J149"/>
          <cell r="K149"/>
        </row>
        <row r="150">
          <cell r="J150"/>
          <cell r="K150"/>
        </row>
        <row r="151">
          <cell r="J151"/>
          <cell r="K151"/>
        </row>
      </sheetData>
      <sheetData sheetId="314">
        <row r="2">
          <cell r="J2"/>
          <cell r="K2"/>
        </row>
        <row r="3">
          <cell r="J3"/>
          <cell r="K3"/>
        </row>
        <row r="4">
          <cell r="J4"/>
          <cell r="K4"/>
        </row>
        <row r="5">
          <cell r="J5"/>
          <cell r="K5"/>
        </row>
        <row r="6">
          <cell r="J6"/>
          <cell r="K6"/>
          <cell r="T6">
            <v>0</v>
          </cell>
          <cell r="W6">
            <v>0</v>
          </cell>
          <cell r="Z6">
            <v>0</v>
          </cell>
          <cell r="AC6">
            <v>0</v>
          </cell>
          <cell r="AF6">
            <v>0</v>
          </cell>
          <cell r="AI6">
            <v>0</v>
          </cell>
          <cell r="AP6">
            <v>0</v>
          </cell>
          <cell r="AU6">
            <v>0</v>
          </cell>
          <cell r="AV6">
            <v>0</v>
          </cell>
          <cell r="AW6">
            <v>0</v>
          </cell>
          <cell r="AX6">
            <v>0</v>
          </cell>
          <cell r="BD6">
            <v>0</v>
          </cell>
          <cell r="BE6">
            <v>0</v>
          </cell>
        </row>
        <row r="7">
          <cell r="J7"/>
          <cell r="K7"/>
        </row>
        <row r="8">
          <cell r="J8"/>
          <cell r="K8"/>
        </row>
        <row r="9">
          <cell r="J9"/>
          <cell r="K9"/>
        </row>
        <row r="10">
          <cell r="J10"/>
          <cell r="K10"/>
        </row>
        <row r="11">
          <cell r="J11"/>
          <cell r="K11"/>
        </row>
        <row r="12">
          <cell r="J12"/>
          <cell r="K12"/>
        </row>
        <row r="13">
          <cell r="J13"/>
          <cell r="K13"/>
        </row>
        <row r="14">
          <cell r="J14"/>
          <cell r="K14"/>
        </row>
        <row r="15">
          <cell r="J15"/>
          <cell r="K15"/>
        </row>
        <row r="16">
          <cell r="J16"/>
          <cell r="K16"/>
        </row>
        <row r="17">
          <cell r="J17"/>
          <cell r="K17"/>
        </row>
        <row r="18">
          <cell r="J18"/>
          <cell r="K18"/>
        </row>
        <row r="19">
          <cell r="J19"/>
          <cell r="K19"/>
        </row>
        <row r="20">
          <cell r="J20"/>
          <cell r="K20"/>
        </row>
        <row r="21">
          <cell r="J21"/>
          <cell r="K21"/>
        </row>
        <row r="22">
          <cell r="J22"/>
          <cell r="K22"/>
        </row>
        <row r="23">
          <cell r="J23"/>
          <cell r="K23"/>
        </row>
        <row r="24">
          <cell r="J24"/>
          <cell r="K24"/>
        </row>
        <row r="25">
          <cell r="J25"/>
          <cell r="K25"/>
        </row>
        <row r="26">
          <cell r="J26"/>
          <cell r="K26"/>
        </row>
        <row r="27">
          <cell r="J27"/>
          <cell r="K27"/>
        </row>
        <row r="28">
          <cell r="J28"/>
          <cell r="K28"/>
        </row>
        <row r="29">
          <cell r="J29"/>
          <cell r="K29"/>
        </row>
        <row r="30">
          <cell r="J30"/>
          <cell r="K30"/>
        </row>
        <row r="31">
          <cell r="J31"/>
          <cell r="K31"/>
        </row>
        <row r="32">
          <cell r="J32"/>
          <cell r="K32"/>
        </row>
        <row r="33">
          <cell r="J33"/>
          <cell r="K33"/>
        </row>
        <row r="34">
          <cell r="J34"/>
          <cell r="K34"/>
        </row>
        <row r="35">
          <cell r="J35"/>
          <cell r="K35"/>
        </row>
        <row r="36">
          <cell r="J36"/>
          <cell r="K36"/>
        </row>
        <row r="37">
          <cell r="J37"/>
          <cell r="K37"/>
        </row>
        <row r="38">
          <cell r="J38"/>
          <cell r="K38"/>
        </row>
        <row r="39">
          <cell r="J39"/>
          <cell r="K39"/>
        </row>
        <row r="40">
          <cell r="J40"/>
          <cell r="K40"/>
        </row>
        <row r="41">
          <cell r="J41"/>
          <cell r="K41"/>
        </row>
        <row r="42">
          <cell r="J42"/>
          <cell r="K42"/>
        </row>
        <row r="43">
          <cell r="J43"/>
          <cell r="K43"/>
        </row>
        <row r="44">
          <cell r="J44"/>
          <cell r="K44"/>
        </row>
        <row r="45">
          <cell r="J45"/>
          <cell r="K45"/>
        </row>
        <row r="46">
          <cell r="J46"/>
          <cell r="K46"/>
        </row>
        <row r="47">
          <cell r="J47"/>
          <cell r="K47"/>
        </row>
        <row r="48">
          <cell r="J48"/>
          <cell r="K48"/>
        </row>
        <row r="49">
          <cell r="J49"/>
          <cell r="K49"/>
        </row>
        <row r="50">
          <cell r="J50"/>
          <cell r="K50"/>
        </row>
        <row r="51">
          <cell r="J51"/>
          <cell r="K51"/>
        </row>
        <row r="52">
          <cell r="J52"/>
          <cell r="K52"/>
        </row>
        <row r="53">
          <cell r="J53"/>
          <cell r="K53"/>
        </row>
        <row r="54">
          <cell r="J54"/>
          <cell r="K54"/>
        </row>
        <row r="55">
          <cell r="J55"/>
          <cell r="K55"/>
        </row>
        <row r="56">
          <cell r="J56"/>
          <cell r="K56"/>
        </row>
        <row r="57">
          <cell r="J57"/>
          <cell r="K57"/>
        </row>
        <row r="58">
          <cell r="J58"/>
          <cell r="K58"/>
        </row>
        <row r="59">
          <cell r="J59"/>
          <cell r="K59"/>
        </row>
        <row r="60">
          <cell r="J60"/>
          <cell r="K60"/>
        </row>
        <row r="61">
          <cell r="J61"/>
          <cell r="K61"/>
        </row>
        <row r="62">
          <cell r="J62"/>
          <cell r="K62"/>
        </row>
        <row r="63">
          <cell r="J63"/>
          <cell r="K63"/>
        </row>
        <row r="64">
          <cell r="J64"/>
          <cell r="K64"/>
        </row>
        <row r="65">
          <cell r="J65"/>
          <cell r="K65"/>
        </row>
        <row r="66">
          <cell r="J66"/>
          <cell r="K66"/>
        </row>
        <row r="67">
          <cell r="J67"/>
          <cell r="K67"/>
        </row>
        <row r="68">
          <cell r="J68"/>
          <cell r="K68"/>
        </row>
        <row r="69">
          <cell r="J69"/>
          <cell r="K69"/>
        </row>
        <row r="70">
          <cell r="J70"/>
          <cell r="K70"/>
        </row>
        <row r="71">
          <cell r="J71"/>
          <cell r="K71"/>
        </row>
        <row r="72">
          <cell r="J72"/>
          <cell r="K72"/>
        </row>
        <row r="73">
          <cell r="J73"/>
          <cell r="K73"/>
        </row>
        <row r="74">
          <cell r="J74"/>
          <cell r="K74"/>
        </row>
        <row r="75">
          <cell r="J75"/>
          <cell r="K75"/>
        </row>
        <row r="76">
          <cell r="J76"/>
          <cell r="K76"/>
        </row>
        <row r="77">
          <cell r="J77"/>
          <cell r="K77"/>
        </row>
        <row r="78">
          <cell r="J78"/>
          <cell r="K78"/>
        </row>
        <row r="79">
          <cell r="J79"/>
          <cell r="K79"/>
        </row>
        <row r="80">
          <cell r="J80"/>
          <cell r="K80"/>
        </row>
        <row r="81">
          <cell r="J81"/>
          <cell r="K81"/>
        </row>
        <row r="82">
          <cell r="J82"/>
          <cell r="K82"/>
        </row>
        <row r="83">
          <cell r="J83"/>
          <cell r="K83"/>
        </row>
        <row r="84">
          <cell r="J84"/>
          <cell r="K84"/>
        </row>
        <row r="85">
          <cell r="J85"/>
          <cell r="K85"/>
        </row>
        <row r="86">
          <cell r="J86"/>
          <cell r="K86"/>
        </row>
        <row r="87">
          <cell r="J87"/>
          <cell r="K87"/>
        </row>
        <row r="88">
          <cell r="J88"/>
          <cell r="K88"/>
        </row>
        <row r="89">
          <cell r="J89"/>
          <cell r="K89"/>
        </row>
        <row r="90">
          <cell r="J90"/>
          <cell r="K90"/>
        </row>
        <row r="91">
          <cell r="J91"/>
          <cell r="K91"/>
        </row>
        <row r="92">
          <cell r="J92"/>
          <cell r="K92"/>
        </row>
        <row r="93">
          <cell r="J93"/>
          <cell r="K93"/>
        </row>
        <row r="94">
          <cell r="J94"/>
          <cell r="K94"/>
        </row>
        <row r="95">
          <cell r="J95"/>
          <cell r="K95"/>
        </row>
        <row r="96">
          <cell r="J96"/>
          <cell r="K96"/>
        </row>
        <row r="97">
          <cell r="J97"/>
          <cell r="K97"/>
        </row>
        <row r="98">
          <cell r="J98"/>
          <cell r="K98"/>
        </row>
        <row r="99">
          <cell r="J99"/>
          <cell r="K99"/>
        </row>
        <row r="100">
          <cell r="J100"/>
          <cell r="K100"/>
        </row>
        <row r="101">
          <cell r="J101"/>
          <cell r="K101"/>
        </row>
        <row r="102">
          <cell r="J102"/>
          <cell r="K102"/>
        </row>
        <row r="103">
          <cell r="J103"/>
          <cell r="K103"/>
        </row>
        <row r="104">
          <cell r="J104"/>
          <cell r="K104"/>
        </row>
        <row r="105">
          <cell r="J105"/>
          <cell r="K105"/>
        </row>
        <row r="106">
          <cell r="J106"/>
          <cell r="K106"/>
        </row>
        <row r="107">
          <cell r="J107"/>
          <cell r="K107"/>
        </row>
        <row r="108">
          <cell r="J108"/>
          <cell r="K108"/>
        </row>
        <row r="109">
          <cell r="J109"/>
          <cell r="K109"/>
        </row>
        <row r="110">
          <cell r="J110"/>
          <cell r="K110"/>
        </row>
        <row r="111">
          <cell r="J111"/>
          <cell r="K111"/>
        </row>
        <row r="112">
          <cell r="J112"/>
          <cell r="K112"/>
        </row>
        <row r="113">
          <cell r="J113"/>
          <cell r="K113"/>
        </row>
        <row r="114">
          <cell r="J114"/>
          <cell r="K114"/>
        </row>
        <row r="115">
          <cell r="J115"/>
          <cell r="K115"/>
        </row>
        <row r="116">
          <cell r="J116"/>
          <cell r="K116"/>
        </row>
        <row r="117">
          <cell r="J117"/>
          <cell r="K117"/>
        </row>
        <row r="118">
          <cell r="J118"/>
          <cell r="K118"/>
        </row>
        <row r="119">
          <cell r="J119"/>
          <cell r="K119"/>
        </row>
        <row r="120">
          <cell r="J120"/>
          <cell r="K120"/>
        </row>
        <row r="121">
          <cell r="J121"/>
          <cell r="K121"/>
        </row>
        <row r="122">
          <cell r="J122"/>
          <cell r="K122"/>
        </row>
        <row r="123">
          <cell r="J123"/>
          <cell r="K123"/>
        </row>
        <row r="124">
          <cell r="J124"/>
          <cell r="K124"/>
        </row>
        <row r="125">
          <cell r="J125"/>
          <cell r="K125"/>
        </row>
        <row r="126">
          <cell r="J126"/>
          <cell r="K126"/>
        </row>
        <row r="127">
          <cell r="J127"/>
          <cell r="K127"/>
        </row>
        <row r="128">
          <cell r="J128"/>
          <cell r="K128"/>
        </row>
        <row r="129">
          <cell r="J129"/>
          <cell r="K129"/>
        </row>
        <row r="130">
          <cell r="J130"/>
          <cell r="K130"/>
        </row>
        <row r="131">
          <cell r="J131"/>
          <cell r="K131"/>
        </row>
        <row r="132">
          <cell r="J132"/>
          <cell r="K132"/>
        </row>
        <row r="133">
          <cell r="J133"/>
          <cell r="K133"/>
        </row>
        <row r="134">
          <cell r="J134"/>
          <cell r="K134"/>
        </row>
        <row r="135">
          <cell r="J135"/>
          <cell r="K135"/>
        </row>
        <row r="136">
          <cell r="J136"/>
          <cell r="K136"/>
        </row>
        <row r="137">
          <cell r="J137"/>
          <cell r="K137"/>
        </row>
        <row r="138">
          <cell r="J138"/>
          <cell r="K138"/>
        </row>
        <row r="139">
          <cell r="J139"/>
          <cell r="K139"/>
        </row>
        <row r="140">
          <cell r="J140"/>
          <cell r="K140"/>
        </row>
        <row r="141">
          <cell r="J141"/>
          <cell r="K141"/>
        </row>
        <row r="142">
          <cell r="J142"/>
          <cell r="K142"/>
        </row>
        <row r="143">
          <cell r="J143"/>
          <cell r="K143"/>
        </row>
        <row r="144">
          <cell r="J144"/>
          <cell r="K144"/>
        </row>
        <row r="145">
          <cell r="J145"/>
          <cell r="K145"/>
        </row>
        <row r="146">
          <cell r="J146"/>
          <cell r="K146"/>
        </row>
        <row r="147">
          <cell r="J147"/>
          <cell r="K147"/>
        </row>
        <row r="148">
          <cell r="J148"/>
          <cell r="K148"/>
        </row>
        <row r="149">
          <cell r="J149"/>
          <cell r="K149"/>
        </row>
        <row r="150">
          <cell r="J150"/>
          <cell r="K150"/>
        </row>
        <row r="151">
          <cell r="J151"/>
          <cell r="K151"/>
        </row>
      </sheetData>
      <sheetData sheetId="315"/>
      <sheetData sheetId="316"/>
      <sheetData sheetId="31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66"/>
  <sheetViews>
    <sheetView zoomScale="60" zoomScaleNormal="60" workbookViewId="0">
      <selection activeCell="C10" sqref="C10"/>
    </sheetView>
  </sheetViews>
  <sheetFormatPr defaultColWidth="11.5703125" defaultRowHeight="15"/>
  <cols>
    <col min="1" max="1" width="12.85546875" customWidth="1"/>
    <col min="2" max="2" width="16.42578125" style="11" customWidth="1"/>
    <col min="3" max="3" width="15.85546875" style="19" customWidth="1"/>
    <col min="4" max="4" width="25.140625" style="19" customWidth="1"/>
    <col min="5" max="10" width="16.28515625" style="19" customWidth="1"/>
    <col min="11" max="11" width="15.5703125" style="19" customWidth="1"/>
    <col min="12" max="12" width="18.28515625" style="19" customWidth="1"/>
    <col min="13" max="13" width="21.42578125" style="19" customWidth="1"/>
    <col min="14" max="14" width="24.7109375" style="19" bestFit="1" customWidth="1"/>
    <col min="15" max="15" width="16.140625" style="19" customWidth="1"/>
    <col min="16" max="16" width="22.140625" style="19" customWidth="1"/>
    <col min="17" max="17" width="24.28515625" style="19" bestFit="1" customWidth="1"/>
  </cols>
  <sheetData>
    <row r="1" spans="1:17" ht="18.75" customHeight="1">
      <c r="A1" s="1"/>
      <c r="B1" s="9" t="s">
        <v>0</v>
      </c>
      <c r="C1" s="15" t="s">
        <v>1</v>
      </c>
      <c r="D1" s="15" t="s">
        <v>2</v>
      </c>
      <c r="E1" s="15" t="s">
        <v>3</v>
      </c>
      <c r="F1" s="15" t="s">
        <v>4</v>
      </c>
      <c r="G1" s="15" t="s">
        <v>5</v>
      </c>
      <c r="H1" s="15" t="s">
        <v>6</v>
      </c>
      <c r="I1" s="15" t="s">
        <v>7</v>
      </c>
      <c r="J1" s="15" t="s">
        <v>8</v>
      </c>
      <c r="K1" s="15" t="s">
        <v>9</v>
      </c>
      <c r="L1" s="15" t="s">
        <v>10</v>
      </c>
      <c r="M1" s="15" t="s">
        <v>11</v>
      </c>
      <c r="N1" s="16" t="s">
        <v>12</v>
      </c>
      <c r="O1" s="17" t="s">
        <v>13</v>
      </c>
      <c r="P1" s="17" t="s">
        <v>14</v>
      </c>
      <c r="Q1" s="17" t="s">
        <v>15</v>
      </c>
    </row>
    <row r="2" spans="1:17" ht="18.75" customHeight="1">
      <c r="A2" s="1"/>
      <c r="B2" s="10">
        <v>44197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8">
        <v>0</v>
      </c>
      <c r="L2" s="8">
        <v>0</v>
      </c>
      <c r="M2" s="3">
        <v>0</v>
      </c>
      <c r="N2" s="3">
        <v>0</v>
      </c>
      <c r="O2" s="3">
        <v>0</v>
      </c>
      <c r="P2" s="3">
        <v>0</v>
      </c>
      <c r="Q2" s="18">
        <v>0</v>
      </c>
    </row>
    <row r="3" spans="1:17" ht="18.75" customHeight="1">
      <c r="A3" s="4" t="s">
        <v>16</v>
      </c>
      <c r="B3" s="10">
        <v>44198</v>
      </c>
      <c r="C3" s="2">
        <v>3319</v>
      </c>
      <c r="D3" s="2">
        <v>1326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520</v>
      </c>
      <c r="L3" s="2">
        <v>6615</v>
      </c>
      <c r="M3" s="3">
        <v>0</v>
      </c>
      <c r="N3" s="3">
        <f t="shared" ref="N3:N32" si="0">C3+D3+K3+L3</f>
        <v>11780</v>
      </c>
      <c r="O3" s="3">
        <v>1785</v>
      </c>
      <c r="P3" s="3">
        <v>6518</v>
      </c>
      <c r="Q3" s="5">
        <f t="shared" ref="Q3:Q32" si="1">N3-O3-P3</f>
        <v>3477</v>
      </c>
    </row>
    <row r="4" spans="1:17" ht="18.75" customHeight="1">
      <c r="A4" s="4" t="s">
        <v>17</v>
      </c>
      <c r="B4" s="10">
        <v>44199</v>
      </c>
      <c r="C4" s="2">
        <v>3544</v>
      </c>
      <c r="D4" s="2">
        <v>700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890</v>
      </c>
      <c r="L4" s="2">
        <v>7782</v>
      </c>
      <c r="M4" s="3">
        <v>0</v>
      </c>
      <c r="N4" s="3">
        <f t="shared" si="0"/>
        <v>12916</v>
      </c>
      <c r="O4" s="3">
        <v>1760</v>
      </c>
      <c r="P4" s="3">
        <v>2935</v>
      </c>
      <c r="Q4" s="5">
        <f t="shared" si="1"/>
        <v>8221</v>
      </c>
    </row>
    <row r="5" spans="1:17" ht="18.75" customHeight="1">
      <c r="A5" s="4" t="s">
        <v>18</v>
      </c>
      <c r="B5" s="10">
        <v>44200</v>
      </c>
      <c r="C5" s="2">
        <v>2104</v>
      </c>
      <c r="D5" s="2">
        <v>1286</v>
      </c>
      <c r="E5" s="2">
        <v>0</v>
      </c>
      <c r="F5" s="2">
        <v>0</v>
      </c>
      <c r="G5" s="2">
        <v>0</v>
      </c>
      <c r="H5" s="2">
        <v>0</v>
      </c>
      <c r="I5" s="2">
        <v>0</v>
      </c>
      <c r="J5" s="2">
        <v>0</v>
      </c>
      <c r="K5" s="2">
        <v>510</v>
      </c>
      <c r="L5" s="2">
        <v>5264</v>
      </c>
      <c r="M5" s="3">
        <v>0</v>
      </c>
      <c r="N5" s="3">
        <f t="shared" si="0"/>
        <v>9164</v>
      </c>
      <c r="O5" s="3">
        <v>1120</v>
      </c>
      <c r="P5" s="3">
        <v>4912</v>
      </c>
      <c r="Q5" s="5">
        <f t="shared" si="1"/>
        <v>3132</v>
      </c>
    </row>
    <row r="6" spans="1:17" ht="18.75" customHeight="1">
      <c r="A6" s="4" t="s">
        <v>19</v>
      </c>
      <c r="B6" s="10">
        <v>44201</v>
      </c>
      <c r="C6" s="2">
        <v>2008</v>
      </c>
      <c r="D6" s="2">
        <v>788</v>
      </c>
      <c r="E6" s="2">
        <v>0</v>
      </c>
      <c r="F6" s="2">
        <v>0</v>
      </c>
      <c r="G6" s="2">
        <v>0</v>
      </c>
      <c r="H6" s="2">
        <v>0</v>
      </c>
      <c r="I6" s="2">
        <v>0</v>
      </c>
      <c r="J6" s="2">
        <v>0</v>
      </c>
      <c r="K6" s="2">
        <v>100</v>
      </c>
      <c r="L6" s="2">
        <v>4080</v>
      </c>
      <c r="M6" s="3">
        <v>0</v>
      </c>
      <c r="N6" s="3">
        <f t="shared" si="0"/>
        <v>6976</v>
      </c>
      <c r="O6" s="3">
        <v>1200</v>
      </c>
      <c r="P6" s="3">
        <v>2932</v>
      </c>
      <c r="Q6" s="5">
        <f t="shared" si="1"/>
        <v>2844</v>
      </c>
    </row>
    <row r="7" spans="1:17" ht="18.75" customHeight="1">
      <c r="A7" s="4" t="s">
        <v>20</v>
      </c>
      <c r="B7" s="10">
        <v>44202</v>
      </c>
      <c r="C7" s="2">
        <v>2129</v>
      </c>
      <c r="D7" s="2">
        <v>880</v>
      </c>
      <c r="E7" s="2">
        <v>0</v>
      </c>
      <c r="F7" s="2">
        <v>0</v>
      </c>
      <c r="G7" s="2">
        <v>0</v>
      </c>
      <c r="H7" s="2">
        <v>0</v>
      </c>
      <c r="I7" s="2">
        <v>0</v>
      </c>
      <c r="J7" s="2">
        <v>0</v>
      </c>
      <c r="K7" s="2">
        <v>320</v>
      </c>
      <c r="L7" s="2">
        <v>3589</v>
      </c>
      <c r="M7" s="3">
        <v>0</v>
      </c>
      <c r="N7" s="3">
        <f t="shared" si="0"/>
        <v>6918</v>
      </c>
      <c r="O7" s="3">
        <v>1200</v>
      </c>
      <c r="P7" s="3">
        <v>1797</v>
      </c>
      <c r="Q7" s="5">
        <f t="shared" si="1"/>
        <v>3921</v>
      </c>
    </row>
    <row r="8" spans="1:17" ht="18.75" customHeight="1">
      <c r="A8" s="4" t="s">
        <v>21</v>
      </c>
      <c r="B8" s="10">
        <v>44203</v>
      </c>
      <c r="C8" s="2">
        <v>3062</v>
      </c>
      <c r="D8" s="2">
        <v>1076</v>
      </c>
      <c r="E8" s="2">
        <v>0</v>
      </c>
      <c r="F8" s="2">
        <v>0</v>
      </c>
      <c r="G8" s="2">
        <v>0</v>
      </c>
      <c r="H8" s="2">
        <v>0</v>
      </c>
      <c r="I8" s="2">
        <v>0</v>
      </c>
      <c r="J8" s="2">
        <v>0</v>
      </c>
      <c r="K8" s="2">
        <v>80</v>
      </c>
      <c r="L8" s="2">
        <v>4979</v>
      </c>
      <c r="M8" s="3">
        <v>0</v>
      </c>
      <c r="N8" s="3">
        <f t="shared" si="0"/>
        <v>9197</v>
      </c>
      <c r="O8" s="3">
        <v>1405</v>
      </c>
      <c r="P8" s="3">
        <v>4413.5</v>
      </c>
      <c r="Q8" s="5">
        <f t="shared" si="1"/>
        <v>3378.5</v>
      </c>
    </row>
    <row r="9" spans="1:17" ht="18.75" customHeight="1">
      <c r="A9" s="4" t="s">
        <v>22</v>
      </c>
      <c r="B9" s="10">
        <v>44204</v>
      </c>
      <c r="C9" s="2">
        <v>2351</v>
      </c>
      <c r="D9" s="2">
        <v>820</v>
      </c>
      <c r="E9" s="2">
        <v>0</v>
      </c>
      <c r="F9" s="2">
        <v>0</v>
      </c>
      <c r="G9" s="2">
        <v>0</v>
      </c>
      <c r="H9" s="2">
        <v>0</v>
      </c>
      <c r="I9" s="2">
        <v>0</v>
      </c>
      <c r="J9" s="2">
        <v>0</v>
      </c>
      <c r="K9" s="2">
        <v>420</v>
      </c>
      <c r="L9" s="2">
        <v>1728</v>
      </c>
      <c r="M9" s="3">
        <v>0</v>
      </c>
      <c r="N9" s="3">
        <f t="shared" si="0"/>
        <v>5319</v>
      </c>
      <c r="O9" s="3">
        <v>1430</v>
      </c>
      <c r="P9" s="3">
        <v>4729</v>
      </c>
      <c r="Q9" s="5">
        <f t="shared" si="1"/>
        <v>-840</v>
      </c>
    </row>
    <row r="10" spans="1:17" ht="18.75" customHeight="1">
      <c r="A10" s="4" t="s">
        <v>23</v>
      </c>
      <c r="B10" s="10">
        <v>44205</v>
      </c>
      <c r="C10" s="2">
        <v>1714</v>
      </c>
      <c r="D10" s="2">
        <v>382</v>
      </c>
      <c r="E10" s="2">
        <v>0</v>
      </c>
      <c r="F10" s="2">
        <v>0</v>
      </c>
      <c r="G10" s="2">
        <v>0</v>
      </c>
      <c r="H10" s="2">
        <v>0</v>
      </c>
      <c r="I10" s="2">
        <v>0</v>
      </c>
      <c r="J10" s="2">
        <v>0</v>
      </c>
      <c r="K10" s="2">
        <v>250</v>
      </c>
      <c r="L10" s="2">
        <v>2625</v>
      </c>
      <c r="M10" s="3">
        <v>0</v>
      </c>
      <c r="N10" s="3">
        <f t="shared" si="0"/>
        <v>4971</v>
      </c>
      <c r="O10" s="3">
        <v>1390</v>
      </c>
      <c r="P10" s="3">
        <v>2659.5</v>
      </c>
      <c r="Q10" s="5">
        <f t="shared" si="1"/>
        <v>921.5</v>
      </c>
    </row>
    <row r="11" spans="1:17" ht="18.75" customHeight="1">
      <c r="A11" s="4" t="s">
        <v>17</v>
      </c>
      <c r="B11" s="10">
        <v>44206</v>
      </c>
      <c r="C11" s="2">
        <v>1183</v>
      </c>
      <c r="D11" s="2">
        <v>1553</v>
      </c>
      <c r="E11" s="2">
        <v>0</v>
      </c>
      <c r="F11" s="2">
        <v>0</v>
      </c>
      <c r="G11" s="2">
        <v>0</v>
      </c>
      <c r="H11" s="2">
        <v>0</v>
      </c>
      <c r="I11" s="2">
        <v>0</v>
      </c>
      <c r="J11" s="2">
        <v>0</v>
      </c>
      <c r="K11" s="2">
        <v>540</v>
      </c>
      <c r="L11" s="2">
        <v>5514</v>
      </c>
      <c r="M11" s="3">
        <v>0</v>
      </c>
      <c r="N11" s="3">
        <f t="shared" si="0"/>
        <v>8790</v>
      </c>
      <c r="O11" s="3">
        <v>1550</v>
      </c>
      <c r="P11" s="3">
        <v>2030</v>
      </c>
      <c r="Q11" s="5">
        <f t="shared" si="1"/>
        <v>5210</v>
      </c>
    </row>
    <row r="12" spans="1:17" ht="18.75" customHeight="1">
      <c r="A12" s="4" t="s">
        <v>18</v>
      </c>
      <c r="B12" s="10">
        <v>44207</v>
      </c>
      <c r="C12" s="2">
        <v>2186</v>
      </c>
      <c r="D12" s="2">
        <v>2288</v>
      </c>
      <c r="E12" s="2">
        <v>0</v>
      </c>
      <c r="F12" s="2">
        <v>0</v>
      </c>
      <c r="G12" s="2">
        <v>0</v>
      </c>
      <c r="H12" s="2">
        <v>0</v>
      </c>
      <c r="I12" s="2">
        <v>0</v>
      </c>
      <c r="J12" s="2">
        <v>0</v>
      </c>
      <c r="K12" s="2">
        <v>740</v>
      </c>
      <c r="L12" s="2">
        <v>3183</v>
      </c>
      <c r="M12" s="3">
        <v>0</v>
      </c>
      <c r="N12" s="3">
        <f t="shared" si="0"/>
        <v>8397</v>
      </c>
      <c r="O12" s="3">
        <v>1430</v>
      </c>
      <c r="P12" s="3">
        <v>5279</v>
      </c>
      <c r="Q12" s="5">
        <f t="shared" si="1"/>
        <v>1688</v>
      </c>
    </row>
    <row r="13" spans="1:17" ht="18.75" customHeight="1">
      <c r="A13" s="4" t="s">
        <v>19</v>
      </c>
      <c r="B13" s="10">
        <v>44208</v>
      </c>
      <c r="C13" s="2">
        <v>1443</v>
      </c>
      <c r="D13" s="2">
        <v>1040</v>
      </c>
      <c r="E13" s="2">
        <v>0</v>
      </c>
      <c r="F13" s="2">
        <v>0</v>
      </c>
      <c r="G13" s="2">
        <v>0</v>
      </c>
      <c r="H13" s="2">
        <v>0</v>
      </c>
      <c r="I13" s="2">
        <v>0</v>
      </c>
      <c r="J13" s="2">
        <v>0</v>
      </c>
      <c r="K13" s="2">
        <v>490</v>
      </c>
      <c r="L13" s="2">
        <v>2358</v>
      </c>
      <c r="M13" s="3">
        <v>0</v>
      </c>
      <c r="N13" s="3">
        <f t="shared" si="0"/>
        <v>5331</v>
      </c>
      <c r="O13" s="3">
        <v>1540</v>
      </c>
      <c r="P13" s="3">
        <v>2388</v>
      </c>
      <c r="Q13" s="5">
        <f t="shared" si="1"/>
        <v>1403</v>
      </c>
    </row>
    <row r="14" spans="1:17" ht="18.75" customHeight="1">
      <c r="A14" s="4" t="s">
        <v>20</v>
      </c>
      <c r="B14" s="10">
        <v>44209</v>
      </c>
      <c r="C14" s="2">
        <v>2095</v>
      </c>
      <c r="D14" s="2">
        <v>696</v>
      </c>
      <c r="E14" s="2">
        <v>0</v>
      </c>
      <c r="F14" s="2">
        <v>0</v>
      </c>
      <c r="G14" s="2">
        <v>0</v>
      </c>
      <c r="H14" s="2">
        <v>0</v>
      </c>
      <c r="I14" s="2">
        <v>0</v>
      </c>
      <c r="J14" s="2">
        <v>0</v>
      </c>
      <c r="K14" s="2">
        <v>196</v>
      </c>
      <c r="L14" s="2">
        <v>3552</v>
      </c>
      <c r="M14" s="3">
        <v>0</v>
      </c>
      <c r="N14" s="3">
        <f t="shared" si="0"/>
        <v>6539</v>
      </c>
      <c r="O14" s="3">
        <v>1415</v>
      </c>
      <c r="P14" s="3">
        <v>2142.8000000000002</v>
      </c>
      <c r="Q14" s="5">
        <f t="shared" si="1"/>
        <v>2981.2</v>
      </c>
    </row>
    <row r="15" spans="1:17" ht="18.75" customHeight="1">
      <c r="A15" s="4" t="s">
        <v>21</v>
      </c>
      <c r="B15" s="10">
        <v>44210</v>
      </c>
      <c r="C15" s="2">
        <v>2457</v>
      </c>
      <c r="D15" s="2">
        <v>1084</v>
      </c>
      <c r="E15" s="2">
        <v>0</v>
      </c>
      <c r="F15" s="2">
        <v>0</v>
      </c>
      <c r="G15" s="2">
        <v>0</v>
      </c>
      <c r="H15" s="2">
        <v>0</v>
      </c>
      <c r="I15" s="2">
        <v>0</v>
      </c>
      <c r="J15" s="2">
        <v>0</v>
      </c>
      <c r="K15" s="2">
        <v>297</v>
      </c>
      <c r="L15" s="2">
        <v>3236</v>
      </c>
      <c r="M15" s="3">
        <v>0</v>
      </c>
      <c r="N15" s="3">
        <f t="shared" si="0"/>
        <v>7074</v>
      </c>
      <c r="O15" s="3">
        <v>1210</v>
      </c>
      <c r="P15" s="3">
        <v>3499</v>
      </c>
      <c r="Q15" s="5">
        <f t="shared" si="1"/>
        <v>2365</v>
      </c>
    </row>
    <row r="16" spans="1:17" ht="18.75" customHeight="1">
      <c r="A16" s="4" t="s">
        <v>22</v>
      </c>
      <c r="B16" s="10">
        <v>44211</v>
      </c>
      <c r="C16" s="2">
        <v>1986</v>
      </c>
      <c r="D16" s="2">
        <v>657</v>
      </c>
      <c r="E16" s="2">
        <v>0</v>
      </c>
      <c r="F16" s="2">
        <v>0</v>
      </c>
      <c r="G16" s="2">
        <v>0</v>
      </c>
      <c r="H16" s="2">
        <v>0</v>
      </c>
      <c r="I16" s="2">
        <v>0</v>
      </c>
      <c r="J16" s="2">
        <v>0</v>
      </c>
      <c r="K16" s="2">
        <v>440</v>
      </c>
      <c r="L16" s="2">
        <v>4586</v>
      </c>
      <c r="M16" s="3">
        <v>0</v>
      </c>
      <c r="N16" s="3">
        <f t="shared" si="0"/>
        <v>7669</v>
      </c>
      <c r="O16" s="3">
        <v>1550</v>
      </c>
      <c r="P16" s="3">
        <v>3318</v>
      </c>
      <c r="Q16" s="5">
        <f t="shared" si="1"/>
        <v>2801</v>
      </c>
    </row>
    <row r="17" spans="1:17" ht="18.75" customHeight="1">
      <c r="A17" s="4" t="s">
        <v>23</v>
      </c>
      <c r="B17" s="10">
        <v>44212</v>
      </c>
      <c r="C17" s="2">
        <v>2634</v>
      </c>
      <c r="D17" s="2">
        <v>565</v>
      </c>
      <c r="E17" s="2">
        <v>0</v>
      </c>
      <c r="F17" s="2">
        <v>0</v>
      </c>
      <c r="G17" s="2">
        <v>0</v>
      </c>
      <c r="H17" s="2">
        <v>0</v>
      </c>
      <c r="I17" s="2">
        <v>0</v>
      </c>
      <c r="J17" s="2">
        <v>0</v>
      </c>
      <c r="K17" s="2">
        <v>640</v>
      </c>
      <c r="L17" s="2">
        <v>4049</v>
      </c>
      <c r="M17" s="3">
        <v>0</v>
      </c>
      <c r="N17" s="3">
        <f t="shared" si="0"/>
        <v>7888</v>
      </c>
      <c r="O17" s="3">
        <v>1480</v>
      </c>
      <c r="P17" s="3">
        <v>6067</v>
      </c>
      <c r="Q17" s="5">
        <f t="shared" si="1"/>
        <v>341</v>
      </c>
    </row>
    <row r="18" spans="1:17" ht="18.75" customHeight="1">
      <c r="A18" s="4" t="s">
        <v>17</v>
      </c>
      <c r="B18" s="10">
        <v>44213</v>
      </c>
      <c r="C18" s="2">
        <v>1823</v>
      </c>
      <c r="D18" s="2">
        <v>1194</v>
      </c>
      <c r="E18" s="2">
        <v>0</v>
      </c>
      <c r="F18" s="2">
        <v>0</v>
      </c>
      <c r="G18" s="2">
        <v>0</v>
      </c>
      <c r="H18" s="2">
        <v>0</v>
      </c>
      <c r="I18" s="2">
        <v>0</v>
      </c>
      <c r="J18" s="2">
        <v>0</v>
      </c>
      <c r="K18" s="2">
        <v>365</v>
      </c>
      <c r="L18" s="2">
        <v>3932</v>
      </c>
      <c r="M18" s="3">
        <v>0</v>
      </c>
      <c r="N18" s="3">
        <f t="shared" si="0"/>
        <v>7314</v>
      </c>
      <c r="O18" s="3">
        <v>1540</v>
      </c>
      <c r="P18" s="3">
        <v>2024</v>
      </c>
      <c r="Q18" s="5">
        <f t="shared" si="1"/>
        <v>3750</v>
      </c>
    </row>
    <row r="19" spans="1:17" ht="18.75" customHeight="1">
      <c r="A19" s="4" t="s">
        <v>18</v>
      </c>
      <c r="B19" s="10">
        <v>44214</v>
      </c>
      <c r="C19" s="2">
        <v>1942</v>
      </c>
      <c r="D19" s="2">
        <v>686</v>
      </c>
      <c r="E19" s="2">
        <v>0</v>
      </c>
      <c r="F19" s="2">
        <v>0</v>
      </c>
      <c r="G19" s="2">
        <v>0</v>
      </c>
      <c r="H19" s="2">
        <v>0</v>
      </c>
      <c r="I19" s="2">
        <v>0</v>
      </c>
      <c r="J19" s="2">
        <v>0</v>
      </c>
      <c r="K19" s="2">
        <v>341</v>
      </c>
      <c r="L19" s="2">
        <v>3241</v>
      </c>
      <c r="M19" s="3">
        <v>0</v>
      </c>
      <c r="N19" s="3">
        <f t="shared" si="0"/>
        <v>6210</v>
      </c>
      <c r="O19" s="3">
        <v>1530</v>
      </c>
      <c r="P19" s="3">
        <v>3345</v>
      </c>
      <c r="Q19" s="5">
        <f t="shared" si="1"/>
        <v>1335</v>
      </c>
    </row>
    <row r="20" spans="1:17" ht="18.75" customHeight="1">
      <c r="A20" s="4" t="s">
        <v>19</v>
      </c>
      <c r="B20" s="10">
        <v>44215</v>
      </c>
      <c r="C20" s="2">
        <v>1619</v>
      </c>
      <c r="D20" s="2">
        <v>496</v>
      </c>
      <c r="E20" s="2">
        <v>0</v>
      </c>
      <c r="F20" s="2">
        <v>0</v>
      </c>
      <c r="G20" s="2">
        <v>0</v>
      </c>
      <c r="H20" s="2">
        <v>0</v>
      </c>
      <c r="I20" s="2">
        <v>0</v>
      </c>
      <c r="J20" s="2">
        <v>0</v>
      </c>
      <c r="K20" s="2">
        <v>277</v>
      </c>
      <c r="L20" s="2">
        <v>4586</v>
      </c>
      <c r="M20" s="3">
        <v>0</v>
      </c>
      <c r="N20" s="3">
        <f t="shared" si="0"/>
        <v>6978</v>
      </c>
      <c r="O20" s="3">
        <v>1445</v>
      </c>
      <c r="P20" s="3">
        <v>3740.5</v>
      </c>
      <c r="Q20" s="5">
        <f t="shared" si="1"/>
        <v>1792.5</v>
      </c>
    </row>
    <row r="21" spans="1:17" ht="18.75" customHeight="1">
      <c r="A21" s="4" t="s">
        <v>20</v>
      </c>
      <c r="B21" s="10">
        <v>44216</v>
      </c>
      <c r="C21" s="2">
        <v>1459</v>
      </c>
      <c r="D21" s="2">
        <v>371</v>
      </c>
      <c r="E21" s="2">
        <v>0</v>
      </c>
      <c r="F21" s="2">
        <v>0</v>
      </c>
      <c r="G21" s="2">
        <v>0</v>
      </c>
      <c r="H21" s="2">
        <v>0</v>
      </c>
      <c r="I21" s="2">
        <v>0</v>
      </c>
      <c r="J21" s="2">
        <v>0</v>
      </c>
      <c r="K21" s="2">
        <v>407</v>
      </c>
      <c r="L21" s="2">
        <v>4466</v>
      </c>
      <c r="M21" s="3">
        <v>0</v>
      </c>
      <c r="N21" s="3">
        <f t="shared" si="0"/>
        <v>6703</v>
      </c>
      <c r="O21" s="3">
        <v>1200</v>
      </c>
      <c r="P21" s="3">
        <v>2282.7399999999998</v>
      </c>
      <c r="Q21" s="5">
        <f t="shared" si="1"/>
        <v>3220.26</v>
      </c>
    </row>
    <row r="22" spans="1:17" ht="18.75" customHeight="1">
      <c r="A22" s="4" t="s">
        <v>21</v>
      </c>
      <c r="B22" s="10">
        <v>44217</v>
      </c>
      <c r="C22" s="2">
        <v>2268</v>
      </c>
      <c r="D22" s="2">
        <v>1553</v>
      </c>
      <c r="E22" s="2">
        <v>0</v>
      </c>
      <c r="F22" s="2">
        <v>0</v>
      </c>
      <c r="G22" s="2">
        <v>0</v>
      </c>
      <c r="H22" s="2">
        <v>0</v>
      </c>
      <c r="I22" s="2">
        <v>0</v>
      </c>
      <c r="J22" s="2">
        <v>0</v>
      </c>
      <c r="K22" s="2">
        <v>317</v>
      </c>
      <c r="L22" s="2">
        <v>4811</v>
      </c>
      <c r="M22" s="3">
        <v>0</v>
      </c>
      <c r="N22" s="3">
        <f t="shared" si="0"/>
        <v>8949</v>
      </c>
      <c r="O22" s="3">
        <v>1710</v>
      </c>
      <c r="P22" s="3">
        <v>4695.5</v>
      </c>
      <c r="Q22" s="5">
        <f t="shared" si="1"/>
        <v>2543.5</v>
      </c>
    </row>
    <row r="23" spans="1:17" ht="18.75" customHeight="1">
      <c r="A23" s="4" t="s">
        <v>22</v>
      </c>
      <c r="B23" s="10">
        <v>44218</v>
      </c>
      <c r="C23" s="2">
        <v>2180</v>
      </c>
      <c r="D23" s="2">
        <v>1006</v>
      </c>
      <c r="E23" s="2">
        <v>0</v>
      </c>
      <c r="F23" s="2">
        <v>0</v>
      </c>
      <c r="G23" s="2">
        <v>0</v>
      </c>
      <c r="H23" s="2">
        <v>0</v>
      </c>
      <c r="I23" s="2">
        <v>0</v>
      </c>
      <c r="J23" s="2">
        <v>0</v>
      </c>
      <c r="K23" s="2">
        <v>310</v>
      </c>
      <c r="L23" s="2">
        <v>3291</v>
      </c>
      <c r="M23" s="3">
        <v>0</v>
      </c>
      <c r="N23" s="3">
        <f t="shared" si="0"/>
        <v>6787</v>
      </c>
      <c r="O23" s="3">
        <v>1200</v>
      </c>
      <c r="P23" s="3">
        <v>2652</v>
      </c>
      <c r="Q23" s="5">
        <f t="shared" si="1"/>
        <v>2935</v>
      </c>
    </row>
    <row r="24" spans="1:17" ht="18.75" customHeight="1">
      <c r="A24" s="4" t="s">
        <v>23</v>
      </c>
      <c r="B24" s="10">
        <v>44219</v>
      </c>
      <c r="C24" s="2">
        <v>3254</v>
      </c>
      <c r="D24" s="2">
        <v>785</v>
      </c>
      <c r="E24" s="2">
        <v>0</v>
      </c>
      <c r="F24" s="2">
        <v>0</v>
      </c>
      <c r="G24" s="2">
        <v>0</v>
      </c>
      <c r="H24" s="2">
        <v>0</v>
      </c>
      <c r="I24" s="2">
        <v>0</v>
      </c>
      <c r="J24" s="2">
        <v>0</v>
      </c>
      <c r="K24" s="2">
        <v>454</v>
      </c>
      <c r="L24" s="2">
        <v>5319</v>
      </c>
      <c r="M24" s="3">
        <v>0</v>
      </c>
      <c r="N24" s="3">
        <f t="shared" si="0"/>
        <v>9812</v>
      </c>
      <c r="O24" s="3">
        <v>1530</v>
      </c>
      <c r="P24" s="3">
        <v>3761</v>
      </c>
      <c r="Q24" s="5">
        <f t="shared" si="1"/>
        <v>4521</v>
      </c>
    </row>
    <row r="25" spans="1:17" ht="18.75" customHeight="1">
      <c r="A25" s="4" t="s">
        <v>17</v>
      </c>
      <c r="B25" s="10">
        <v>44220</v>
      </c>
      <c r="C25" s="2">
        <v>1642</v>
      </c>
      <c r="D25" s="2">
        <v>580</v>
      </c>
      <c r="E25" s="2">
        <v>0</v>
      </c>
      <c r="F25" s="2">
        <v>0</v>
      </c>
      <c r="G25" s="2">
        <v>0</v>
      </c>
      <c r="H25" s="2">
        <v>0</v>
      </c>
      <c r="I25" s="2">
        <v>0</v>
      </c>
      <c r="J25" s="2">
        <v>0</v>
      </c>
      <c r="K25" s="2">
        <v>374</v>
      </c>
      <c r="L25" s="2">
        <v>4520</v>
      </c>
      <c r="M25" s="3">
        <v>0</v>
      </c>
      <c r="N25" s="3">
        <f t="shared" si="0"/>
        <v>7116</v>
      </c>
      <c r="O25" s="3">
        <v>1560</v>
      </c>
      <c r="P25" s="3">
        <v>4826</v>
      </c>
      <c r="Q25" s="5">
        <f t="shared" si="1"/>
        <v>730</v>
      </c>
    </row>
    <row r="26" spans="1:17" ht="18.75" customHeight="1">
      <c r="A26" s="4" t="s">
        <v>18</v>
      </c>
      <c r="B26" s="10">
        <v>44221</v>
      </c>
      <c r="C26" s="2">
        <v>1503</v>
      </c>
      <c r="D26" s="2">
        <v>801</v>
      </c>
      <c r="E26" s="2">
        <v>0</v>
      </c>
      <c r="F26" s="2">
        <v>0</v>
      </c>
      <c r="G26" s="2">
        <v>0</v>
      </c>
      <c r="H26" s="2">
        <v>0</v>
      </c>
      <c r="I26" s="2">
        <v>0</v>
      </c>
      <c r="J26" s="2">
        <v>0</v>
      </c>
      <c r="K26" s="2">
        <v>387</v>
      </c>
      <c r="L26" s="2">
        <v>3341</v>
      </c>
      <c r="M26" s="3">
        <v>0</v>
      </c>
      <c r="N26" s="3">
        <f t="shared" si="0"/>
        <v>6032</v>
      </c>
      <c r="O26" s="3">
        <v>1540</v>
      </c>
      <c r="P26" s="3">
        <v>3211</v>
      </c>
      <c r="Q26" s="5">
        <f t="shared" si="1"/>
        <v>1281</v>
      </c>
    </row>
    <row r="27" spans="1:17" ht="18.75" customHeight="1">
      <c r="A27" s="4" t="s">
        <v>19</v>
      </c>
      <c r="B27" s="10">
        <v>44222</v>
      </c>
      <c r="C27" s="2">
        <v>1484</v>
      </c>
      <c r="D27" s="2">
        <v>1256</v>
      </c>
      <c r="E27" s="2">
        <v>0</v>
      </c>
      <c r="F27" s="2">
        <v>0</v>
      </c>
      <c r="G27" s="2">
        <v>0</v>
      </c>
      <c r="H27" s="2">
        <v>0</v>
      </c>
      <c r="I27" s="2">
        <v>0</v>
      </c>
      <c r="J27" s="2">
        <v>0</v>
      </c>
      <c r="K27" s="2">
        <v>400</v>
      </c>
      <c r="L27" s="2">
        <v>4247</v>
      </c>
      <c r="M27" s="3">
        <v>0</v>
      </c>
      <c r="N27" s="3">
        <f t="shared" si="0"/>
        <v>7387</v>
      </c>
      <c r="O27" s="3">
        <v>1470</v>
      </c>
      <c r="P27" s="3">
        <v>3472.5</v>
      </c>
      <c r="Q27" s="5">
        <f t="shared" si="1"/>
        <v>2444.5</v>
      </c>
    </row>
    <row r="28" spans="1:17" ht="18.75" customHeight="1">
      <c r="A28" s="4" t="s">
        <v>20</v>
      </c>
      <c r="B28" s="10">
        <v>44223</v>
      </c>
      <c r="C28" s="2">
        <v>1266</v>
      </c>
      <c r="D28" s="2">
        <v>697</v>
      </c>
      <c r="E28" s="2">
        <v>0</v>
      </c>
      <c r="F28" s="2">
        <v>0</v>
      </c>
      <c r="G28" s="2">
        <v>0</v>
      </c>
      <c r="H28" s="2">
        <v>0</v>
      </c>
      <c r="I28" s="2">
        <v>0</v>
      </c>
      <c r="J28" s="2">
        <v>0</v>
      </c>
      <c r="K28" s="2">
        <v>490</v>
      </c>
      <c r="L28" s="2">
        <v>3436</v>
      </c>
      <c r="M28" s="3">
        <v>0</v>
      </c>
      <c r="N28" s="3">
        <f t="shared" si="0"/>
        <v>5889</v>
      </c>
      <c r="O28" s="3">
        <v>1250</v>
      </c>
      <c r="P28" s="3">
        <v>1709</v>
      </c>
      <c r="Q28" s="5">
        <f t="shared" si="1"/>
        <v>2930</v>
      </c>
    </row>
    <row r="29" spans="1:17" ht="18.75" customHeight="1">
      <c r="A29" s="4" t="s">
        <v>21</v>
      </c>
      <c r="B29" s="10">
        <v>44224</v>
      </c>
      <c r="C29" s="2">
        <v>1526</v>
      </c>
      <c r="D29" s="2">
        <v>540</v>
      </c>
      <c r="E29" s="2">
        <v>0</v>
      </c>
      <c r="F29" s="2">
        <v>0</v>
      </c>
      <c r="G29" s="2">
        <v>0</v>
      </c>
      <c r="H29" s="2">
        <v>0</v>
      </c>
      <c r="I29" s="2">
        <v>0</v>
      </c>
      <c r="J29" s="2">
        <v>0</v>
      </c>
      <c r="K29" s="2">
        <v>403</v>
      </c>
      <c r="L29" s="2">
        <v>2209</v>
      </c>
      <c r="M29" s="3">
        <v>0</v>
      </c>
      <c r="N29" s="3">
        <f t="shared" si="0"/>
        <v>4678</v>
      </c>
      <c r="O29" s="3">
        <v>1050</v>
      </c>
      <c r="P29" s="3">
        <v>3192</v>
      </c>
      <c r="Q29" s="5">
        <f t="shared" si="1"/>
        <v>436</v>
      </c>
    </row>
    <row r="30" spans="1:17" ht="18.75" customHeight="1">
      <c r="A30" s="4" t="s">
        <v>22</v>
      </c>
      <c r="B30" s="10">
        <v>44225</v>
      </c>
      <c r="C30" s="2">
        <v>1500</v>
      </c>
      <c r="D30" s="2">
        <v>624</v>
      </c>
      <c r="E30" s="2">
        <v>0</v>
      </c>
      <c r="F30" s="2">
        <v>0</v>
      </c>
      <c r="G30" s="2">
        <v>0</v>
      </c>
      <c r="H30" s="2">
        <v>0</v>
      </c>
      <c r="I30" s="2">
        <v>0</v>
      </c>
      <c r="J30" s="2">
        <v>0</v>
      </c>
      <c r="K30" s="2">
        <v>330</v>
      </c>
      <c r="L30" s="2">
        <v>2948</v>
      </c>
      <c r="M30" s="3">
        <v>0</v>
      </c>
      <c r="N30" s="3">
        <f t="shared" si="0"/>
        <v>5402</v>
      </c>
      <c r="O30" s="3">
        <v>1230</v>
      </c>
      <c r="P30" s="3">
        <v>3290</v>
      </c>
      <c r="Q30" s="5">
        <f t="shared" si="1"/>
        <v>882</v>
      </c>
    </row>
    <row r="31" spans="1:17" ht="18.75" customHeight="1">
      <c r="A31" s="4" t="s">
        <v>23</v>
      </c>
      <c r="B31" s="10">
        <v>44226</v>
      </c>
      <c r="C31" s="2">
        <v>1555</v>
      </c>
      <c r="D31" s="2">
        <v>1100</v>
      </c>
      <c r="E31" s="2">
        <v>0</v>
      </c>
      <c r="F31" s="2">
        <v>0</v>
      </c>
      <c r="G31" s="2">
        <v>0</v>
      </c>
      <c r="H31" s="2">
        <v>0</v>
      </c>
      <c r="I31" s="2">
        <v>0</v>
      </c>
      <c r="J31" s="2">
        <v>0</v>
      </c>
      <c r="K31" s="2">
        <v>336</v>
      </c>
      <c r="L31" s="2">
        <v>4040</v>
      </c>
      <c r="M31" s="3">
        <v>0</v>
      </c>
      <c r="N31" s="3">
        <f t="shared" si="0"/>
        <v>7031</v>
      </c>
      <c r="O31" s="3">
        <v>1280</v>
      </c>
      <c r="P31" s="3">
        <v>2272.5</v>
      </c>
      <c r="Q31" s="5">
        <f t="shared" si="1"/>
        <v>3478.5</v>
      </c>
    </row>
    <row r="32" spans="1:17" ht="18.75" customHeight="1">
      <c r="A32" s="4" t="s">
        <v>17</v>
      </c>
      <c r="B32" s="10">
        <v>44227</v>
      </c>
      <c r="C32" s="2">
        <v>1547</v>
      </c>
      <c r="D32" s="2">
        <v>748</v>
      </c>
      <c r="E32" s="2">
        <v>0</v>
      </c>
      <c r="F32" s="2">
        <v>0</v>
      </c>
      <c r="G32" s="2">
        <v>0</v>
      </c>
      <c r="H32" s="2">
        <v>0</v>
      </c>
      <c r="I32" s="2">
        <v>0</v>
      </c>
      <c r="J32" s="2">
        <v>0</v>
      </c>
      <c r="K32" s="2">
        <v>438</v>
      </c>
      <c r="L32" s="2">
        <v>6740</v>
      </c>
      <c r="M32" s="3">
        <v>0</v>
      </c>
      <c r="N32" s="3">
        <f t="shared" si="0"/>
        <v>9473</v>
      </c>
      <c r="O32" s="3">
        <v>1795</v>
      </c>
      <c r="P32" s="3">
        <v>2647</v>
      </c>
      <c r="Q32" s="5">
        <f t="shared" si="1"/>
        <v>5031</v>
      </c>
    </row>
    <row r="33" spans="1:17" ht="18.75" customHeight="1">
      <c r="A33" s="6" t="s">
        <v>18</v>
      </c>
      <c r="B33" s="10">
        <v>44228</v>
      </c>
      <c r="C33" s="2">
        <v>1395</v>
      </c>
      <c r="D33" s="2">
        <v>788</v>
      </c>
      <c r="E33" s="2">
        <v>0</v>
      </c>
      <c r="F33" s="2">
        <v>0</v>
      </c>
      <c r="G33" s="2">
        <v>0</v>
      </c>
      <c r="H33" s="2">
        <v>0</v>
      </c>
      <c r="I33" s="2">
        <v>0</v>
      </c>
      <c r="J33" s="2">
        <v>0</v>
      </c>
      <c r="K33" s="2">
        <v>430</v>
      </c>
      <c r="L33" s="2">
        <v>3212</v>
      </c>
      <c r="M33" s="3">
        <v>0</v>
      </c>
      <c r="N33" s="3">
        <f t="shared" ref="N33:N64" si="2">SUM(C33:L33)</f>
        <v>5825</v>
      </c>
      <c r="O33" s="3">
        <v>1450</v>
      </c>
      <c r="P33" s="3">
        <v>4091</v>
      </c>
      <c r="Q33" s="18">
        <f t="shared" ref="Q33:Q60" si="3">N33-P33-O33</f>
        <v>284</v>
      </c>
    </row>
    <row r="34" spans="1:17" ht="18.75" customHeight="1">
      <c r="A34" s="6" t="s">
        <v>19</v>
      </c>
      <c r="B34" s="10">
        <v>44229</v>
      </c>
      <c r="C34" s="3">
        <v>1957</v>
      </c>
      <c r="D34" s="3">
        <v>575</v>
      </c>
      <c r="E34" s="2">
        <v>0</v>
      </c>
      <c r="F34" s="2">
        <v>0</v>
      </c>
      <c r="G34" s="2">
        <v>0</v>
      </c>
      <c r="H34" s="2">
        <v>0</v>
      </c>
      <c r="I34" s="2">
        <v>0</v>
      </c>
      <c r="J34" s="2">
        <v>0</v>
      </c>
      <c r="K34" s="3">
        <v>403</v>
      </c>
      <c r="L34" s="3">
        <v>3377</v>
      </c>
      <c r="M34" s="3">
        <v>0</v>
      </c>
      <c r="N34" s="3">
        <f t="shared" si="2"/>
        <v>6312</v>
      </c>
      <c r="O34" s="3">
        <v>1160</v>
      </c>
      <c r="P34" s="3">
        <v>2177.5</v>
      </c>
      <c r="Q34" s="18">
        <f t="shared" si="3"/>
        <v>2974.5</v>
      </c>
    </row>
    <row r="35" spans="1:17" ht="18.75" customHeight="1">
      <c r="A35" s="6" t="s">
        <v>20</v>
      </c>
      <c r="B35" s="10">
        <v>44230</v>
      </c>
      <c r="C35" s="3">
        <v>1030</v>
      </c>
      <c r="D35" s="3">
        <v>1001</v>
      </c>
      <c r="E35" s="2">
        <v>0</v>
      </c>
      <c r="F35" s="2">
        <v>0</v>
      </c>
      <c r="G35" s="2">
        <v>0</v>
      </c>
      <c r="H35" s="2">
        <v>0</v>
      </c>
      <c r="I35" s="2">
        <v>0</v>
      </c>
      <c r="J35" s="2">
        <v>0</v>
      </c>
      <c r="K35" s="3">
        <v>400</v>
      </c>
      <c r="L35" s="3">
        <v>3634</v>
      </c>
      <c r="M35" s="3">
        <v>0</v>
      </c>
      <c r="N35" s="3">
        <f t="shared" si="2"/>
        <v>6065</v>
      </c>
      <c r="O35" s="3">
        <v>1230</v>
      </c>
      <c r="P35" s="3">
        <v>1703.33</v>
      </c>
      <c r="Q35" s="18">
        <f t="shared" si="3"/>
        <v>3131.67</v>
      </c>
    </row>
    <row r="36" spans="1:17" ht="18.75" customHeight="1">
      <c r="A36" s="6" t="s">
        <v>21</v>
      </c>
      <c r="B36" s="10">
        <v>44231</v>
      </c>
      <c r="C36" s="3">
        <v>2091</v>
      </c>
      <c r="D36" s="3">
        <v>435</v>
      </c>
      <c r="E36" s="2">
        <v>0</v>
      </c>
      <c r="F36" s="2">
        <v>0</v>
      </c>
      <c r="G36" s="2">
        <v>0</v>
      </c>
      <c r="H36" s="2">
        <v>0</v>
      </c>
      <c r="I36" s="2">
        <v>0</v>
      </c>
      <c r="J36" s="2">
        <v>0</v>
      </c>
      <c r="K36" s="3">
        <v>396</v>
      </c>
      <c r="L36" s="3">
        <v>1898</v>
      </c>
      <c r="M36" s="3">
        <v>0</v>
      </c>
      <c r="N36" s="3">
        <f t="shared" si="2"/>
        <v>4820</v>
      </c>
      <c r="O36" s="3">
        <v>1460</v>
      </c>
      <c r="P36" s="3">
        <v>2705</v>
      </c>
      <c r="Q36" s="18">
        <f t="shared" si="3"/>
        <v>655</v>
      </c>
    </row>
    <row r="37" spans="1:17" ht="18.75" customHeight="1">
      <c r="A37" s="6" t="s">
        <v>22</v>
      </c>
      <c r="B37" s="10">
        <v>44232</v>
      </c>
      <c r="C37" s="3">
        <v>2747.5</v>
      </c>
      <c r="D37" s="3">
        <v>543</v>
      </c>
      <c r="E37" s="2">
        <v>0</v>
      </c>
      <c r="F37" s="2">
        <v>0</v>
      </c>
      <c r="G37" s="2">
        <v>0</v>
      </c>
      <c r="H37" s="2">
        <v>0</v>
      </c>
      <c r="I37" s="2">
        <v>0</v>
      </c>
      <c r="J37" s="2">
        <v>0</v>
      </c>
      <c r="K37" s="3">
        <v>250</v>
      </c>
      <c r="L37" s="3">
        <v>4361</v>
      </c>
      <c r="M37" s="3">
        <v>0</v>
      </c>
      <c r="N37" s="3">
        <f t="shared" si="2"/>
        <v>7901.5</v>
      </c>
      <c r="O37" s="3">
        <v>1060</v>
      </c>
      <c r="P37" s="3">
        <v>2866.5</v>
      </c>
      <c r="Q37" s="18">
        <f t="shared" si="3"/>
        <v>3975</v>
      </c>
    </row>
    <row r="38" spans="1:17" ht="18.75" customHeight="1">
      <c r="A38" s="6" t="s">
        <v>23</v>
      </c>
      <c r="B38" s="10">
        <v>44233</v>
      </c>
      <c r="C38" s="3">
        <v>2322</v>
      </c>
      <c r="D38" s="3">
        <v>800</v>
      </c>
      <c r="E38" s="2">
        <v>0</v>
      </c>
      <c r="F38" s="2">
        <v>0</v>
      </c>
      <c r="G38" s="2">
        <v>0</v>
      </c>
      <c r="H38" s="2">
        <v>0</v>
      </c>
      <c r="I38" s="2">
        <v>0</v>
      </c>
      <c r="J38" s="2">
        <v>0</v>
      </c>
      <c r="K38" s="3">
        <v>501</v>
      </c>
      <c r="L38" s="3">
        <v>3379</v>
      </c>
      <c r="M38" s="3">
        <v>0</v>
      </c>
      <c r="N38" s="3">
        <f t="shared" si="2"/>
        <v>7002</v>
      </c>
      <c r="O38" s="3">
        <v>1490</v>
      </c>
      <c r="P38" s="3">
        <v>5222.55</v>
      </c>
      <c r="Q38" s="18">
        <f t="shared" si="3"/>
        <v>289.44999999999982</v>
      </c>
    </row>
    <row r="39" spans="1:17" ht="18.75" customHeight="1">
      <c r="A39" s="6" t="s">
        <v>17</v>
      </c>
      <c r="B39" s="10">
        <v>44234</v>
      </c>
      <c r="C39" s="3">
        <v>1500</v>
      </c>
      <c r="D39" s="3">
        <v>610</v>
      </c>
      <c r="E39" s="2">
        <v>0</v>
      </c>
      <c r="F39" s="2">
        <v>0</v>
      </c>
      <c r="G39" s="2">
        <v>0</v>
      </c>
      <c r="H39" s="2">
        <v>0</v>
      </c>
      <c r="I39" s="2">
        <v>0</v>
      </c>
      <c r="J39" s="2">
        <v>0</v>
      </c>
      <c r="K39" s="3">
        <v>346</v>
      </c>
      <c r="L39" s="3">
        <v>4315</v>
      </c>
      <c r="M39" s="3">
        <v>0</v>
      </c>
      <c r="N39" s="3">
        <f t="shared" si="2"/>
        <v>6771</v>
      </c>
      <c r="O39" s="3">
        <v>1530</v>
      </c>
      <c r="P39" s="3">
        <v>930.56</v>
      </c>
      <c r="Q39" s="18">
        <f t="shared" si="3"/>
        <v>4310.4400000000005</v>
      </c>
    </row>
    <row r="40" spans="1:17" ht="18.75" customHeight="1">
      <c r="A40" s="6" t="s">
        <v>18</v>
      </c>
      <c r="B40" s="10">
        <v>44235</v>
      </c>
      <c r="C40" s="3">
        <v>390</v>
      </c>
      <c r="D40" s="3">
        <v>1776</v>
      </c>
      <c r="E40" s="2">
        <v>0</v>
      </c>
      <c r="F40" s="2">
        <v>0</v>
      </c>
      <c r="G40" s="2">
        <v>0</v>
      </c>
      <c r="H40" s="2">
        <v>0</v>
      </c>
      <c r="I40" s="2">
        <v>0</v>
      </c>
      <c r="J40" s="2">
        <v>0</v>
      </c>
      <c r="K40" s="3">
        <v>390</v>
      </c>
      <c r="L40" s="3">
        <v>2712</v>
      </c>
      <c r="M40" s="3">
        <v>0</v>
      </c>
      <c r="N40" s="3">
        <f t="shared" si="2"/>
        <v>5268</v>
      </c>
      <c r="O40" s="3">
        <v>1956</v>
      </c>
      <c r="P40" s="3">
        <v>2066</v>
      </c>
      <c r="Q40" s="18">
        <f t="shared" si="3"/>
        <v>1246</v>
      </c>
    </row>
    <row r="41" spans="1:17" ht="18.75" customHeight="1">
      <c r="A41" s="6" t="s">
        <v>19</v>
      </c>
      <c r="B41" s="10">
        <v>44236</v>
      </c>
      <c r="C41" s="3">
        <v>1531</v>
      </c>
      <c r="D41" s="3">
        <v>726</v>
      </c>
      <c r="E41" s="2">
        <v>0</v>
      </c>
      <c r="F41" s="2">
        <v>0</v>
      </c>
      <c r="G41" s="2">
        <v>0</v>
      </c>
      <c r="H41" s="2">
        <v>0</v>
      </c>
      <c r="I41" s="2">
        <v>0</v>
      </c>
      <c r="J41" s="2">
        <v>0</v>
      </c>
      <c r="K41" s="3">
        <v>420</v>
      </c>
      <c r="L41" s="3">
        <v>3123</v>
      </c>
      <c r="M41" s="3">
        <v>0</v>
      </c>
      <c r="N41" s="3">
        <f t="shared" si="2"/>
        <v>5800</v>
      </c>
      <c r="O41" s="3">
        <v>1330</v>
      </c>
      <c r="P41" s="3">
        <v>2426</v>
      </c>
      <c r="Q41" s="18">
        <f t="shared" si="3"/>
        <v>2044</v>
      </c>
    </row>
    <row r="42" spans="1:17" ht="18.75" customHeight="1">
      <c r="A42" s="6" t="s">
        <v>20</v>
      </c>
      <c r="B42" s="10">
        <v>44237</v>
      </c>
      <c r="C42" s="3">
        <v>1880</v>
      </c>
      <c r="D42" s="3">
        <v>368</v>
      </c>
      <c r="E42" s="2">
        <v>0</v>
      </c>
      <c r="F42" s="2">
        <v>0</v>
      </c>
      <c r="G42" s="2">
        <v>0</v>
      </c>
      <c r="H42" s="2">
        <v>0</v>
      </c>
      <c r="I42" s="2">
        <v>0</v>
      </c>
      <c r="J42" s="2">
        <v>0</v>
      </c>
      <c r="K42" s="3">
        <v>210</v>
      </c>
      <c r="L42" s="3">
        <v>2582</v>
      </c>
      <c r="M42" s="3">
        <v>0</v>
      </c>
      <c r="N42" s="3">
        <f t="shared" si="2"/>
        <v>5040</v>
      </c>
      <c r="O42" s="3">
        <v>1270</v>
      </c>
      <c r="P42" s="3">
        <v>1669</v>
      </c>
      <c r="Q42" s="18">
        <f t="shared" si="3"/>
        <v>2101</v>
      </c>
    </row>
    <row r="43" spans="1:17" ht="18.75" customHeight="1">
      <c r="A43" s="6" t="s">
        <v>21</v>
      </c>
      <c r="B43" s="10">
        <v>44238</v>
      </c>
      <c r="C43" s="3">
        <v>2072</v>
      </c>
      <c r="D43" s="3">
        <v>506</v>
      </c>
      <c r="E43" s="2">
        <v>0</v>
      </c>
      <c r="F43" s="2">
        <v>0</v>
      </c>
      <c r="G43" s="2">
        <v>0</v>
      </c>
      <c r="H43" s="2">
        <v>0</v>
      </c>
      <c r="I43" s="2">
        <v>0</v>
      </c>
      <c r="J43" s="2">
        <v>0</v>
      </c>
      <c r="K43" s="3">
        <v>336</v>
      </c>
      <c r="L43" s="3">
        <v>2690</v>
      </c>
      <c r="M43" s="3">
        <v>0</v>
      </c>
      <c r="N43" s="3">
        <f t="shared" si="2"/>
        <v>5604</v>
      </c>
      <c r="O43" s="3">
        <v>950</v>
      </c>
      <c r="P43" s="3">
        <v>2641</v>
      </c>
      <c r="Q43" s="18">
        <f t="shared" si="3"/>
        <v>2013</v>
      </c>
    </row>
    <row r="44" spans="1:17" ht="18.75" customHeight="1">
      <c r="A44" s="6" t="s">
        <v>22</v>
      </c>
      <c r="B44" s="10">
        <v>44239</v>
      </c>
      <c r="C44" s="3">
        <v>3055</v>
      </c>
      <c r="D44" s="3">
        <v>1330</v>
      </c>
      <c r="E44" s="2">
        <v>0</v>
      </c>
      <c r="F44" s="2">
        <v>0</v>
      </c>
      <c r="G44" s="2">
        <v>0</v>
      </c>
      <c r="H44" s="2">
        <v>0</v>
      </c>
      <c r="I44" s="2">
        <v>0</v>
      </c>
      <c r="J44" s="2">
        <v>0</v>
      </c>
      <c r="K44" s="3">
        <v>330</v>
      </c>
      <c r="L44" s="3">
        <v>3181</v>
      </c>
      <c r="M44" s="3">
        <v>0</v>
      </c>
      <c r="N44" s="3">
        <f t="shared" si="2"/>
        <v>7896</v>
      </c>
      <c r="O44" s="3">
        <v>1300</v>
      </c>
      <c r="P44" s="3">
        <v>3943</v>
      </c>
      <c r="Q44" s="18">
        <f t="shared" si="3"/>
        <v>2653</v>
      </c>
    </row>
    <row r="45" spans="1:17" ht="18.75" customHeight="1">
      <c r="A45" s="6" t="s">
        <v>23</v>
      </c>
      <c r="B45" s="10">
        <v>44240</v>
      </c>
      <c r="C45" s="3">
        <v>1780</v>
      </c>
      <c r="D45" s="3">
        <v>394</v>
      </c>
      <c r="E45" s="2">
        <v>0</v>
      </c>
      <c r="F45" s="2">
        <v>0</v>
      </c>
      <c r="G45" s="2">
        <v>0</v>
      </c>
      <c r="H45" s="2">
        <v>0</v>
      </c>
      <c r="I45" s="2">
        <v>0</v>
      </c>
      <c r="J45" s="2">
        <v>0</v>
      </c>
      <c r="K45" s="3">
        <v>470</v>
      </c>
      <c r="L45" s="3">
        <v>5741</v>
      </c>
      <c r="M45" s="3">
        <v>0</v>
      </c>
      <c r="N45" s="3">
        <f t="shared" si="2"/>
        <v>8385</v>
      </c>
      <c r="O45" s="3">
        <v>1310</v>
      </c>
      <c r="P45" s="3">
        <v>3443.21</v>
      </c>
      <c r="Q45" s="18">
        <f t="shared" si="3"/>
        <v>3631.79</v>
      </c>
    </row>
    <row r="46" spans="1:17" ht="18.75" customHeight="1">
      <c r="A46" s="6" t="s">
        <v>17</v>
      </c>
      <c r="B46" s="10">
        <v>44241</v>
      </c>
      <c r="C46" s="3">
        <v>1355</v>
      </c>
      <c r="D46" s="3">
        <v>470</v>
      </c>
      <c r="E46" s="2">
        <v>0</v>
      </c>
      <c r="F46" s="2">
        <v>0</v>
      </c>
      <c r="G46" s="2">
        <v>0</v>
      </c>
      <c r="H46" s="2">
        <v>0</v>
      </c>
      <c r="I46" s="2">
        <v>0</v>
      </c>
      <c r="J46" s="2">
        <v>0</v>
      </c>
      <c r="K46" s="3">
        <v>200</v>
      </c>
      <c r="L46" s="3">
        <v>3071</v>
      </c>
      <c r="M46" s="3">
        <v>0</v>
      </c>
      <c r="N46" s="3">
        <f t="shared" si="2"/>
        <v>5096</v>
      </c>
      <c r="O46" s="3">
        <v>1260</v>
      </c>
      <c r="P46" s="3">
        <v>1711</v>
      </c>
      <c r="Q46" s="18">
        <f t="shared" si="3"/>
        <v>2125</v>
      </c>
    </row>
    <row r="47" spans="1:17" ht="18.75" customHeight="1">
      <c r="A47" s="6" t="s">
        <v>18</v>
      </c>
      <c r="B47" s="10">
        <v>44242</v>
      </c>
      <c r="C47" s="3">
        <v>1775</v>
      </c>
      <c r="D47" s="3">
        <v>652</v>
      </c>
      <c r="E47" s="2">
        <v>0</v>
      </c>
      <c r="F47" s="2">
        <v>0</v>
      </c>
      <c r="G47" s="2">
        <v>0</v>
      </c>
      <c r="H47" s="2">
        <v>0</v>
      </c>
      <c r="I47" s="2">
        <v>0</v>
      </c>
      <c r="J47" s="2">
        <v>0</v>
      </c>
      <c r="K47" s="3">
        <v>0</v>
      </c>
      <c r="L47" s="3">
        <v>1693</v>
      </c>
      <c r="M47" s="3">
        <v>0</v>
      </c>
      <c r="N47" s="3">
        <f t="shared" si="2"/>
        <v>4120</v>
      </c>
      <c r="O47" s="3">
        <v>1050</v>
      </c>
      <c r="P47" s="3">
        <v>2930</v>
      </c>
      <c r="Q47" s="18">
        <f t="shared" si="3"/>
        <v>140</v>
      </c>
    </row>
    <row r="48" spans="1:17" ht="18.75" customHeight="1">
      <c r="A48" s="6" t="s">
        <v>19</v>
      </c>
      <c r="B48" s="10">
        <v>44243</v>
      </c>
      <c r="C48" s="3">
        <v>2068</v>
      </c>
      <c r="D48" s="3">
        <v>670</v>
      </c>
      <c r="E48" s="2">
        <v>0</v>
      </c>
      <c r="F48" s="2">
        <v>0</v>
      </c>
      <c r="G48" s="2">
        <v>0</v>
      </c>
      <c r="H48" s="2">
        <v>0</v>
      </c>
      <c r="I48" s="2">
        <v>0</v>
      </c>
      <c r="J48" s="2">
        <v>0</v>
      </c>
      <c r="K48" s="3">
        <v>461</v>
      </c>
      <c r="L48" s="3">
        <v>3853</v>
      </c>
      <c r="M48" s="3">
        <v>0</v>
      </c>
      <c r="N48" s="3">
        <f t="shared" si="2"/>
        <v>7052</v>
      </c>
      <c r="O48" s="3">
        <v>1240</v>
      </c>
      <c r="P48" s="3">
        <v>3523</v>
      </c>
      <c r="Q48" s="18">
        <f t="shared" si="3"/>
        <v>2289</v>
      </c>
    </row>
    <row r="49" spans="1:17" ht="18.75" customHeight="1">
      <c r="A49" s="6" t="s">
        <v>20</v>
      </c>
      <c r="B49" s="10">
        <v>44244</v>
      </c>
      <c r="C49" s="3">
        <v>1718</v>
      </c>
      <c r="D49" s="3">
        <v>314</v>
      </c>
      <c r="E49" s="2">
        <v>0</v>
      </c>
      <c r="F49" s="2">
        <v>0</v>
      </c>
      <c r="G49" s="2">
        <v>0</v>
      </c>
      <c r="H49" s="2">
        <v>0</v>
      </c>
      <c r="I49" s="2">
        <v>0</v>
      </c>
      <c r="J49" s="2">
        <v>0</v>
      </c>
      <c r="K49" s="3">
        <v>287</v>
      </c>
      <c r="L49" s="3">
        <v>3317</v>
      </c>
      <c r="M49" s="3">
        <v>0</v>
      </c>
      <c r="N49" s="3">
        <f t="shared" si="2"/>
        <v>5636</v>
      </c>
      <c r="O49" s="3">
        <v>1250</v>
      </c>
      <c r="P49" s="3">
        <v>1638</v>
      </c>
      <c r="Q49" s="18">
        <f t="shared" si="3"/>
        <v>2748</v>
      </c>
    </row>
    <row r="50" spans="1:17" ht="18.75" customHeight="1">
      <c r="A50" s="6" t="s">
        <v>21</v>
      </c>
      <c r="B50" s="10">
        <v>44245</v>
      </c>
      <c r="C50" s="3">
        <v>3029</v>
      </c>
      <c r="D50" s="3">
        <v>890</v>
      </c>
      <c r="E50" s="2">
        <v>0</v>
      </c>
      <c r="F50" s="2">
        <v>0</v>
      </c>
      <c r="G50" s="2">
        <v>0</v>
      </c>
      <c r="H50" s="2">
        <v>0</v>
      </c>
      <c r="I50" s="2">
        <v>0</v>
      </c>
      <c r="J50" s="2">
        <v>0</v>
      </c>
      <c r="K50" s="3">
        <v>305</v>
      </c>
      <c r="L50" s="3">
        <v>1834</v>
      </c>
      <c r="M50" s="3">
        <v>0</v>
      </c>
      <c r="N50" s="3">
        <f t="shared" si="2"/>
        <v>6058</v>
      </c>
      <c r="O50" s="3">
        <v>1410</v>
      </c>
      <c r="P50" s="3">
        <v>2693</v>
      </c>
      <c r="Q50" s="18">
        <f t="shared" si="3"/>
        <v>1955</v>
      </c>
    </row>
    <row r="51" spans="1:17" ht="18.75" customHeight="1">
      <c r="A51" s="6" t="s">
        <v>22</v>
      </c>
      <c r="B51" s="10">
        <v>44246</v>
      </c>
      <c r="C51" s="3">
        <v>1628</v>
      </c>
      <c r="D51" s="3">
        <v>1601</v>
      </c>
      <c r="E51" s="2">
        <v>0</v>
      </c>
      <c r="F51" s="2">
        <v>0</v>
      </c>
      <c r="G51" s="2">
        <v>0</v>
      </c>
      <c r="H51" s="2">
        <v>0</v>
      </c>
      <c r="I51" s="2">
        <v>0</v>
      </c>
      <c r="J51" s="2">
        <v>0</v>
      </c>
      <c r="K51" s="3">
        <v>500</v>
      </c>
      <c r="L51" s="3">
        <v>2915</v>
      </c>
      <c r="M51" s="3">
        <v>0</v>
      </c>
      <c r="N51" s="3">
        <f t="shared" si="2"/>
        <v>6644</v>
      </c>
      <c r="O51" s="3">
        <v>1200</v>
      </c>
      <c r="P51" s="3">
        <v>3359</v>
      </c>
      <c r="Q51" s="18">
        <f t="shared" si="3"/>
        <v>2085</v>
      </c>
    </row>
    <row r="52" spans="1:17" ht="18.75" customHeight="1">
      <c r="A52" s="6" t="s">
        <v>23</v>
      </c>
      <c r="B52" s="10">
        <v>44247</v>
      </c>
      <c r="C52" s="3">
        <v>2103</v>
      </c>
      <c r="D52" s="3">
        <v>638</v>
      </c>
      <c r="E52" s="2">
        <v>0</v>
      </c>
      <c r="F52" s="2">
        <v>0</v>
      </c>
      <c r="G52" s="2">
        <v>0</v>
      </c>
      <c r="H52" s="2">
        <v>0</v>
      </c>
      <c r="I52" s="2">
        <v>0</v>
      </c>
      <c r="J52" s="2">
        <v>0</v>
      </c>
      <c r="K52" s="3">
        <v>0</v>
      </c>
      <c r="L52" s="3">
        <v>3861</v>
      </c>
      <c r="M52" s="3">
        <v>0</v>
      </c>
      <c r="N52" s="3">
        <f t="shared" si="2"/>
        <v>6602</v>
      </c>
      <c r="O52" s="3">
        <v>1410</v>
      </c>
      <c r="P52" s="3">
        <v>1622</v>
      </c>
      <c r="Q52" s="18">
        <f t="shared" si="3"/>
        <v>3570</v>
      </c>
    </row>
    <row r="53" spans="1:17" ht="18.75" customHeight="1">
      <c r="A53" s="6" t="s">
        <v>17</v>
      </c>
      <c r="B53" s="10">
        <v>44248</v>
      </c>
      <c r="C53" s="3">
        <v>1321</v>
      </c>
      <c r="D53" s="3">
        <v>227</v>
      </c>
      <c r="E53" s="2">
        <v>0</v>
      </c>
      <c r="F53" s="2">
        <v>0</v>
      </c>
      <c r="G53" s="2">
        <v>0</v>
      </c>
      <c r="H53" s="2">
        <v>0</v>
      </c>
      <c r="I53" s="2">
        <v>0</v>
      </c>
      <c r="J53" s="2">
        <v>0</v>
      </c>
      <c r="K53" s="3">
        <v>226</v>
      </c>
      <c r="L53" s="3">
        <v>3543</v>
      </c>
      <c r="M53" s="3">
        <v>0</v>
      </c>
      <c r="N53" s="3">
        <f t="shared" si="2"/>
        <v>5317</v>
      </c>
      <c r="O53" s="3">
        <v>1370</v>
      </c>
      <c r="P53" s="3">
        <v>2895</v>
      </c>
      <c r="Q53" s="18">
        <f t="shared" si="3"/>
        <v>1052</v>
      </c>
    </row>
    <row r="54" spans="1:17" ht="18.75" customHeight="1">
      <c r="A54" s="6" t="s">
        <v>18</v>
      </c>
      <c r="B54" s="10">
        <v>44249</v>
      </c>
      <c r="C54" s="3">
        <v>1948</v>
      </c>
      <c r="D54" s="3">
        <v>510</v>
      </c>
      <c r="E54" s="2">
        <v>0</v>
      </c>
      <c r="F54" s="2">
        <v>0</v>
      </c>
      <c r="G54" s="2">
        <v>0</v>
      </c>
      <c r="H54" s="2">
        <v>0</v>
      </c>
      <c r="I54" s="2">
        <v>0</v>
      </c>
      <c r="J54" s="2">
        <v>0</v>
      </c>
      <c r="K54" s="3">
        <v>350</v>
      </c>
      <c r="L54" s="3">
        <v>1851</v>
      </c>
      <c r="M54" s="3">
        <v>0</v>
      </c>
      <c r="N54" s="3">
        <f t="shared" si="2"/>
        <v>4659</v>
      </c>
      <c r="O54" s="3">
        <v>1225</v>
      </c>
      <c r="P54" s="3">
        <v>4187.5</v>
      </c>
      <c r="Q54" s="18">
        <f t="shared" si="3"/>
        <v>-753.5</v>
      </c>
    </row>
    <row r="55" spans="1:17" ht="18.75" customHeight="1">
      <c r="A55" s="6" t="s">
        <v>19</v>
      </c>
      <c r="B55" s="10">
        <v>44250</v>
      </c>
      <c r="C55" s="3">
        <v>1830</v>
      </c>
      <c r="D55" s="3">
        <v>307</v>
      </c>
      <c r="E55" s="2">
        <v>0</v>
      </c>
      <c r="F55" s="2">
        <v>0</v>
      </c>
      <c r="G55" s="2">
        <v>0</v>
      </c>
      <c r="H55" s="2">
        <v>0</v>
      </c>
      <c r="I55" s="2">
        <v>0</v>
      </c>
      <c r="J55" s="2">
        <v>0</v>
      </c>
      <c r="K55" s="3">
        <v>500</v>
      </c>
      <c r="L55" s="3">
        <v>3477</v>
      </c>
      <c r="M55" s="3">
        <v>0</v>
      </c>
      <c r="N55" s="3">
        <f t="shared" si="2"/>
        <v>6114</v>
      </c>
      <c r="O55" s="3">
        <v>1220</v>
      </c>
      <c r="P55" s="3">
        <v>2545.5</v>
      </c>
      <c r="Q55" s="18">
        <f t="shared" si="3"/>
        <v>2348.5</v>
      </c>
    </row>
    <row r="56" spans="1:17" ht="18.75" customHeight="1">
      <c r="A56" s="6" t="s">
        <v>20</v>
      </c>
      <c r="B56" s="10">
        <v>44251</v>
      </c>
      <c r="C56" s="3">
        <v>2087</v>
      </c>
      <c r="D56" s="3">
        <v>573</v>
      </c>
      <c r="E56" s="2">
        <v>0</v>
      </c>
      <c r="F56" s="2">
        <v>0</v>
      </c>
      <c r="G56" s="2">
        <v>0</v>
      </c>
      <c r="H56" s="2">
        <v>0</v>
      </c>
      <c r="I56" s="2">
        <v>0</v>
      </c>
      <c r="J56" s="2">
        <v>0</v>
      </c>
      <c r="K56" s="3">
        <v>250</v>
      </c>
      <c r="L56" s="3">
        <v>1892</v>
      </c>
      <c r="M56" s="3">
        <v>0</v>
      </c>
      <c r="N56" s="3">
        <f t="shared" si="2"/>
        <v>4802</v>
      </c>
      <c r="O56" s="3">
        <v>1320</v>
      </c>
      <c r="P56" s="3">
        <v>1290.5</v>
      </c>
      <c r="Q56" s="18">
        <f t="shared" si="3"/>
        <v>2191.5</v>
      </c>
    </row>
    <row r="57" spans="1:17" ht="18.75" customHeight="1">
      <c r="A57" s="6" t="s">
        <v>21</v>
      </c>
      <c r="B57" s="10">
        <v>44252</v>
      </c>
      <c r="C57" s="3">
        <v>1807</v>
      </c>
      <c r="D57" s="3">
        <v>248</v>
      </c>
      <c r="E57" s="2">
        <v>0</v>
      </c>
      <c r="F57" s="2">
        <v>0</v>
      </c>
      <c r="G57" s="2">
        <v>0</v>
      </c>
      <c r="H57" s="2">
        <v>0</v>
      </c>
      <c r="I57" s="2">
        <v>0</v>
      </c>
      <c r="J57" s="2">
        <v>0</v>
      </c>
      <c r="K57" s="3">
        <v>180</v>
      </c>
      <c r="L57" s="3">
        <v>2679</v>
      </c>
      <c r="M57" s="3">
        <v>0</v>
      </c>
      <c r="N57" s="3">
        <f t="shared" si="2"/>
        <v>4914</v>
      </c>
      <c r="O57" s="3">
        <v>1300</v>
      </c>
      <c r="P57" s="3">
        <v>3517</v>
      </c>
      <c r="Q57" s="18">
        <f t="shared" si="3"/>
        <v>97</v>
      </c>
    </row>
    <row r="58" spans="1:17" ht="18.75" customHeight="1">
      <c r="A58" s="6" t="s">
        <v>22</v>
      </c>
      <c r="B58" s="10">
        <v>44253</v>
      </c>
      <c r="C58" s="3">
        <v>2025</v>
      </c>
      <c r="D58" s="3">
        <v>353</v>
      </c>
      <c r="E58" s="2">
        <v>0</v>
      </c>
      <c r="F58" s="2">
        <v>0</v>
      </c>
      <c r="G58" s="2">
        <v>0</v>
      </c>
      <c r="H58" s="2">
        <v>0</v>
      </c>
      <c r="I58" s="2">
        <v>0</v>
      </c>
      <c r="J58" s="2">
        <v>0</v>
      </c>
      <c r="K58" s="3">
        <v>320</v>
      </c>
      <c r="L58" s="3">
        <v>4000</v>
      </c>
      <c r="M58" s="3">
        <v>0</v>
      </c>
      <c r="N58" s="3">
        <f t="shared" si="2"/>
        <v>6698</v>
      </c>
      <c r="O58" s="3">
        <v>1530</v>
      </c>
      <c r="P58" s="3">
        <v>4955.5</v>
      </c>
      <c r="Q58" s="18">
        <f t="shared" si="3"/>
        <v>212.5</v>
      </c>
    </row>
    <row r="59" spans="1:17" ht="18.75" customHeight="1">
      <c r="A59" s="6" t="s">
        <v>23</v>
      </c>
      <c r="B59" s="10">
        <v>44254</v>
      </c>
      <c r="C59" s="3">
        <v>3380</v>
      </c>
      <c r="D59" s="3">
        <v>460</v>
      </c>
      <c r="E59" s="2">
        <v>0</v>
      </c>
      <c r="F59" s="2">
        <v>0</v>
      </c>
      <c r="G59" s="2">
        <v>0</v>
      </c>
      <c r="H59" s="2">
        <v>0</v>
      </c>
      <c r="I59" s="2">
        <v>0</v>
      </c>
      <c r="J59" s="2">
        <v>0</v>
      </c>
      <c r="K59" s="3">
        <v>280</v>
      </c>
      <c r="L59" s="3">
        <v>4445</v>
      </c>
      <c r="M59" s="3">
        <v>0</v>
      </c>
      <c r="N59" s="3">
        <f t="shared" si="2"/>
        <v>8565</v>
      </c>
      <c r="O59" s="3">
        <v>1340</v>
      </c>
      <c r="P59" s="3">
        <v>3869</v>
      </c>
      <c r="Q59" s="18">
        <f t="shared" si="3"/>
        <v>3356</v>
      </c>
    </row>
    <row r="60" spans="1:17" ht="18.75" customHeight="1">
      <c r="A60" s="6" t="s">
        <v>17</v>
      </c>
      <c r="B60" s="10">
        <v>44255</v>
      </c>
      <c r="C60" s="3">
        <v>1541</v>
      </c>
      <c r="D60" s="3">
        <v>570</v>
      </c>
      <c r="E60" s="2">
        <v>0</v>
      </c>
      <c r="F60" s="2">
        <v>0</v>
      </c>
      <c r="G60" s="2">
        <v>0</v>
      </c>
      <c r="H60" s="2">
        <v>0</v>
      </c>
      <c r="I60" s="2">
        <v>0</v>
      </c>
      <c r="J60" s="2">
        <v>0</v>
      </c>
      <c r="K60" s="3">
        <v>200</v>
      </c>
      <c r="L60" s="3">
        <v>5982</v>
      </c>
      <c r="M60" s="3">
        <v>0</v>
      </c>
      <c r="N60" s="3">
        <f t="shared" si="2"/>
        <v>8293</v>
      </c>
      <c r="O60" s="3">
        <v>1490</v>
      </c>
      <c r="P60" s="3">
        <v>1768.5</v>
      </c>
      <c r="Q60" s="18">
        <f t="shared" si="3"/>
        <v>5034.5</v>
      </c>
    </row>
    <row r="61" spans="1:17" ht="18.75" customHeight="1">
      <c r="A61" s="6" t="s">
        <v>18</v>
      </c>
      <c r="B61" s="10">
        <v>44256</v>
      </c>
      <c r="C61" s="3">
        <v>1937</v>
      </c>
      <c r="D61" s="3">
        <v>206</v>
      </c>
      <c r="E61" s="2">
        <v>0</v>
      </c>
      <c r="F61" s="2">
        <v>0</v>
      </c>
      <c r="G61" s="2">
        <v>0</v>
      </c>
      <c r="H61" s="2">
        <v>0</v>
      </c>
      <c r="I61" s="2">
        <v>0</v>
      </c>
      <c r="J61" s="2">
        <v>0</v>
      </c>
      <c r="K61" s="3">
        <v>418</v>
      </c>
      <c r="L61" s="3">
        <v>2913</v>
      </c>
      <c r="M61" s="3">
        <v>0</v>
      </c>
      <c r="N61" s="3">
        <f t="shared" si="2"/>
        <v>5474</v>
      </c>
      <c r="O61" s="3">
        <v>1340</v>
      </c>
      <c r="P61" s="3">
        <v>3514</v>
      </c>
      <c r="Q61" s="18">
        <f t="shared" ref="Q61:Q124" si="4">N61-O61-P61</f>
        <v>620</v>
      </c>
    </row>
    <row r="62" spans="1:17" ht="18.75" customHeight="1">
      <c r="A62" s="6" t="s">
        <v>19</v>
      </c>
      <c r="B62" s="10">
        <v>44257</v>
      </c>
      <c r="C62" s="3">
        <v>1961</v>
      </c>
      <c r="D62" s="3">
        <v>421</v>
      </c>
      <c r="E62" s="2">
        <v>0</v>
      </c>
      <c r="F62" s="2">
        <v>0</v>
      </c>
      <c r="G62" s="2">
        <v>0</v>
      </c>
      <c r="H62" s="2">
        <v>0</v>
      </c>
      <c r="I62" s="2">
        <v>0</v>
      </c>
      <c r="J62" s="2">
        <v>0</v>
      </c>
      <c r="K62" s="3">
        <v>177</v>
      </c>
      <c r="L62" s="3">
        <v>3148</v>
      </c>
      <c r="M62" s="3">
        <v>0</v>
      </c>
      <c r="N62" s="3">
        <f t="shared" si="2"/>
        <v>5707</v>
      </c>
      <c r="O62" s="3">
        <v>1340</v>
      </c>
      <c r="P62" s="3">
        <v>2620</v>
      </c>
      <c r="Q62" s="18">
        <f t="shared" si="4"/>
        <v>1747</v>
      </c>
    </row>
    <row r="63" spans="1:17" ht="18.75" customHeight="1">
      <c r="A63" s="6" t="s">
        <v>20</v>
      </c>
      <c r="B63" s="10">
        <v>44258</v>
      </c>
      <c r="C63" s="3">
        <v>1571</v>
      </c>
      <c r="D63" s="3">
        <v>200</v>
      </c>
      <c r="E63" s="2">
        <v>0</v>
      </c>
      <c r="F63" s="2">
        <v>0</v>
      </c>
      <c r="G63" s="2">
        <v>0</v>
      </c>
      <c r="H63" s="2">
        <v>0</v>
      </c>
      <c r="I63" s="2">
        <v>0</v>
      </c>
      <c r="J63" s="2">
        <v>0</v>
      </c>
      <c r="K63" s="3">
        <v>420</v>
      </c>
      <c r="L63" s="3">
        <v>3257</v>
      </c>
      <c r="M63" s="3">
        <v>0</v>
      </c>
      <c r="N63" s="3">
        <f t="shared" si="2"/>
        <v>5448</v>
      </c>
      <c r="O63" s="3">
        <v>1340</v>
      </c>
      <c r="P63" s="3">
        <v>1291</v>
      </c>
      <c r="Q63" s="18">
        <f t="shared" si="4"/>
        <v>2817</v>
      </c>
    </row>
    <row r="64" spans="1:17" ht="18.75" customHeight="1">
      <c r="A64" s="6" t="s">
        <v>21</v>
      </c>
      <c r="B64" s="10">
        <v>44259</v>
      </c>
      <c r="C64" s="3">
        <v>1582</v>
      </c>
      <c r="D64" s="3">
        <v>314</v>
      </c>
      <c r="E64" s="2">
        <v>0</v>
      </c>
      <c r="F64" s="2">
        <v>0</v>
      </c>
      <c r="G64" s="2">
        <v>0</v>
      </c>
      <c r="H64" s="2">
        <v>0</v>
      </c>
      <c r="I64" s="2">
        <v>0</v>
      </c>
      <c r="J64" s="2">
        <v>0</v>
      </c>
      <c r="K64" s="3">
        <v>406</v>
      </c>
      <c r="L64" s="3">
        <v>3497</v>
      </c>
      <c r="M64" s="3">
        <v>0</v>
      </c>
      <c r="N64" s="3">
        <f t="shared" si="2"/>
        <v>5799</v>
      </c>
      <c r="O64" s="3">
        <v>1300</v>
      </c>
      <c r="P64" s="3">
        <v>3159.5</v>
      </c>
      <c r="Q64" s="18">
        <f t="shared" si="4"/>
        <v>1339.5</v>
      </c>
    </row>
    <row r="65" spans="1:17" ht="18.75" customHeight="1">
      <c r="A65" s="6" t="s">
        <v>22</v>
      </c>
      <c r="B65" s="10">
        <v>44260</v>
      </c>
      <c r="C65" s="3">
        <v>2074</v>
      </c>
      <c r="D65" s="3">
        <v>306</v>
      </c>
      <c r="E65" s="2">
        <v>0</v>
      </c>
      <c r="F65" s="2">
        <v>0</v>
      </c>
      <c r="G65" s="2">
        <v>0</v>
      </c>
      <c r="H65" s="2">
        <v>0</v>
      </c>
      <c r="I65" s="2">
        <v>0</v>
      </c>
      <c r="J65" s="2">
        <v>0</v>
      </c>
      <c r="K65" s="3">
        <v>270</v>
      </c>
      <c r="L65" s="3">
        <v>4156</v>
      </c>
      <c r="M65" s="3">
        <v>0</v>
      </c>
      <c r="N65" s="3">
        <f t="shared" ref="N65:N86" si="5">SUM(C65:L65)</f>
        <v>6806</v>
      </c>
      <c r="O65" s="3">
        <v>1300</v>
      </c>
      <c r="P65" s="3">
        <v>3418.5</v>
      </c>
      <c r="Q65" s="18">
        <f t="shared" si="4"/>
        <v>2087.5</v>
      </c>
    </row>
    <row r="66" spans="1:17" ht="18.75" customHeight="1">
      <c r="A66" s="6" t="s">
        <v>23</v>
      </c>
      <c r="B66" s="10">
        <v>44261</v>
      </c>
      <c r="C66" s="3">
        <v>2009</v>
      </c>
      <c r="D66" s="3">
        <v>606</v>
      </c>
      <c r="E66" s="2">
        <v>0</v>
      </c>
      <c r="F66" s="2">
        <v>0</v>
      </c>
      <c r="G66" s="2">
        <v>0</v>
      </c>
      <c r="H66" s="2">
        <v>0</v>
      </c>
      <c r="I66" s="2">
        <v>0</v>
      </c>
      <c r="J66" s="2">
        <v>0</v>
      </c>
      <c r="K66" s="3">
        <v>221</v>
      </c>
      <c r="L66" s="3">
        <v>3949</v>
      </c>
      <c r="M66" s="3">
        <v>0</v>
      </c>
      <c r="N66" s="3">
        <f t="shared" si="5"/>
        <v>6785</v>
      </c>
      <c r="O66" s="3">
        <v>1240</v>
      </c>
      <c r="P66" s="3">
        <v>5034.5</v>
      </c>
      <c r="Q66" s="18">
        <f t="shared" si="4"/>
        <v>510.5</v>
      </c>
    </row>
    <row r="67" spans="1:17" ht="18.75" customHeight="1">
      <c r="A67" s="6" t="s">
        <v>17</v>
      </c>
      <c r="B67" s="10">
        <v>44262</v>
      </c>
      <c r="C67" s="3">
        <v>1320</v>
      </c>
      <c r="D67" s="3">
        <v>1030</v>
      </c>
      <c r="E67" s="2">
        <v>0</v>
      </c>
      <c r="F67" s="2">
        <v>0</v>
      </c>
      <c r="G67" s="2">
        <v>0</v>
      </c>
      <c r="H67" s="2">
        <v>0</v>
      </c>
      <c r="I67" s="2">
        <v>0</v>
      </c>
      <c r="J67" s="2">
        <v>0</v>
      </c>
      <c r="K67" s="3">
        <v>310</v>
      </c>
      <c r="L67" s="3">
        <v>4385</v>
      </c>
      <c r="M67" s="3">
        <v>0</v>
      </c>
      <c r="N67" s="3">
        <f t="shared" si="5"/>
        <v>7045</v>
      </c>
      <c r="O67" s="3">
        <v>1250</v>
      </c>
      <c r="P67" s="3">
        <v>2557</v>
      </c>
      <c r="Q67" s="18">
        <f t="shared" si="4"/>
        <v>3238</v>
      </c>
    </row>
    <row r="68" spans="1:17" ht="18.75" customHeight="1">
      <c r="A68" s="6" t="s">
        <v>18</v>
      </c>
      <c r="B68" s="10">
        <v>44263</v>
      </c>
      <c r="C68" s="3">
        <v>1870</v>
      </c>
      <c r="D68" s="3">
        <v>312</v>
      </c>
      <c r="E68" s="2">
        <v>0</v>
      </c>
      <c r="F68" s="2">
        <v>0</v>
      </c>
      <c r="G68" s="2">
        <v>0</v>
      </c>
      <c r="H68" s="2">
        <v>0</v>
      </c>
      <c r="I68" s="2">
        <v>0</v>
      </c>
      <c r="J68" s="2">
        <v>0</v>
      </c>
      <c r="K68" s="3">
        <v>290</v>
      </c>
      <c r="L68" s="3">
        <v>4562</v>
      </c>
      <c r="M68" s="3">
        <v>0</v>
      </c>
      <c r="N68" s="3">
        <f t="shared" si="5"/>
        <v>7034</v>
      </c>
      <c r="O68" s="3">
        <v>1230</v>
      </c>
      <c r="P68" s="3">
        <v>3822</v>
      </c>
      <c r="Q68" s="18">
        <f t="shared" si="4"/>
        <v>1982</v>
      </c>
    </row>
    <row r="69" spans="1:17" ht="18.75" customHeight="1">
      <c r="A69" s="6" t="s">
        <v>19</v>
      </c>
      <c r="B69" s="10">
        <v>44264</v>
      </c>
      <c r="C69" s="3">
        <v>1523</v>
      </c>
      <c r="D69" s="3">
        <v>553</v>
      </c>
      <c r="E69" s="2">
        <v>0</v>
      </c>
      <c r="F69" s="2">
        <v>0</v>
      </c>
      <c r="G69" s="2">
        <v>0</v>
      </c>
      <c r="H69" s="2">
        <v>0</v>
      </c>
      <c r="I69" s="2">
        <v>0</v>
      </c>
      <c r="J69" s="2">
        <v>0</v>
      </c>
      <c r="K69" s="3">
        <v>320</v>
      </c>
      <c r="L69" s="3">
        <v>4195</v>
      </c>
      <c r="M69" s="3">
        <v>0</v>
      </c>
      <c r="N69" s="3">
        <f t="shared" si="5"/>
        <v>6591</v>
      </c>
      <c r="O69" s="3">
        <v>1255</v>
      </c>
      <c r="P69" s="3">
        <v>2654.5</v>
      </c>
      <c r="Q69" s="18">
        <f t="shared" si="4"/>
        <v>2681.5</v>
      </c>
    </row>
    <row r="70" spans="1:17" ht="18.75" customHeight="1">
      <c r="A70" s="6" t="s">
        <v>20</v>
      </c>
      <c r="B70" s="10">
        <v>44265</v>
      </c>
      <c r="C70" s="3">
        <v>1670</v>
      </c>
      <c r="D70" s="3">
        <v>348</v>
      </c>
      <c r="E70" s="2">
        <v>0</v>
      </c>
      <c r="F70" s="2">
        <v>0</v>
      </c>
      <c r="G70" s="2">
        <v>0</v>
      </c>
      <c r="H70" s="2">
        <v>0</v>
      </c>
      <c r="I70" s="2">
        <v>0</v>
      </c>
      <c r="J70" s="2">
        <v>0</v>
      </c>
      <c r="K70" s="3">
        <v>463</v>
      </c>
      <c r="L70" s="3">
        <v>3773</v>
      </c>
      <c r="M70" s="3">
        <v>0</v>
      </c>
      <c r="N70" s="3">
        <f t="shared" si="5"/>
        <v>6254</v>
      </c>
      <c r="O70" s="3">
        <v>1450</v>
      </c>
      <c r="P70" s="3">
        <v>1594</v>
      </c>
      <c r="Q70" s="18">
        <f t="shared" si="4"/>
        <v>3210</v>
      </c>
    </row>
    <row r="71" spans="1:17" ht="18.75" customHeight="1">
      <c r="A71" s="6" t="s">
        <v>21</v>
      </c>
      <c r="B71" s="10">
        <v>44266</v>
      </c>
      <c r="C71" s="3">
        <v>1618</v>
      </c>
      <c r="D71" s="3">
        <v>517</v>
      </c>
      <c r="E71" s="2">
        <v>0</v>
      </c>
      <c r="F71" s="2">
        <v>0</v>
      </c>
      <c r="G71" s="2">
        <v>0</v>
      </c>
      <c r="H71" s="2">
        <v>0</v>
      </c>
      <c r="I71" s="2">
        <v>0</v>
      </c>
      <c r="J71" s="2">
        <v>0</v>
      </c>
      <c r="K71" s="3">
        <v>170</v>
      </c>
      <c r="L71" s="3">
        <v>3686</v>
      </c>
      <c r="M71" s="3">
        <v>0</v>
      </c>
      <c r="N71" s="3">
        <f t="shared" si="5"/>
        <v>5991</v>
      </c>
      <c r="O71" s="3">
        <v>1200</v>
      </c>
      <c r="P71" s="3">
        <v>3783</v>
      </c>
      <c r="Q71" s="18">
        <f t="shared" si="4"/>
        <v>1008</v>
      </c>
    </row>
    <row r="72" spans="1:17" ht="18.75" customHeight="1">
      <c r="A72" s="6" t="s">
        <v>22</v>
      </c>
      <c r="B72" s="10">
        <v>44267</v>
      </c>
      <c r="C72" s="3">
        <v>2581</v>
      </c>
      <c r="D72" s="3">
        <v>458</v>
      </c>
      <c r="E72" s="2">
        <v>0</v>
      </c>
      <c r="F72" s="2">
        <v>0</v>
      </c>
      <c r="G72" s="2">
        <v>0</v>
      </c>
      <c r="H72" s="2">
        <v>0</v>
      </c>
      <c r="I72" s="2">
        <v>0</v>
      </c>
      <c r="J72" s="2">
        <v>0</v>
      </c>
      <c r="K72" s="3">
        <v>210</v>
      </c>
      <c r="L72" s="3">
        <v>2225</v>
      </c>
      <c r="M72" s="3">
        <v>0</v>
      </c>
      <c r="N72" s="3">
        <f t="shared" si="5"/>
        <v>5474</v>
      </c>
      <c r="O72" s="3">
        <v>1330</v>
      </c>
      <c r="P72" s="3">
        <v>3174.5</v>
      </c>
      <c r="Q72" s="18">
        <f t="shared" si="4"/>
        <v>969.5</v>
      </c>
    </row>
    <row r="73" spans="1:17" ht="18.75" customHeight="1">
      <c r="A73" s="6" t="s">
        <v>23</v>
      </c>
      <c r="B73" s="10">
        <v>44268</v>
      </c>
      <c r="C73" s="3">
        <v>2968</v>
      </c>
      <c r="D73" s="3">
        <v>116</v>
      </c>
      <c r="E73" s="2">
        <v>0</v>
      </c>
      <c r="F73" s="2">
        <v>0</v>
      </c>
      <c r="G73" s="2">
        <v>0</v>
      </c>
      <c r="H73" s="2">
        <v>0</v>
      </c>
      <c r="I73" s="2">
        <v>0</v>
      </c>
      <c r="J73" s="2">
        <v>0</v>
      </c>
      <c r="K73" s="3">
        <v>192</v>
      </c>
      <c r="L73" s="3">
        <v>7014</v>
      </c>
      <c r="M73" s="3">
        <v>0</v>
      </c>
      <c r="N73" s="3">
        <f t="shared" si="5"/>
        <v>10290</v>
      </c>
      <c r="O73" s="3">
        <v>1500</v>
      </c>
      <c r="P73" s="3">
        <v>3845</v>
      </c>
      <c r="Q73" s="18">
        <f t="shared" si="4"/>
        <v>4945</v>
      </c>
    </row>
    <row r="74" spans="1:17" ht="18.75" customHeight="1">
      <c r="A74" s="6" t="s">
        <v>17</v>
      </c>
      <c r="B74" s="10">
        <v>44269</v>
      </c>
      <c r="C74" s="3">
        <v>2438</v>
      </c>
      <c r="D74" s="3">
        <v>527</v>
      </c>
      <c r="E74" s="2">
        <v>0</v>
      </c>
      <c r="F74" s="2">
        <v>0</v>
      </c>
      <c r="G74" s="2">
        <v>0</v>
      </c>
      <c r="H74" s="2">
        <v>0</v>
      </c>
      <c r="I74" s="2">
        <v>0</v>
      </c>
      <c r="J74" s="2">
        <v>0</v>
      </c>
      <c r="K74" s="3">
        <v>277</v>
      </c>
      <c r="L74" s="3">
        <v>9732</v>
      </c>
      <c r="M74" s="3">
        <v>0</v>
      </c>
      <c r="N74" s="3">
        <f t="shared" si="5"/>
        <v>12974</v>
      </c>
      <c r="O74" s="3">
        <v>1700</v>
      </c>
      <c r="P74" s="3">
        <v>8402.5</v>
      </c>
      <c r="Q74" s="18">
        <f t="shared" si="4"/>
        <v>2871.5</v>
      </c>
    </row>
    <row r="75" spans="1:17" ht="18.75" customHeight="1">
      <c r="A75" s="6" t="s">
        <v>18</v>
      </c>
      <c r="B75" s="10">
        <v>44270</v>
      </c>
      <c r="C75" s="3">
        <v>2675</v>
      </c>
      <c r="D75" s="3">
        <v>1046</v>
      </c>
      <c r="E75" s="2">
        <v>0</v>
      </c>
      <c r="F75" s="2">
        <v>0</v>
      </c>
      <c r="G75" s="2">
        <v>0</v>
      </c>
      <c r="H75" s="2">
        <v>0</v>
      </c>
      <c r="I75" s="2">
        <v>0</v>
      </c>
      <c r="J75" s="2">
        <v>0</v>
      </c>
      <c r="K75" s="3">
        <v>314</v>
      </c>
      <c r="L75" s="3">
        <v>9166</v>
      </c>
      <c r="M75" s="3">
        <v>0</v>
      </c>
      <c r="N75" s="3">
        <f t="shared" si="5"/>
        <v>13201</v>
      </c>
      <c r="O75" s="3">
        <v>1665</v>
      </c>
      <c r="P75" s="3">
        <v>6659</v>
      </c>
      <c r="Q75" s="18">
        <f t="shared" si="4"/>
        <v>4877</v>
      </c>
    </row>
    <row r="76" spans="1:17" ht="18.75" customHeight="1">
      <c r="A76" s="6" t="s">
        <v>19</v>
      </c>
      <c r="B76" s="10">
        <v>44271</v>
      </c>
      <c r="C76" s="3">
        <v>2202</v>
      </c>
      <c r="D76" s="3">
        <v>585</v>
      </c>
      <c r="E76" s="2">
        <v>0</v>
      </c>
      <c r="F76" s="3">
        <v>296</v>
      </c>
      <c r="G76" s="2">
        <v>0</v>
      </c>
      <c r="H76" s="2">
        <v>0</v>
      </c>
      <c r="I76" s="2">
        <v>0</v>
      </c>
      <c r="J76" s="2">
        <v>0</v>
      </c>
      <c r="K76" s="3">
        <v>200</v>
      </c>
      <c r="L76" s="3">
        <v>5125</v>
      </c>
      <c r="M76" s="3">
        <v>0</v>
      </c>
      <c r="N76" s="3">
        <f t="shared" si="5"/>
        <v>8408</v>
      </c>
      <c r="O76" s="3">
        <v>1640</v>
      </c>
      <c r="P76" s="3">
        <v>8398</v>
      </c>
      <c r="Q76" s="18">
        <f t="shared" si="4"/>
        <v>-1630</v>
      </c>
    </row>
    <row r="77" spans="1:17" ht="18.75" customHeight="1">
      <c r="A77" s="6" t="s">
        <v>20</v>
      </c>
      <c r="B77" s="10">
        <v>44272</v>
      </c>
      <c r="C77" s="3">
        <v>1730</v>
      </c>
      <c r="D77" s="3">
        <v>675</v>
      </c>
      <c r="E77" s="2">
        <v>0</v>
      </c>
      <c r="F77" s="3">
        <v>285</v>
      </c>
      <c r="G77" s="2">
        <v>0</v>
      </c>
      <c r="H77" s="2">
        <v>0</v>
      </c>
      <c r="I77" s="2">
        <v>0</v>
      </c>
      <c r="J77" s="2">
        <v>0</v>
      </c>
      <c r="K77" s="3">
        <v>360</v>
      </c>
      <c r="L77" s="3">
        <v>2835</v>
      </c>
      <c r="M77" s="3">
        <v>0</v>
      </c>
      <c r="N77" s="3">
        <f t="shared" si="5"/>
        <v>5885</v>
      </c>
      <c r="O77" s="3">
        <v>1380</v>
      </c>
      <c r="P77" s="3">
        <v>2364.5</v>
      </c>
      <c r="Q77" s="18">
        <f t="shared" si="4"/>
        <v>2140.5</v>
      </c>
    </row>
    <row r="78" spans="1:17" ht="18.75" customHeight="1">
      <c r="A78" s="6" t="s">
        <v>21</v>
      </c>
      <c r="B78" s="10">
        <v>44273</v>
      </c>
      <c r="C78" s="3">
        <v>1252</v>
      </c>
      <c r="D78" s="3">
        <v>456</v>
      </c>
      <c r="E78" s="2">
        <v>0</v>
      </c>
      <c r="F78" s="3">
        <v>385</v>
      </c>
      <c r="G78" s="2">
        <v>0</v>
      </c>
      <c r="H78" s="2">
        <v>0</v>
      </c>
      <c r="I78" s="2">
        <v>0</v>
      </c>
      <c r="J78" s="2">
        <v>0</v>
      </c>
      <c r="K78" s="3">
        <v>437</v>
      </c>
      <c r="L78" s="3">
        <v>2641</v>
      </c>
      <c r="M78" s="3">
        <v>0</v>
      </c>
      <c r="N78" s="3">
        <f t="shared" si="5"/>
        <v>5171</v>
      </c>
      <c r="O78" s="3">
        <v>1120</v>
      </c>
      <c r="P78" s="3">
        <v>2930</v>
      </c>
      <c r="Q78" s="18">
        <f t="shared" si="4"/>
        <v>1121</v>
      </c>
    </row>
    <row r="79" spans="1:17" ht="18.75" customHeight="1">
      <c r="A79" s="6" t="s">
        <v>22</v>
      </c>
      <c r="B79" s="10">
        <v>44274</v>
      </c>
      <c r="C79" s="3">
        <v>1621</v>
      </c>
      <c r="D79" s="3">
        <v>420</v>
      </c>
      <c r="E79" s="2">
        <v>0</v>
      </c>
      <c r="F79" s="3">
        <v>420</v>
      </c>
      <c r="G79" s="2">
        <v>0</v>
      </c>
      <c r="H79" s="2">
        <v>0</v>
      </c>
      <c r="I79" s="2">
        <v>0</v>
      </c>
      <c r="J79" s="2">
        <v>0</v>
      </c>
      <c r="K79" s="3">
        <v>218</v>
      </c>
      <c r="L79" s="3">
        <v>4033</v>
      </c>
      <c r="M79" s="3">
        <v>0</v>
      </c>
      <c r="N79" s="3">
        <f t="shared" si="5"/>
        <v>6712</v>
      </c>
      <c r="O79" s="3">
        <v>1480</v>
      </c>
      <c r="P79" s="3">
        <v>3101.5</v>
      </c>
      <c r="Q79" s="18">
        <f t="shared" si="4"/>
        <v>2130.5</v>
      </c>
    </row>
    <row r="80" spans="1:17" ht="18.75" customHeight="1">
      <c r="A80" s="6" t="s">
        <v>23</v>
      </c>
      <c r="B80" s="10">
        <v>44275</v>
      </c>
      <c r="C80" s="3">
        <v>1891</v>
      </c>
      <c r="D80" s="3">
        <v>580</v>
      </c>
      <c r="E80" s="2">
        <v>0</v>
      </c>
      <c r="F80" s="3">
        <v>220</v>
      </c>
      <c r="G80" s="2">
        <v>0</v>
      </c>
      <c r="H80" s="2">
        <v>0</v>
      </c>
      <c r="I80" s="2">
        <v>0</v>
      </c>
      <c r="J80" s="2">
        <v>0</v>
      </c>
      <c r="K80" s="3">
        <v>252</v>
      </c>
      <c r="L80" s="3">
        <v>7400</v>
      </c>
      <c r="M80" s="3">
        <v>0</v>
      </c>
      <c r="N80" s="3">
        <f t="shared" si="5"/>
        <v>10343</v>
      </c>
      <c r="O80" s="3">
        <v>1700</v>
      </c>
      <c r="P80" s="3">
        <v>6637</v>
      </c>
      <c r="Q80" s="18">
        <f t="shared" si="4"/>
        <v>2006</v>
      </c>
    </row>
    <row r="81" spans="1:17" ht="18.75" customHeight="1">
      <c r="A81" s="6" t="s">
        <v>17</v>
      </c>
      <c r="B81" s="10">
        <v>44276</v>
      </c>
      <c r="C81" s="3">
        <v>3343</v>
      </c>
      <c r="D81" s="3">
        <v>750</v>
      </c>
      <c r="E81" s="2">
        <v>0</v>
      </c>
      <c r="F81" s="3">
        <v>1035</v>
      </c>
      <c r="G81" s="2">
        <v>0</v>
      </c>
      <c r="H81" s="2">
        <v>0</v>
      </c>
      <c r="I81" s="2">
        <v>0</v>
      </c>
      <c r="J81" s="2">
        <v>0</v>
      </c>
      <c r="K81" s="3">
        <v>450</v>
      </c>
      <c r="L81" s="3">
        <v>6780</v>
      </c>
      <c r="M81" s="3">
        <v>0</v>
      </c>
      <c r="N81" s="3">
        <f t="shared" si="5"/>
        <v>12358</v>
      </c>
      <c r="O81" s="3">
        <v>1750</v>
      </c>
      <c r="P81" s="3">
        <v>7605</v>
      </c>
      <c r="Q81" s="18">
        <f t="shared" si="4"/>
        <v>3003</v>
      </c>
    </row>
    <row r="82" spans="1:17" ht="18.75" customHeight="1">
      <c r="A82" s="6" t="s">
        <v>18</v>
      </c>
      <c r="B82" s="10">
        <v>44277</v>
      </c>
      <c r="C82" s="3">
        <v>1919</v>
      </c>
      <c r="D82" s="3">
        <v>541</v>
      </c>
      <c r="E82" s="2">
        <v>0</v>
      </c>
      <c r="F82" s="3">
        <v>658</v>
      </c>
      <c r="G82" s="2">
        <v>0</v>
      </c>
      <c r="H82" s="2">
        <v>0</v>
      </c>
      <c r="I82" s="2">
        <v>0</v>
      </c>
      <c r="J82" s="2">
        <v>0</v>
      </c>
      <c r="K82" s="3">
        <v>720</v>
      </c>
      <c r="L82" s="3">
        <v>4869</v>
      </c>
      <c r="M82" s="3">
        <v>0</v>
      </c>
      <c r="N82" s="3">
        <f t="shared" si="5"/>
        <v>8707</v>
      </c>
      <c r="O82" s="3">
        <v>1675</v>
      </c>
      <c r="P82" s="3">
        <v>3967</v>
      </c>
      <c r="Q82" s="18">
        <f t="shared" si="4"/>
        <v>3065</v>
      </c>
    </row>
    <row r="83" spans="1:17" ht="18.75" customHeight="1">
      <c r="A83" s="6" t="s">
        <v>19</v>
      </c>
      <c r="B83" s="10">
        <v>44278</v>
      </c>
      <c r="C83" s="3">
        <v>1873</v>
      </c>
      <c r="D83" s="3">
        <v>478</v>
      </c>
      <c r="E83" s="2">
        <v>0</v>
      </c>
      <c r="F83" s="3">
        <v>911</v>
      </c>
      <c r="G83" s="2">
        <v>0</v>
      </c>
      <c r="H83" s="2">
        <v>0</v>
      </c>
      <c r="I83" s="2">
        <v>0</v>
      </c>
      <c r="J83" s="2">
        <v>0</v>
      </c>
      <c r="K83" s="3">
        <v>550</v>
      </c>
      <c r="L83" s="3">
        <v>4381</v>
      </c>
      <c r="M83" s="3">
        <v>0</v>
      </c>
      <c r="N83" s="3">
        <f t="shared" si="5"/>
        <v>8193</v>
      </c>
      <c r="O83" s="3">
        <v>1344</v>
      </c>
      <c r="P83" s="3">
        <v>5608.5</v>
      </c>
      <c r="Q83" s="18">
        <f t="shared" si="4"/>
        <v>1240.5</v>
      </c>
    </row>
    <row r="84" spans="1:17" ht="18.75" customHeight="1">
      <c r="A84" s="6" t="s">
        <v>20</v>
      </c>
      <c r="B84" s="10">
        <v>44279</v>
      </c>
      <c r="C84" s="3">
        <v>2043</v>
      </c>
      <c r="D84" s="3">
        <v>729</v>
      </c>
      <c r="E84" s="2">
        <v>0</v>
      </c>
      <c r="F84" s="3">
        <v>680</v>
      </c>
      <c r="G84" s="2">
        <v>0</v>
      </c>
      <c r="H84" s="2">
        <v>0</v>
      </c>
      <c r="I84" s="2">
        <v>0</v>
      </c>
      <c r="J84" s="2">
        <v>0</v>
      </c>
      <c r="K84" s="3">
        <v>866</v>
      </c>
      <c r="L84" s="3">
        <v>6197</v>
      </c>
      <c r="M84" s="3">
        <v>0</v>
      </c>
      <c r="N84" s="3">
        <f t="shared" si="5"/>
        <v>10515</v>
      </c>
      <c r="O84" s="3">
        <v>1665</v>
      </c>
      <c r="P84" s="3">
        <v>6332.5</v>
      </c>
      <c r="Q84" s="18">
        <f t="shared" si="4"/>
        <v>2517.5</v>
      </c>
    </row>
    <row r="85" spans="1:17" ht="18.75" customHeight="1">
      <c r="A85" s="6" t="s">
        <v>21</v>
      </c>
      <c r="B85" s="10">
        <v>44280</v>
      </c>
      <c r="C85" s="3">
        <v>1226</v>
      </c>
      <c r="D85" s="3">
        <v>780</v>
      </c>
      <c r="E85" s="2">
        <v>0</v>
      </c>
      <c r="F85" s="3">
        <v>500</v>
      </c>
      <c r="G85" s="2">
        <v>0</v>
      </c>
      <c r="H85" s="2">
        <v>0</v>
      </c>
      <c r="I85" s="2">
        <v>0</v>
      </c>
      <c r="J85" s="2">
        <v>0</v>
      </c>
      <c r="K85" s="3">
        <v>589</v>
      </c>
      <c r="L85" s="3">
        <v>4777</v>
      </c>
      <c r="M85" s="3">
        <v>0</v>
      </c>
      <c r="N85" s="3">
        <f t="shared" si="5"/>
        <v>7872</v>
      </c>
      <c r="O85" s="3">
        <v>1590</v>
      </c>
      <c r="P85" s="3">
        <v>4208</v>
      </c>
      <c r="Q85" s="18">
        <f t="shared" si="4"/>
        <v>2074</v>
      </c>
    </row>
    <row r="86" spans="1:17" ht="18.75" customHeight="1">
      <c r="A86" s="6" t="s">
        <v>22</v>
      </c>
      <c r="B86" s="10">
        <v>44281</v>
      </c>
      <c r="C86" s="3">
        <v>2105</v>
      </c>
      <c r="D86" s="3">
        <v>670</v>
      </c>
      <c r="E86" s="2">
        <v>0</v>
      </c>
      <c r="F86" s="3">
        <v>552</v>
      </c>
      <c r="G86" s="2">
        <v>0</v>
      </c>
      <c r="H86" s="2">
        <v>0</v>
      </c>
      <c r="I86" s="2">
        <v>0</v>
      </c>
      <c r="J86" s="2">
        <v>0</v>
      </c>
      <c r="K86" s="3">
        <v>356</v>
      </c>
      <c r="L86" s="3">
        <v>5779</v>
      </c>
      <c r="M86" s="3">
        <v>0</v>
      </c>
      <c r="N86" s="3">
        <f t="shared" si="5"/>
        <v>9462</v>
      </c>
      <c r="O86" s="3">
        <v>1770</v>
      </c>
      <c r="P86" s="3">
        <v>9038</v>
      </c>
      <c r="Q86" s="18">
        <f t="shared" si="4"/>
        <v>-1346</v>
      </c>
    </row>
    <row r="87" spans="1:17" ht="18.75" customHeight="1">
      <c r="A87" s="6" t="s">
        <v>23</v>
      </c>
      <c r="B87" s="10">
        <v>44282</v>
      </c>
      <c r="C87" s="3">
        <v>2250</v>
      </c>
      <c r="D87" s="3">
        <v>452</v>
      </c>
      <c r="E87" s="2">
        <v>0</v>
      </c>
      <c r="F87" s="3">
        <v>945</v>
      </c>
      <c r="G87" s="2">
        <v>0</v>
      </c>
      <c r="H87" s="2">
        <v>0</v>
      </c>
      <c r="I87" s="2">
        <v>0</v>
      </c>
      <c r="J87" s="2">
        <v>0</v>
      </c>
      <c r="K87" s="3">
        <v>200</v>
      </c>
      <c r="L87" s="3">
        <v>7335</v>
      </c>
      <c r="M87" s="3">
        <v>916</v>
      </c>
      <c r="N87" s="3">
        <f>SUM(C87:M87)</f>
        <v>12098</v>
      </c>
      <c r="O87" s="3">
        <v>2270</v>
      </c>
      <c r="P87" s="3">
        <v>5565</v>
      </c>
      <c r="Q87" s="18">
        <f t="shared" si="4"/>
        <v>4263</v>
      </c>
    </row>
    <row r="88" spans="1:17" ht="18.75" customHeight="1">
      <c r="A88" s="6" t="s">
        <v>17</v>
      </c>
      <c r="B88" s="10">
        <v>44283</v>
      </c>
      <c r="C88" s="3">
        <v>1582</v>
      </c>
      <c r="D88" s="3">
        <v>586</v>
      </c>
      <c r="E88" s="3">
        <v>950</v>
      </c>
      <c r="F88" s="3">
        <v>935</v>
      </c>
      <c r="G88" s="2">
        <v>0</v>
      </c>
      <c r="H88" s="2">
        <v>0</v>
      </c>
      <c r="I88" s="2">
        <v>0</v>
      </c>
      <c r="J88" s="2">
        <v>0</v>
      </c>
      <c r="K88" s="3">
        <v>560</v>
      </c>
      <c r="L88" s="3">
        <v>7571</v>
      </c>
      <c r="M88" s="3">
        <v>687</v>
      </c>
      <c r="N88" s="3">
        <f>SUM(C88:M88)</f>
        <v>12871</v>
      </c>
      <c r="O88" s="3">
        <v>1930</v>
      </c>
      <c r="P88" s="3">
        <v>3277.5</v>
      </c>
      <c r="Q88" s="18">
        <f t="shared" si="4"/>
        <v>7663.5</v>
      </c>
    </row>
    <row r="89" spans="1:17" ht="18.75" customHeight="1">
      <c r="A89" s="6" t="s">
        <v>18</v>
      </c>
      <c r="B89" s="10">
        <v>44284</v>
      </c>
      <c r="C89" s="3">
        <v>2100</v>
      </c>
      <c r="D89" s="3">
        <v>781</v>
      </c>
      <c r="E89" s="3">
        <v>1175</v>
      </c>
      <c r="F89" s="3">
        <v>1085</v>
      </c>
      <c r="G89" s="2">
        <v>0</v>
      </c>
      <c r="H89" s="2">
        <v>0</v>
      </c>
      <c r="I89" s="2">
        <v>0</v>
      </c>
      <c r="J89" s="2">
        <v>0</v>
      </c>
      <c r="K89" s="3">
        <v>170</v>
      </c>
      <c r="L89" s="3">
        <v>4314</v>
      </c>
      <c r="M89" s="3">
        <v>240</v>
      </c>
      <c r="N89" s="3">
        <f>SUM(C89:M89)</f>
        <v>9865</v>
      </c>
      <c r="O89" s="3">
        <v>1965</v>
      </c>
      <c r="P89" s="3">
        <v>5269</v>
      </c>
      <c r="Q89" s="18">
        <f t="shared" si="4"/>
        <v>2631</v>
      </c>
    </row>
    <row r="90" spans="1:17" ht="18.75" customHeight="1">
      <c r="A90" s="6" t="s">
        <v>19</v>
      </c>
      <c r="B90" s="10">
        <v>44285</v>
      </c>
      <c r="C90" s="3">
        <v>2020</v>
      </c>
      <c r="D90" s="3">
        <v>682</v>
      </c>
      <c r="E90" s="3">
        <v>680</v>
      </c>
      <c r="F90" s="3">
        <v>390</v>
      </c>
      <c r="G90" s="2">
        <v>0</v>
      </c>
      <c r="H90" s="2">
        <v>0</v>
      </c>
      <c r="I90" s="2">
        <v>0</v>
      </c>
      <c r="J90" s="2">
        <v>0</v>
      </c>
      <c r="K90" s="3">
        <v>0</v>
      </c>
      <c r="L90" s="3">
        <v>5867</v>
      </c>
      <c r="M90" s="3">
        <v>830</v>
      </c>
      <c r="N90" s="3">
        <f>SUM(C90:L90)</f>
        <v>9639</v>
      </c>
      <c r="O90" s="3">
        <v>2325</v>
      </c>
      <c r="P90" s="3">
        <v>9665</v>
      </c>
      <c r="Q90" s="18">
        <f t="shared" si="4"/>
        <v>-2351</v>
      </c>
    </row>
    <row r="91" spans="1:17" ht="18.75" customHeight="1">
      <c r="A91" s="6" t="s">
        <v>20</v>
      </c>
      <c r="B91" s="10">
        <v>44286</v>
      </c>
      <c r="C91" s="3">
        <v>2794</v>
      </c>
      <c r="D91" s="3">
        <v>710</v>
      </c>
      <c r="E91" s="3">
        <v>1276</v>
      </c>
      <c r="F91" s="3">
        <v>610</v>
      </c>
      <c r="G91" s="2">
        <v>0</v>
      </c>
      <c r="H91" s="2">
        <v>0</v>
      </c>
      <c r="I91" s="2">
        <v>0</v>
      </c>
      <c r="J91" s="2">
        <v>0</v>
      </c>
      <c r="K91" s="3">
        <v>0</v>
      </c>
      <c r="L91" s="3">
        <v>7137</v>
      </c>
      <c r="M91" s="3">
        <v>509</v>
      </c>
      <c r="N91" s="3">
        <f>SUM(C91:L91)</f>
        <v>12527</v>
      </c>
      <c r="O91" s="3">
        <v>2560</v>
      </c>
      <c r="P91" s="3">
        <v>4808</v>
      </c>
      <c r="Q91" s="18">
        <f t="shared" si="4"/>
        <v>5159</v>
      </c>
    </row>
    <row r="92" spans="1:17" ht="18.75" customHeight="1">
      <c r="A92" s="6" t="s">
        <v>21</v>
      </c>
      <c r="B92" s="10">
        <v>44287</v>
      </c>
      <c r="C92" s="3">
        <v>2189</v>
      </c>
      <c r="D92" s="3">
        <v>960</v>
      </c>
      <c r="E92" s="3">
        <v>890</v>
      </c>
      <c r="F92" s="3">
        <v>950</v>
      </c>
      <c r="G92" s="2">
        <v>0</v>
      </c>
      <c r="H92" s="2">
        <v>0</v>
      </c>
      <c r="I92" s="2">
        <v>0</v>
      </c>
      <c r="J92" s="2">
        <v>0</v>
      </c>
      <c r="K92" s="3">
        <v>0</v>
      </c>
      <c r="L92" s="3">
        <v>7254</v>
      </c>
      <c r="M92" s="3">
        <v>300</v>
      </c>
      <c r="N92" s="3">
        <f t="shared" ref="N92:N155" si="6">SUM(C92:M92)</f>
        <v>12543</v>
      </c>
      <c r="O92" s="3">
        <v>2410</v>
      </c>
      <c r="P92" s="3">
        <v>3576</v>
      </c>
      <c r="Q92" s="18">
        <f t="shared" si="4"/>
        <v>6557</v>
      </c>
    </row>
    <row r="93" spans="1:17" ht="18.75" customHeight="1">
      <c r="A93" s="6" t="s">
        <v>22</v>
      </c>
      <c r="B93" s="10">
        <v>44288</v>
      </c>
      <c r="C93" s="3">
        <v>3130</v>
      </c>
      <c r="D93" s="3">
        <v>1191</v>
      </c>
      <c r="E93" s="3">
        <v>1675</v>
      </c>
      <c r="F93" s="3">
        <v>875</v>
      </c>
      <c r="G93" s="2">
        <v>0</v>
      </c>
      <c r="H93" s="2">
        <v>0</v>
      </c>
      <c r="I93" s="2">
        <v>0</v>
      </c>
      <c r="J93" s="2">
        <v>0</v>
      </c>
      <c r="K93" s="3">
        <v>0</v>
      </c>
      <c r="L93" s="3">
        <v>14671</v>
      </c>
      <c r="M93" s="3">
        <v>380</v>
      </c>
      <c r="N93" s="3">
        <f t="shared" si="6"/>
        <v>21922</v>
      </c>
      <c r="O93" s="3">
        <v>3110</v>
      </c>
      <c r="P93" s="3">
        <v>8435</v>
      </c>
      <c r="Q93" s="18">
        <f t="shared" si="4"/>
        <v>10377</v>
      </c>
    </row>
    <row r="94" spans="1:17" ht="18.75" customHeight="1">
      <c r="A94" s="6" t="s">
        <v>16</v>
      </c>
      <c r="B94" s="10">
        <v>44289</v>
      </c>
      <c r="C94" s="3">
        <v>2677</v>
      </c>
      <c r="D94" s="3">
        <v>600</v>
      </c>
      <c r="E94" s="3">
        <v>1246</v>
      </c>
      <c r="F94" s="3">
        <v>1025</v>
      </c>
      <c r="G94" s="2">
        <v>0</v>
      </c>
      <c r="H94" s="2">
        <v>0</v>
      </c>
      <c r="I94" s="2">
        <v>0</v>
      </c>
      <c r="J94" s="2">
        <v>0</v>
      </c>
      <c r="K94" s="3">
        <v>0</v>
      </c>
      <c r="L94" s="3">
        <v>9462</v>
      </c>
      <c r="M94" s="3">
        <v>2150</v>
      </c>
      <c r="N94" s="3">
        <f t="shared" si="6"/>
        <v>17160</v>
      </c>
      <c r="O94" s="3">
        <v>2545</v>
      </c>
      <c r="P94" s="3">
        <v>7195</v>
      </c>
      <c r="Q94" s="18">
        <f t="shared" si="4"/>
        <v>7420</v>
      </c>
    </row>
    <row r="95" spans="1:17" ht="18.75" customHeight="1">
      <c r="A95" s="6" t="s">
        <v>17</v>
      </c>
      <c r="B95" s="10">
        <v>44290</v>
      </c>
      <c r="C95" s="3">
        <v>2200</v>
      </c>
      <c r="D95" s="3">
        <v>800</v>
      </c>
      <c r="E95" s="3">
        <v>2285</v>
      </c>
      <c r="F95" s="3">
        <v>1025</v>
      </c>
      <c r="G95" s="2">
        <v>0</v>
      </c>
      <c r="H95" s="2">
        <v>0</v>
      </c>
      <c r="I95" s="2">
        <v>0</v>
      </c>
      <c r="J95" s="2">
        <v>0</v>
      </c>
      <c r="K95" s="3">
        <v>0</v>
      </c>
      <c r="L95" s="3">
        <v>8702</v>
      </c>
      <c r="M95" s="3">
        <v>1400</v>
      </c>
      <c r="N95" s="3">
        <f t="shared" si="6"/>
        <v>16412</v>
      </c>
      <c r="O95" s="3">
        <v>2470</v>
      </c>
      <c r="P95" s="3">
        <v>2485</v>
      </c>
      <c r="Q95" s="18">
        <f t="shared" si="4"/>
        <v>11457</v>
      </c>
    </row>
    <row r="96" spans="1:17" ht="18.75" customHeight="1">
      <c r="A96" s="6" t="s">
        <v>18</v>
      </c>
      <c r="B96" s="10">
        <v>44291</v>
      </c>
      <c r="C96" s="3">
        <v>2591</v>
      </c>
      <c r="D96" s="3">
        <v>596</v>
      </c>
      <c r="E96" s="3">
        <v>1175</v>
      </c>
      <c r="F96" s="3">
        <v>1100</v>
      </c>
      <c r="G96" s="2">
        <v>0</v>
      </c>
      <c r="H96" s="2">
        <v>0</v>
      </c>
      <c r="I96" s="2">
        <v>0</v>
      </c>
      <c r="J96" s="2">
        <v>0</v>
      </c>
      <c r="K96" s="3">
        <v>410</v>
      </c>
      <c r="L96" s="3">
        <v>5230</v>
      </c>
      <c r="M96" s="3">
        <v>280</v>
      </c>
      <c r="N96" s="3">
        <f t="shared" si="6"/>
        <v>11382</v>
      </c>
      <c r="O96" s="3">
        <v>1980</v>
      </c>
      <c r="P96" s="3">
        <v>4892</v>
      </c>
      <c r="Q96" s="18">
        <f t="shared" si="4"/>
        <v>4510</v>
      </c>
    </row>
    <row r="97" spans="1:17" ht="18.75" customHeight="1">
      <c r="A97" s="6" t="s">
        <v>19</v>
      </c>
      <c r="B97" s="10">
        <v>44292</v>
      </c>
      <c r="C97" s="3">
        <v>3170</v>
      </c>
      <c r="D97" s="3">
        <v>761</v>
      </c>
      <c r="E97" s="3">
        <v>920</v>
      </c>
      <c r="F97" s="3">
        <v>896</v>
      </c>
      <c r="G97" s="2">
        <v>0</v>
      </c>
      <c r="H97" s="2">
        <v>0</v>
      </c>
      <c r="I97" s="2">
        <v>0</v>
      </c>
      <c r="J97" s="2">
        <v>0</v>
      </c>
      <c r="K97" s="3">
        <v>200</v>
      </c>
      <c r="L97" s="3">
        <v>4288</v>
      </c>
      <c r="M97" s="3">
        <v>0</v>
      </c>
      <c r="N97" s="3">
        <f t="shared" si="6"/>
        <v>10235</v>
      </c>
      <c r="O97" s="3">
        <v>1620</v>
      </c>
      <c r="P97" s="3">
        <v>4329</v>
      </c>
      <c r="Q97" s="18">
        <f t="shared" si="4"/>
        <v>4286</v>
      </c>
    </row>
    <row r="98" spans="1:17" ht="18.75" customHeight="1">
      <c r="A98" s="6" t="s">
        <v>20</v>
      </c>
      <c r="B98" s="10">
        <v>44293</v>
      </c>
      <c r="C98" s="3">
        <v>1971</v>
      </c>
      <c r="D98" s="3">
        <v>346</v>
      </c>
      <c r="E98" s="3">
        <v>805</v>
      </c>
      <c r="F98" s="3">
        <v>1010</v>
      </c>
      <c r="G98" s="2">
        <v>0</v>
      </c>
      <c r="H98" s="2">
        <v>0</v>
      </c>
      <c r="I98" s="2">
        <v>0</v>
      </c>
      <c r="J98" s="2">
        <v>0</v>
      </c>
      <c r="K98" s="3">
        <v>135</v>
      </c>
      <c r="L98" s="3">
        <v>5041</v>
      </c>
      <c r="M98" s="3">
        <v>0</v>
      </c>
      <c r="N98" s="3">
        <f t="shared" si="6"/>
        <v>9308</v>
      </c>
      <c r="O98" s="3">
        <v>1950</v>
      </c>
      <c r="P98" s="3">
        <v>2495</v>
      </c>
      <c r="Q98" s="18">
        <f t="shared" si="4"/>
        <v>4863</v>
      </c>
    </row>
    <row r="99" spans="1:17" ht="18.75" customHeight="1">
      <c r="A99" s="6" t="s">
        <v>21</v>
      </c>
      <c r="B99" s="10">
        <v>44294</v>
      </c>
      <c r="C99" s="3">
        <v>2543</v>
      </c>
      <c r="D99" s="3">
        <v>164</v>
      </c>
      <c r="E99" s="3">
        <v>1205</v>
      </c>
      <c r="F99" s="3">
        <v>975</v>
      </c>
      <c r="G99" s="2">
        <v>0</v>
      </c>
      <c r="H99" s="2">
        <v>0</v>
      </c>
      <c r="I99" s="2">
        <v>0</v>
      </c>
      <c r="J99" s="2">
        <v>0</v>
      </c>
      <c r="K99" s="3">
        <v>0</v>
      </c>
      <c r="L99" s="3">
        <v>8905</v>
      </c>
      <c r="M99" s="3">
        <v>0</v>
      </c>
      <c r="N99" s="3">
        <f t="shared" si="6"/>
        <v>13792</v>
      </c>
      <c r="O99" s="3">
        <v>2020</v>
      </c>
      <c r="P99" s="3">
        <v>4156</v>
      </c>
      <c r="Q99" s="18">
        <f t="shared" si="4"/>
        <v>7616</v>
      </c>
    </row>
    <row r="100" spans="1:17" ht="18.75" customHeight="1">
      <c r="A100" s="6" t="s">
        <v>22</v>
      </c>
      <c r="B100" s="10">
        <v>44295</v>
      </c>
      <c r="C100" s="3">
        <v>1739</v>
      </c>
      <c r="D100" s="3">
        <v>649</v>
      </c>
      <c r="E100" s="3">
        <v>1210</v>
      </c>
      <c r="F100" s="3">
        <v>610</v>
      </c>
      <c r="G100" s="2">
        <v>0</v>
      </c>
      <c r="H100" s="2">
        <v>0</v>
      </c>
      <c r="I100" s="2">
        <v>0</v>
      </c>
      <c r="J100" s="2">
        <v>0</v>
      </c>
      <c r="K100" s="3">
        <v>0</v>
      </c>
      <c r="L100" s="3">
        <v>8898</v>
      </c>
      <c r="M100" s="3">
        <v>0</v>
      </c>
      <c r="N100" s="3">
        <f t="shared" si="6"/>
        <v>13106</v>
      </c>
      <c r="O100" s="3">
        <v>2140</v>
      </c>
      <c r="P100" s="3">
        <v>7307.5</v>
      </c>
      <c r="Q100" s="18">
        <f t="shared" si="4"/>
        <v>3658.5</v>
      </c>
    </row>
    <row r="101" spans="1:17" ht="18.75" customHeight="1">
      <c r="A101" s="6" t="s">
        <v>23</v>
      </c>
      <c r="B101" s="10">
        <v>44296</v>
      </c>
      <c r="C101" s="3">
        <v>2925</v>
      </c>
      <c r="D101" s="3">
        <v>407</v>
      </c>
      <c r="E101" s="3">
        <v>750</v>
      </c>
      <c r="F101" s="3">
        <v>790</v>
      </c>
      <c r="G101" s="2">
        <v>0</v>
      </c>
      <c r="H101" s="2">
        <v>0</v>
      </c>
      <c r="I101" s="2">
        <v>0</v>
      </c>
      <c r="J101" s="2">
        <v>0</v>
      </c>
      <c r="K101" s="3">
        <v>0</v>
      </c>
      <c r="L101" s="3">
        <v>8540</v>
      </c>
      <c r="M101" s="3">
        <v>0</v>
      </c>
      <c r="N101" s="3">
        <f t="shared" si="6"/>
        <v>13412</v>
      </c>
      <c r="O101" s="3">
        <v>2080</v>
      </c>
      <c r="P101" s="3">
        <v>3651</v>
      </c>
      <c r="Q101" s="18">
        <f t="shared" si="4"/>
        <v>7681</v>
      </c>
    </row>
    <row r="102" spans="1:17" ht="18.75" customHeight="1">
      <c r="A102" s="6" t="s">
        <v>17</v>
      </c>
      <c r="B102" s="10">
        <v>44297</v>
      </c>
      <c r="C102" s="3">
        <v>4176</v>
      </c>
      <c r="D102" s="3">
        <v>0</v>
      </c>
      <c r="E102" s="3">
        <v>2180</v>
      </c>
      <c r="F102" s="3">
        <v>875</v>
      </c>
      <c r="G102" s="2">
        <v>0</v>
      </c>
      <c r="H102" s="2">
        <v>0</v>
      </c>
      <c r="I102" s="2">
        <v>0</v>
      </c>
      <c r="J102" s="2">
        <v>0</v>
      </c>
      <c r="K102" s="3">
        <v>0</v>
      </c>
      <c r="L102" s="3">
        <v>6907</v>
      </c>
      <c r="M102" s="3">
        <v>0</v>
      </c>
      <c r="N102" s="3">
        <f t="shared" si="6"/>
        <v>14138</v>
      </c>
      <c r="O102" s="3">
        <v>1960</v>
      </c>
      <c r="P102" s="3">
        <v>3735</v>
      </c>
      <c r="Q102" s="18">
        <f t="shared" si="4"/>
        <v>8443</v>
      </c>
    </row>
    <row r="103" spans="1:17" ht="18.75" customHeight="1">
      <c r="A103" s="6" t="s">
        <v>18</v>
      </c>
      <c r="B103" s="10">
        <v>44298</v>
      </c>
      <c r="C103" s="3">
        <v>2716</v>
      </c>
      <c r="D103" s="3">
        <v>166</v>
      </c>
      <c r="E103" s="3">
        <v>240</v>
      </c>
      <c r="F103" s="3">
        <v>1000</v>
      </c>
      <c r="G103" s="3">
        <v>0</v>
      </c>
      <c r="H103" s="3">
        <v>6192</v>
      </c>
      <c r="I103" s="3">
        <v>0</v>
      </c>
      <c r="J103" s="2">
        <v>0</v>
      </c>
      <c r="K103" s="3">
        <v>0</v>
      </c>
      <c r="L103" s="3">
        <v>7829</v>
      </c>
      <c r="M103" s="3">
        <v>0</v>
      </c>
      <c r="N103" s="3">
        <f t="shared" si="6"/>
        <v>18143</v>
      </c>
      <c r="O103" s="3">
        <v>1870</v>
      </c>
      <c r="P103" s="3">
        <v>9005</v>
      </c>
      <c r="Q103" s="18">
        <f t="shared" si="4"/>
        <v>7268</v>
      </c>
    </row>
    <row r="104" spans="1:17" ht="18.75" customHeight="1">
      <c r="A104" s="6" t="s">
        <v>19</v>
      </c>
      <c r="B104" s="10">
        <v>44299</v>
      </c>
      <c r="C104" s="3">
        <v>1950</v>
      </c>
      <c r="D104" s="3">
        <v>0</v>
      </c>
      <c r="E104" s="3">
        <v>495</v>
      </c>
      <c r="F104" s="3">
        <v>880</v>
      </c>
      <c r="G104" s="3">
        <v>438</v>
      </c>
      <c r="H104" s="3">
        <v>3200</v>
      </c>
      <c r="I104" s="3">
        <v>3346</v>
      </c>
      <c r="J104" s="2">
        <v>0</v>
      </c>
      <c r="K104" s="3">
        <v>0</v>
      </c>
      <c r="L104" s="3">
        <v>7133</v>
      </c>
      <c r="M104" s="3">
        <v>0</v>
      </c>
      <c r="N104" s="3">
        <f t="shared" si="6"/>
        <v>17442</v>
      </c>
      <c r="O104" s="3">
        <v>2350</v>
      </c>
      <c r="P104" s="3">
        <v>5939</v>
      </c>
      <c r="Q104" s="18">
        <f t="shared" si="4"/>
        <v>9153</v>
      </c>
    </row>
    <row r="105" spans="1:17" ht="18.75" customHeight="1">
      <c r="A105" s="6" t="s">
        <v>20</v>
      </c>
      <c r="B105" s="10">
        <v>44300</v>
      </c>
      <c r="C105" s="3">
        <v>1630</v>
      </c>
      <c r="D105" s="3">
        <v>0</v>
      </c>
      <c r="E105" s="3">
        <v>760</v>
      </c>
      <c r="F105" s="3">
        <v>875</v>
      </c>
      <c r="G105" s="3">
        <v>0</v>
      </c>
      <c r="H105" s="3">
        <v>7820</v>
      </c>
      <c r="I105" s="3">
        <v>5110</v>
      </c>
      <c r="J105" s="2">
        <v>0</v>
      </c>
      <c r="K105" s="3">
        <v>0</v>
      </c>
      <c r="L105" s="3">
        <v>5850</v>
      </c>
      <c r="M105" s="3">
        <v>0</v>
      </c>
      <c r="N105" s="3">
        <f t="shared" si="6"/>
        <v>22045</v>
      </c>
      <c r="O105" s="3">
        <v>3225</v>
      </c>
      <c r="P105" s="3">
        <v>10516</v>
      </c>
      <c r="Q105" s="18">
        <f t="shared" si="4"/>
        <v>8304</v>
      </c>
    </row>
    <row r="106" spans="1:17" ht="18.75" customHeight="1">
      <c r="A106" s="6" t="s">
        <v>21</v>
      </c>
      <c r="B106" s="10">
        <v>44301</v>
      </c>
      <c r="C106" s="3">
        <v>1863</v>
      </c>
      <c r="D106" s="3">
        <v>0</v>
      </c>
      <c r="E106" s="3">
        <v>1115</v>
      </c>
      <c r="F106" s="3">
        <v>560</v>
      </c>
      <c r="G106" s="3">
        <v>0</v>
      </c>
      <c r="H106" s="3">
        <v>4475</v>
      </c>
      <c r="I106" s="3">
        <v>2920</v>
      </c>
      <c r="J106" s="2">
        <v>0</v>
      </c>
      <c r="K106" s="3">
        <v>0</v>
      </c>
      <c r="L106" s="3">
        <v>5650</v>
      </c>
      <c r="M106" s="3">
        <v>0</v>
      </c>
      <c r="N106" s="3">
        <f t="shared" si="6"/>
        <v>16583</v>
      </c>
      <c r="O106" s="3">
        <v>2055</v>
      </c>
      <c r="P106" s="3">
        <v>6541</v>
      </c>
      <c r="Q106" s="18">
        <f t="shared" si="4"/>
        <v>7987</v>
      </c>
    </row>
    <row r="107" spans="1:17" ht="18.75" customHeight="1">
      <c r="A107" s="6" t="s">
        <v>22</v>
      </c>
      <c r="B107" s="10">
        <v>44302</v>
      </c>
      <c r="C107" s="3">
        <v>1881</v>
      </c>
      <c r="D107" s="3">
        <v>0</v>
      </c>
      <c r="E107" s="3">
        <v>840</v>
      </c>
      <c r="F107" s="3">
        <v>460</v>
      </c>
      <c r="G107" s="3">
        <v>0</v>
      </c>
      <c r="H107" s="3">
        <v>1580</v>
      </c>
      <c r="I107" s="3">
        <v>2016.5</v>
      </c>
      <c r="J107" s="2">
        <v>0</v>
      </c>
      <c r="K107" s="3">
        <v>0</v>
      </c>
      <c r="L107" s="3">
        <v>6157</v>
      </c>
      <c r="M107" s="3">
        <v>0</v>
      </c>
      <c r="N107" s="3">
        <f t="shared" si="6"/>
        <v>12934.5</v>
      </c>
      <c r="O107" s="3">
        <v>2010</v>
      </c>
      <c r="P107" s="3">
        <v>6656.5</v>
      </c>
      <c r="Q107" s="18">
        <f t="shared" si="4"/>
        <v>4268</v>
      </c>
    </row>
    <row r="108" spans="1:17" ht="18.75" customHeight="1">
      <c r="A108" s="6" t="s">
        <v>23</v>
      </c>
      <c r="B108" s="10">
        <v>44303</v>
      </c>
      <c r="C108" s="3">
        <v>1735</v>
      </c>
      <c r="D108" s="3">
        <v>0</v>
      </c>
      <c r="E108" s="3">
        <v>1045</v>
      </c>
      <c r="F108" s="3">
        <v>1010</v>
      </c>
      <c r="G108" s="3">
        <v>0</v>
      </c>
      <c r="H108" s="3">
        <v>2120</v>
      </c>
      <c r="I108" s="3">
        <v>1228</v>
      </c>
      <c r="J108" s="2">
        <v>0</v>
      </c>
      <c r="K108" s="3">
        <v>0</v>
      </c>
      <c r="L108" s="3">
        <v>6784</v>
      </c>
      <c r="M108" s="3">
        <v>0</v>
      </c>
      <c r="N108" s="3">
        <f t="shared" si="6"/>
        <v>13922</v>
      </c>
      <c r="O108" s="3">
        <v>2120</v>
      </c>
      <c r="P108" s="3">
        <v>3889</v>
      </c>
      <c r="Q108" s="18">
        <f t="shared" si="4"/>
        <v>7913</v>
      </c>
    </row>
    <row r="109" spans="1:17" ht="18.75" customHeight="1">
      <c r="A109" s="6" t="s">
        <v>17</v>
      </c>
      <c r="B109" s="10">
        <v>44304</v>
      </c>
      <c r="C109" s="3">
        <v>2573</v>
      </c>
      <c r="D109" s="3">
        <v>0</v>
      </c>
      <c r="E109" s="3">
        <v>1395</v>
      </c>
      <c r="F109" s="3">
        <v>685</v>
      </c>
      <c r="G109" s="3">
        <v>0</v>
      </c>
      <c r="H109" s="3">
        <v>0</v>
      </c>
      <c r="I109" s="3">
        <v>459</v>
      </c>
      <c r="J109" s="2">
        <v>0</v>
      </c>
      <c r="K109" s="3">
        <v>0</v>
      </c>
      <c r="L109" s="3">
        <v>8145</v>
      </c>
      <c r="M109" s="3">
        <v>0</v>
      </c>
      <c r="N109" s="3">
        <f t="shared" si="6"/>
        <v>13257</v>
      </c>
      <c r="O109" s="3">
        <v>3950</v>
      </c>
      <c r="P109" s="3">
        <v>3313</v>
      </c>
      <c r="Q109" s="18">
        <f t="shared" si="4"/>
        <v>5994</v>
      </c>
    </row>
    <row r="110" spans="1:17" ht="18.75" customHeight="1">
      <c r="A110" s="6" t="s">
        <v>18</v>
      </c>
      <c r="B110" s="10">
        <v>44305</v>
      </c>
      <c r="C110" s="3">
        <v>2345</v>
      </c>
      <c r="D110" s="3">
        <v>412</v>
      </c>
      <c r="E110" s="3">
        <v>645</v>
      </c>
      <c r="F110" s="3">
        <v>280</v>
      </c>
      <c r="G110" s="3">
        <v>0</v>
      </c>
      <c r="H110" s="3">
        <v>0</v>
      </c>
      <c r="I110" s="3">
        <v>0</v>
      </c>
      <c r="J110" s="2">
        <v>0</v>
      </c>
      <c r="K110" s="3">
        <v>0</v>
      </c>
      <c r="L110" s="3">
        <v>5352</v>
      </c>
      <c r="M110" s="3">
        <v>0</v>
      </c>
      <c r="N110" s="3">
        <f t="shared" si="6"/>
        <v>9034</v>
      </c>
      <c r="O110" s="3">
        <v>2050</v>
      </c>
      <c r="P110" s="3">
        <v>6281</v>
      </c>
      <c r="Q110" s="18">
        <f t="shared" si="4"/>
        <v>703</v>
      </c>
    </row>
    <row r="111" spans="1:17" ht="18.75" customHeight="1">
      <c r="A111" s="6" t="s">
        <v>19</v>
      </c>
      <c r="B111" s="10">
        <v>44306</v>
      </c>
      <c r="C111" s="3">
        <v>1566</v>
      </c>
      <c r="D111" s="3">
        <v>501</v>
      </c>
      <c r="E111" s="3">
        <v>810</v>
      </c>
      <c r="F111" s="3">
        <v>795</v>
      </c>
      <c r="G111" s="3">
        <v>0</v>
      </c>
      <c r="H111" s="3">
        <v>0</v>
      </c>
      <c r="I111" s="3">
        <v>0</v>
      </c>
      <c r="J111" s="2">
        <v>0</v>
      </c>
      <c r="K111" s="3">
        <v>0</v>
      </c>
      <c r="L111" s="3">
        <v>4560</v>
      </c>
      <c r="M111" s="3">
        <v>0</v>
      </c>
      <c r="N111" s="3">
        <f t="shared" si="6"/>
        <v>8232</v>
      </c>
      <c r="O111" s="3">
        <v>1870</v>
      </c>
      <c r="P111" s="3">
        <v>2909</v>
      </c>
      <c r="Q111" s="18">
        <f t="shared" si="4"/>
        <v>3453</v>
      </c>
    </row>
    <row r="112" spans="1:17" ht="18.75" customHeight="1">
      <c r="A112" s="6" t="s">
        <v>20</v>
      </c>
      <c r="B112" s="10">
        <v>44307</v>
      </c>
      <c r="C112" s="3">
        <v>1345</v>
      </c>
      <c r="D112" s="3">
        <v>273</v>
      </c>
      <c r="E112" s="3">
        <v>520</v>
      </c>
      <c r="F112" s="3">
        <v>430</v>
      </c>
      <c r="G112" s="3">
        <v>0</v>
      </c>
      <c r="H112" s="3">
        <v>0</v>
      </c>
      <c r="I112" s="3">
        <v>0</v>
      </c>
      <c r="J112" s="2">
        <v>0</v>
      </c>
      <c r="K112" s="3">
        <v>0</v>
      </c>
      <c r="L112" s="3">
        <v>3762</v>
      </c>
      <c r="M112" s="3">
        <v>0</v>
      </c>
      <c r="N112" s="3">
        <f t="shared" si="6"/>
        <v>6330</v>
      </c>
      <c r="O112" s="3">
        <v>1740</v>
      </c>
      <c r="P112" s="3">
        <v>2543</v>
      </c>
      <c r="Q112" s="18">
        <f t="shared" si="4"/>
        <v>2047</v>
      </c>
    </row>
    <row r="113" spans="1:17" ht="18.75" customHeight="1">
      <c r="A113" s="6" t="s">
        <v>21</v>
      </c>
      <c r="B113" s="10">
        <v>44308</v>
      </c>
      <c r="C113" s="3">
        <v>1910</v>
      </c>
      <c r="D113" s="3">
        <v>0</v>
      </c>
      <c r="E113" s="3">
        <v>480</v>
      </c>
      <c r="F113" s="3">
        <v>750</v>
      </c>
      <c r="G113" s="3">
        <v>0</v>
      </c>
      <c r="H113" s="3">
        <v>0</v>
      </c>
      <c r="I113" s="3">
        <v>0</v>
      </c>
      <c r="J113" s="2">
        <v>0</v>
      </c>
      <c r="K113" s="3">
        <v>450</v>
      </c>
      <c r="L113" s="3">
        <v>6774</v>
      </c>
      <c r="M113" s="3">
        <v>0</v>
      </c>
      <c r="N113" s="3">
        <f t="shared" si="6"/>
        <v>10364</v>
      </c>
      <c r="O113" s="3">
        <v>1670</v>
      </c>
      <c r="P113" s="3">
        <v>3983</v>
      </c>
      <c r="Q113" s="18">
        <f t="shared" si="4"/>
        <v>4711</v>
      </c>
    </row>
    <row r="114" spans="1:17" ht="18.75" customHeight="1">
      <c r="A114" s="6" t="s">
        <v>22</v>
      </c>
      <c r="B114" s="10">
        <v>44309</v>
      </c>
      <c r="C114" s="3">
        <v>3227</v>
      </c>
      <c r="D114" s="3">
        <v>0</v>
      </c>
      <c r="E114" s="3">
        <v>605</v>
      </c>
      <c r="F114" s="3">
        <v>970</v>
      </c>
      <c r="G114" s="3">
        <v>0</v>
      </c>
      <c r="H114" s="3">
        <v>0</v>
      </c>
      <c r="I114" s="3">
        <v>0</v>
      </c>
      <c r="J114" s="2">
        <v>0</v>
      </c>
      <c r="K114" s="3">
        <v>400</v>
      </c>
      <c r="L114" s="3">
        <v>3566</v>
      </c>
      <c r="M114" s="3">
        <v>0</v>
      </c>
      <c r="N114" s="3">
        <f t="shared" si="6"/>
        <v>8768</v>
      </c>
      <c r="O114" s="3">
        <v>1760</v>
      </c>
      <c r="P114" s="3">
        <v>3653.5</v>
      </c>
      <c r="Q114" s="18">
        <f t="shared" si="4"/>
        <v>3354.5</v>
      </c>
    </row>
    <row r="115" spans="1:17" ht="18.75" customHeight="1">
      <c r="A115" s="6" t="s">
        <v>23</v>
      </c>
      <c r="B115" s="10">
        <v>44310</v>
      </c>
      <c r="C115" s="3">
        <v>1569</v>
      </c>
      <c r="D115" s="3">
        <v>0</v>
      </c>
      <c r="E115" s="3">
        <v>900</v>
      </c>
      <c r="F115" s="3">
        <v>1065</v>
      </c>
      <c r="G115" s="3">
        <v>0</v>
      </c>
      <c r="H115" s="3">
        <v>0</v>
      </c>
      <c r="I115" s="3">
        <v>0</v>
      </c>
      <c r="J115" s="3">
        <v>2095</v>
      </c>
      <c r="K115" s="3">
        <v>450</v>
      </c>
      <c r="L115" s="3">
        <v>5962</v>
      </c>
      <c r="M115" s="3">
        <v>0</v>
      </c>
      <c r="N115" s="3">
        <f t="shared" si="6"/>
        <v>12041</v>
      </c>
      <c r="O115" s="3">
        <v>1930</v>
      </c>
      <c r="P115" s="3">
        <v>6080</v>
      </c>
      <c r="Q115" s="18">
        <f t="shared" si="4"/>
        <v>4031</v>
      </c>
    </row>
    <row r="116" spans="1:17" ht="18.75" customHeight="1">
      <c r="A116" s="6" t="s">
        <v>17</v>
      </c>
      <c r="B116" s="10">
        <v>44311</v>
      </c>
      <c r="C116" s="3">
        <v>1867</v>
      </c>
      <c r="D116" s="3">
        <v>0</v>
      </c>
      <c r="E116" s="3">
        <v>920</v>
      </c>
      <c r="F116" s="3">
        <v>805</v>
      </c>
      <c r="G116" s="3">
        <v>0</v>
      </c>
      <c r="H116" s="3">
        <v>0</v>
      </c>
      <c r="I116" s="3">
        <v>0</v>
      </c>
      <c r="J116" s="3">
        <v>0</v>
      </c>
      <c r="K116" s="3">
        <v>0</v>
      </c>
      <c r="L116" s="3">
        <v>6421</v>
      </c>
      <c r="M116" s="3">
        <v>0</v>
      </c>
      <c r="N116" s="3">
        <f t="shared" si="6"/>
        <v>10013</v>
      </c>
      <c r="O116" s="3">
        <v>1600</v>
      </c>
      <c r="P116" s="3">
        <v>7196</v>
      </c>
      <c r="Q116" s="18">
        <f t="shared" si="4"/>
        <v>1217</v>
      </c>
    </row>
    <row r="117" spans="1:17" ht="18.75" customHeight="1">
      <c r="A117" s="6" t="s">
        <v>18</v>
      </c>
      <c r="B117" s="10">
        <v>44312</v>
      </c>
      <c r="C117" s="3">
        <v>1548</v>
      </c>
      <c r="D117" s="3">
        <v>667</v>
      </c>
      <c r="E117" s="3">
        <v>810</v>
      </c>
      <c r="F117" s="3">
        <v>490</v>
      </c>
      <c r="G117" s="3">
        <v>0</v>
      </c>
      <c r="H117" s="3">
        <v>0</v>
      </c>
      <c r="I117" s="3">
        <v>0</v>
      </c>
      <c r="J117" s="3">
        <v>0</v>
      </c>
      <c r="K117" s="3">
        <v>400</v>
      </c>
      <c r="L117" s="3">
        <v>3149</v>
      </c>
      <c r="M117" s="3">
        <v>0</v>
      </c>
      <c r="N117" s="3">
        <f t="shared" si="6"/>
        <v>7064</v>
      </c>
      <c r="O117" s="3">
        <v>1640</v>
      </c>
      <c r="P117" s="3">
        <v>5053.5</v>
      </c>
      <c r="Q117" s="18">
        <f t="shared" si="4"/>
        <v>370.5</v>
      </c>
    </row>
    <row r="118" spans="1:17" ht="18.75" customHeight="1">
      <c r="A118" s="6" t="s">
        <v>19</v>
      </c>
      <c r="B118" s="10">
        <v>44313</v>
      </c>
      <c r="C118" s="3">
        <v>2161</v>
      </c>
      <c r="D118" s="3">
        <v>1100</v>
      </c>
      <c r="E118" s="3">
        <v>620</v>
      </c>
      <c r="F118" s="3">
        <v>1009</v>
      </c>
      <c r="G118" s="3">
        <v>0</v>
      </c>
      <c r="H118" s="3">
        <v>0</v>
      </c>
      <c r="I118" s="3">
        <v>0</v>
      </c>
      <c r="J118" s="3">
        <v>0</v>
      </c>
      <c r="K118" s="3">
        <v>240</v>
      </c>
      <c r="L118" s="3">
        <v>2704</v>
      </c>
      <c r="M118" s="3">
        <v>0</v>
      </c>
      <c r="N118" s="3">
        <f t="shared" si="6"/>
        <v>7834</v>
      </c>
      <c r="O118" s="3">
        <v>1670</v>
      </c>
      <c r="P118" s="3">
        <v>2747</v>
      </c>
      <c r="Q118" s="18">
        <f t="shared" si="4"/>
        <v>3417</v>
      </c>
    </row>
    <row r="119" spans="1:17" ht="18.75" customHeight="1">
      <c r="A119" s="6" t="s">
        <v>20</v>
      </c>
      <c r="B119" s="10">
        <v>44314</v>
      </c>
      <c r="C119" s="3">
        <v>2975</v>
      </c>
      <c r="D119" s="3">
        <v>510</v>
      </c>
      <c r="E119" s="3">
        <v>605</v>
      </c>
      <c r="F119" s="3">
        <v>970</v>
      </c>
      <c r="G119" s="3">
        <v>0</v>
      </c>
      <c r="H119" s="3">
        <v>0</v>
      </c>
      <c r="I119" s="3">
        <v>0</v>
      </c>
      <c r="J119" s="3">
        <v>0</v>
      </c>
      <c r="K119" s="3">
        <v>448</v>
      </c>
      <c r="L119" s="3">
        <v>3503</v>
      </c>
      <c r="M119" s="3">
        <v>0</v>
      </c>
      <c r="N119" s="3">
        <f t="shared" si="6"/>
        <v>9011</v>
      </c>
      <c r="O119" s="3">
        <v>1800</v>
      </c>
      <c r="P119" s="3">
        <v>3357.5</v>
      </c>
      <c r="Q119" s="18">
        <f t="shared" si="4"/>
        <v>3853.5</v>
      </c>
    </row>
    <row r="120" spans="1:17" ht="18.75" customHeight="1">
      <c r="A120" s="6" t="s">
        <v>21</v>
      </c>
      <c r="B120" s="10">
        <v>44315</v>
      </c>
      <c r="C120" s="3">
        <v>2288</v>
      </c>
      <c r="D120" s="3">
        <v>384</v>
      </c>
      <c r="E120" s="3">
        <v>870</v>
      </c>
      <c r="F120" s="3">
        <v>465</v>
      </c>
      <c r="G120" s="3">
        <v>0</v>
      </c>
      <c r="H120" s="3">
        <v>0</v>
      </c>
      <c r="I120" s="3">
        <v>0</v>
      </c>
      <c r="J120" s="3">
        <v>0</v>
      </c>
      <c r="K120" s="3">
        <v>400</v>
      </c>
      <c r="L120" s="3">
        <v>4137</v>
      </c>
      <c r="M120" s="3">
        <v>0</v>
      </c>
      <c r="N120" s="3">
        <f t="shared" si="6"/>
        <v>8544</v>
      </c>
      <c r="O120" s="3">
        <v>1470</v>
      </c>
      <c r="P120" s="3">
        <v>3724</v>
      </c>
      <c r="Q120" s="18">
        <f t="shared" si="4"/>
        <v>3350</v>
      </c>
    </row>
    <row r="121" spans="1:17" ht="18.75" customHeight="1">
      <c r="A121" s="6" t="s">
        <v>22</v>
      </c>
      <c r="B121" s="10">
        <v>44316</v>
      </c>
      <c r="C121" s="3">
        <v>1780</v>
      </c>
      <c r="D121" s="3">
        <v>683</v>
      </c>
      <c r="E121" s="3">
        <v>910</v>
      </c>
      <c r="F121" s="3">
        <v>970</v>
      </c>
      <c r="G121" s="3">
        <v>0</v>
      </c>
      <c r="H121" s="3">
        <v>0</v>
      </c>
      <c r="I121" s="3">
        <v>0</v>
      </c>
      <c r="J121" s="3">
        <v>0</v>
      </c>
      <c r="K121" s="3">
        <v>0</v>
      </c>
      <c r="L121" s="3">
        <v>5075</v>
      </c>
      <c r="M121" s="3">
        <v>0</v>
      </c>
      <c r="N121" s="3">
        <f t="shared" si="6"/>
        <v>9418</v>
      </c>
      <c r="O121" s="3">
        <v>1900</v>
      </c>
      <c r="P121" s="3">
        <v>3059</v>
      </c>
      <c r="Q121" s="18">
        <f t="shared" si="4"/>
        <v>4459</v>
      </c>
    </row>
    <row r="122" spans="1:17" ht="18.75" customHeight="1">
      <c r="A122" s="6" t="s">
        <v>16</v>
      </c>
      <c r="B122" s="10">
        <v>44317</v>
      </c>
      <c r="C122" s="3">
        <v>1664</v>
      </c>
      <c r="D122" s="3">
        <v>1014</v>
      </c>
      <c r="E122" s="3">
        <v>445</v>
      </c>
      <c r="F122" s="3">
        <v>1415</v>
      </c>
      <c r="G122" s="3">
        <v>0</v>
      </c>
      <c r="H122" s="3">
        <v>0</v>
      </c>
      <c r="I122" s="3">
        <v>0</v>
      </c>
      <c r="J122" s="3">
        <v>0</v>
      </c>
      <c r="K122" s="3">
        <v>550</v>
      </c>
      <c r="L122" s="3">
        <v>7853</v>
      </c>
      <c r="M122" s="3">
        <v>0</v>
      </c>
      <c r="N122" s="3">
        <f t="shared" si="6"/>
        <v>12941</v>
      </c>
      <c r="O122" s="3">
        <v>1730</v>
      </c>
      <c r="P122" s="3">
        <v>6264</v>
      </c>
      <c r="Q122" s="18">
        <f t="shared" si="4"/>
        <v>4947</v>
      </c>
    </row>
    <row r="123" spans="1:17" ht="18.75" customHeight="1">
      <c r="A123" s="6" t="s">
        <v>17</v>
      </c>
      <c r="B123" s="10">
        <v>44318</v>
      </c>
      <c r="C123" s="3">
        <v>1776</v>
      </c>
      <c r="D123" s="3">
        <v>587</v>
      </c>
      <c r="E123" s="3">
        <v>1660</v>
      </c>
      <c r="F123" s="3">
        <v>885</v>
      </c>
      <c r="G123" s="3">
        <v>0</v>
      </c>
      <c r="H123" s="3">
        <v>0</v>
      </c>
      <c r="I123" s="3">
        <v>0</v>
      </c>
      <c r="J123" s="3">
        <v>0</v>
      </c>
      <c r="K123" s="3">
        <v>450</v>
      </c>
      <c r="L123" s="3">
        <v>8336</v>
      </c>
      <c r="M123" s="3">
        <v>0</v>
      </c>
      <c r="N123" s="3">
        <f t="shared" si="6"/>
        <v>13694</v>
      </c>
      <c r="O123" s="3">
        <v>1800</v>
      </c>
      <c r="P123" s="3">
        <v>2738</v>
      </c>
      <c r="Q123" s="18">
        <f t="shared" si="4"/>
        <v>9156</v>
      </c>
    </row>
    <row r="124" spans="1:17" ht="18.75" customHeight="1">
      <c r="A124" s="6" t="s">
        <v>18</v>
      </c>
      <c r="B124" s="10">
        <v>44319</v>
      </c>
      <c r="C124" s="3">
        <v>1890</v>
      </c>
      <c r="D124" s="3">
        <v>270</v>
      </c>
      <c r="E124" s="3">
        <v>800</v>
      </c>
      <c r="F124" s="3">
        <v>860</v>
      </c>
      <c r="G124" s="3">
        <v>0</v>
      </c>
      <c r="H124" s="3">
        <v>0</v>
      </c>
      <c r="I124" s="3">
        <v>0</v>
      </c>
      <c r="J124" s="3">
        <v>0</v>
      </c>
      <c r="K124" s="3">
        <v>560</v>
      </c>
      <c r="L124" s="3">
        <v>5464</v>
      </c>
      <c r="M124" s="3">
        <v>0</v>
      </c>
      <c r="N124" s="3">
        <f t="shared" si="6"/>
        <v>9844</v>
      </c>
      <c r="O124" s="3">
        <v>1990</v>
      </c>
      <c r="P124" s="3">
        <v>5687.5</v>
      </c>
      <c r="Q124" s="18">
        <f t="shared" si="4"/>
        <v>2166.5</v>
      </c>
    </row>
    <row r="125" spans="1:17" ht="18.75" customHeight="1">
      <c r="A125" s="6" t="s">
        <v>19</v>
      </c>
      <c r="B125" s="10">
        <v>44320</v>
      </c>
      <c r="C125" s="3">
        <v>2046</v>
      </c>
      <c r="D125" s="3">
        <v>487</v>
      </c>
      <c r="E125" s="3">
        <v>720</v>
      </c>
      <c r="F125" s="3">
        <v>465</v>
      </c>
      <c r="G125" s="3">
        <v>0</v>
      </c>
      <c r="H125" s="3">
        <v>0</v>
      </c>
      <c r="I125" s="3">
        <v>0</v>
      </c>
      <c r="J125" s="3">
        <v>0</v>
      </c>
      <c r="K125" s="3">
        <v>350</v>
      </c>
      <c r="L125" s="3">
        <v>3755</v>
      </c>
      <c r="M125" s="3">
        <v>0</v>
      </c>
      <c r="N125" s="3">
        <f t="shared" si="6"/>
        <v>7823</v>
      </c>
      <c r="O125" s="3">
        <v>1760</v>
      </c>
      <c r="P125" s="3">
        <v>2569</v>
      </c>
      <c r="Q125" s="18">
        <f t="shared" ref="Q125:Q188" si="7">N125-O125-P125</f>
        <v>3494</v>
      </c>
    </row>
    <row r="126" spans="1:17" ht="18.75" customHeight="1">
      <c r="A126" s="6" t="s">
        <v>20</v>
      </c>
      <c r="B126" s="10">
        <v>44321</v>
      </c>
      <c r="C126" s="3">
        <v>1328</v>
      </c>
      <c r="D126" s="3">
        <v>373</v>
      </c>
      <c r="E126" s="3">
        <v>825</v>
      </c>
      <c r="F126" s="3">
        <v>685</v>
      </c>
      <c r="G126" s="3">
        <v>0</v>
      </c>
      <c r="H126" s="3">
        <v>0</v>
      </c>
      <c r="I126" s="3">
        <v>0</v>
      </c>
      <c r="J126" s="3">
        <v>0</v>
      </c>
      <c r="K126" s="3">
        <v>350</v>
      </c>
      <c r="L126" s="3">
        <v>4963</v>
      </c>
      <c r="M126" s="3">
        <v>0</v>
      </c>
      <c r="N126" s="3">
        <f t="shared" si="6"/>
        <v>8524</v>
      </c>
      <c r="O126" s="3">
        <v>1640</v>
      </c>
      <c r="P126" s="3">
        <v>2697.5</v>
      </c>
      <c r="Q126" s="18">
        <f t="shared" si="7"/>
        <v>4186.5</v>
      </c>
    </row>
    <row r="127" spans="1:17" ht="18.75" customHeight="1">
      <c r="A127" s="6" t="s">
        <v>21</v>
      </c>
      <c r="B127" s="10">
        <v>44322</v>
      </c>
      <c r="C127" s="3">
        <v>1514</v>
      </c>
      <c r="D127" s="3">
        <v>215</v>
      </c>
      <c r="E127" s="3">
        <v>1095</v>
      </c>
      <c r="F127" s="3">
        <v>663</v>
      </c>
      <c r="G127" s="3">
        <v>0</v>
      </c>
      <c r="H127" s="3">
        <v>0</v>
      </c>
      <c r="I127" s="3">
        <v>0</v>
      </c>
      <c r="J127" s="3">
        <v>0</v>
      </c>
      <c r="K127" s="3">
        <v>0</v>
      </c>
      <c r="L127" s="3">
        <v>4093</v>
      </c>
      <c r="M127" s="3">
        <v>0</v>
      </c>
      <c r="N127" s="3">
        <f t="shared" si="6"/>
        <v>7580</v>
      </c>
      <c r="O127" s="3">
        <v>1630</v>
      </c>
      <c r="P127" s="3">
        <v>4228</v>
      </c>
      <c r="Q127" s="18">
        <f t="shared" si="7"/>
        <v>1722</v>
      </c>
    </row>
    <row r="128" spans="1:17" ht="18.75" customHeight="1">
      <c r="A128" s="6" t="s">
        <v>22</v>
      </c>
      <c r="B128" s="10">
        <v>44323</v>
      </c>
      <c r="C128" s="3">
        <v>1712</v>
      </c>
      <c r="D128" s="3">
        <v>468</v>
      </c>
      <c r="E128" s="3">
        <v>770</v>
      </c>
      <c r="F128" s="3">
        <v>900</v>
      </c>
      <c r="G128" s="3">
        <v>0</v>
      </c>
      <c r="H128" s="3">
        <v>0</v>
      </c>
      <c r="I128" s="3">
        <v>0</v>
      </c>
      <c r="J128" s="3">
        <v>0</v>
      </c>
      <c r="K128" s="3">
        <v>0</v>
      </c>
      <c r="L128" s="3">
        <v>4264</v>
      </c>
      <c r="M128" s="3">
        <v>0</v>
      </c>
      <c r="N128" s="3">
        <f t="shared" si="6"/>
        <v>8114</v>
      </c>
      <c r="O128" s="3">
        <v>1730</v>
      </c>
      <c r="P128" s="3">
        <v>4547.5</v>
      </c>
      <c r="Q128" s="18">
        <f t="shared" si="7"/>
        <v>1836.5</v>
      </c>
    </row>
    <row r="129" spans="1:17" ht="18.75" customHeight="1">
      <c r="A129" s="6" t="s">
        <v>23</v>
      </c>
      <c r="B129" s="10">
        <v>44324</v>
      </c>
      <c r="C129" s="3">
        <v>2015</v>
      </c>
      <c r="D129" s="3">
        <v>289</v>
      </c>
      <c r="E129" s="3">
        <v>675</v>
      </c>
      <c r="F129" s="3">
        <v>1325</v>
      </c>
      <c r="G129" s="3">
        <v>0</v>
      </c>
      <c r="H129" s="3">
        <v>0</v>
      </c>
      <c r="I129" s="3">
        <v>0</v>
      </c>
      <c r="J129" s="3">
        <v>0</v>
      </c>
      <c r="K129" s="3">
        <v>0</v>
      </c>
      <c r="L129" s="3">
        <v>6036</v>
      </c>
      <c r="M129" s="3">
        <v>0</v>
      </c>
      <c r="N129" s="3">
        <f t="shared" si="6"/>
        <v>10340</v>
      </c>
      <c r="O129" s="3">
        <v>1918</v>
      </c>
      <c r="P129" s="3">
        <v>2913</v>
      </c>
      <c r="Q129" s="18">
        <f t="shared" si="7"/>
        <v>5509</v>
      </c>
    </row>
    <row r="130" spans="1:17" ht="18.75" customHeight="1">
      <c r="A130" s="6" t="s">
        <v>17</v>
      </c>
      <c r="B130" s="10">
        <v>44325</v>
      </c>
      <c r="C130" s="3">
        <v>1180</v>
      </c>
      <c r="D130" s="3">
        <v>114</v>
      </c>
      <c r="E130" s="3">
        <v>1295</v>
      </c>
      <c r="F130" s="3">
        <v>434</v>
      </c>
      <c r="G130" s="3">
        <v>0</v>
      </c>
      <c r="H130" s="3">
        <v>0</v>
      </c>
      <c r="I130" s="3">
        <v>0</v>
      </c>
      <c r="J130" s="3">
        <v>0</v>
      </c>
      <c r="K130" s="3">
        <v>180</v>
      </c>
      <c r="L130" s="3">
        <v>7411</v>
      </c>
      <c r="M130" s="3">
        <v>0</v>
      </c>
      <c r="N130" s="3">
        <f t="shared" si="6"/>
        <v>10614</v>
      </c>
      <c r="O130" s="3">
        <v>1700</v>
      </c>
      <c r="P130" s="3">
        <v>3690</v>
      </c>
      <c r="Q130" s="18">
        <f t="shared" si="7"/>
        <v>5224</v>
      </c>
    </row>
    <row r="131" spans="1:17" ht="18.75" customHeight="1">
      <c r="A131" s="6" t="s">
        <v>18</v>
      </c>
      <c r="B131" s="10">
        <v>44326</v>
      </c>
      <c r="C131" s="3">
        <v>2520</v>
      </c>
      <c r="D131" s="3">
        <v>48</v>
      </c>
      <c r="E131" s="3">
        <v>625</v>
      </c>
      <c r="F131" s="3">
        <v>1070</v>
      </c>
      <c r="G131" s="3">
        <v>0</v>
      </c>
      <c r="H131" s="3">
        <v>0</v>
      </c>
      <c r="I131" s="3">
        <v>0</v>
      </c>
      <c r="J131" s="3">
        <v>0</v>
      </c>
      <c r="K131" s="3">
        <v>500</v>
      </c>
      <c r="L131" s="3">
        <v>7266</v>
      </c>
      <c r="M131" s="3">
        <v>0</v>
      </c>
      <c r="N131" s="3">
        <f t="shared" si="6"/>
        <v>12029</v>
      </c>
      <c r="O131" s="3">
        <v>2020</v>
      </c>
      <c r="P131" s="3">
        <v>5918.5</v>
      </c>
      <c r="Q131" s="18">
        <f t="shared" si="7"/>
        <v>4090.5</v>
      </c>
    </row>
    <row r="132" spans="1:17" ht="18.75" customHeight="1">
      <c r="A132" s="6" t="s">
        <v>19</v>
      </c>
      <c r="B132" s="10">
        <v>44327</v>
      </c>
      <c r="C132" s="3">
        <v>2393</v>
      </c>
      <c r="D132" s="3">
        <v>0</v>
      </c>
      <c r="E132" s="3">
        <v>665</v>
      </c>
      <c r="F132" s="3">
        <v>600</v>
      </c>
      <c r="G132" s="3">
        <v>0</v>
      </c>
      <c r="H132" s="3">
        <v>0</v>
      </c>
      <c r="I132" s="3">
        <v>0</v>
      </c>
      <c r="J132" s="3">
        <v>0</v>
      </c>
      <c r="K132" s="3">
        <v>400</v>
      </c>
      <c r="L132" s="3">
        <v>3697</v>
      </c>
      <c r="M132" s="3">
        <v>0</v>
      </c>
      <c r="N132" s="3">
        <f t="shared" si="6"/>
        <v>7755</v>
      </c>
      <c r="O132" s="3">
        <v>1900</v>
      </c>
      <c r="P132" s="3">
        <v>3239</v>
      </c>
      <c r="Q132" s="18">
        <f t="shared" si="7"/>
        <v>2616</v>
      </c>
    </row>
    <row r="133" spans="1:17" ht="18.75" customHeight="1">
      <c r="A133" s="6" t="s">
        <v>20</v>
      </c>
      <c r="B133" s="10">
        <v>44328</v>
      </c>
      <c r="C133" s="3">
        <v>1220</v>
      </c>
      <c r="D133" s="3">
        <v>0</v>
      </c>
      <c r="E133" s="3">
        <v>585</v>
      </c>
      <c r="F133" s="3">
        <v>565</v>
      </c>
      <c r="G133" s="3">
        <v>0</v>
      </c>
      <c r="H133" s="3">
        <v>0</v>
      </c>
      <c r="I133" s="3">
        <v>0</v>
      </c>
      <c r="J133" s="3">
        <v>0</v>
      </c>
      <c r="K133" s="3">
        <v>250</v>
      </c>
      <c r="L133" s="3">
        <v>3284</v>
      </c>
      <c r="M133" s="3">
        <v>0</v>
      </c>
      <c r="N133" s="3">
        <f t="shared" si="6"/>
        <v>5904</v>
      </c>
      <c r="O133" s="3">
        <v>1520</v>
      </c>
      <c r="P133" s="3">
        <v>2283</v>
      </c>
      <c r="Q133" s="18">
        <f t="shared" si="7"/>
        <v>2101</v>
      </c>
    </row>
    <row r="134" spans="1:17" ht="18.75" customHeight="1">
      <c r="A134" s="6" t="s">
        <v>21</v>
      </c>
      <c r="B134" s="10">
        <v>44329</v>
      </c>
      <c r="C134" s="3">
        <v>2308</v>
      </c>
      <c r="D134" s="3">
        <v>837</v>
      </c>
      <c r="E134" s="3">
        <v>765</v>
      </c>
      <c r="F134" s="3">
        <v>305</v>
      </c>
      <c r="G134" s="3">
        <v>0</v>
      </c>
      <c r="H134" s="3">
        <v>0</v>
      </c>
      <c r="I134" s="3">
        <v>0</v>
      </c>
      <c r="J134" s="3">
        <v>0</v>
      </c>
      <c r="K134" s="3">
        <v>450</v>
      </c>
      <c r="L134" s="3">
        <v>3641</v>
      </c>
      <c r="M134" s="3">
        <v>0</v>
      </c>
      <c r="N134" s="3">
        <f t="shared" si="6"/>
        <v>8306</v>
      </c>
      <c r="O134" s="3">
        <v>1820</v>
      </c>
      <c r="P134" s="3">
        <v>3575</v>
      </c>
      <c r="Q134" s="18">
        <f t="shared" si="7"/>
        <v>2911</v>
      </c>
    </row>
    <row r="135" spans="1:17" ht="18.75" customHeight="1">
      <c r="A135" s="6" t="s">
        <v>22</v>
      </c>
      <c r="B135" s="10">
        <v>44330</v>
      </c>
      <c r="C135" s="3">
        <v>2299</v>
      </c>
      <c r="D135" s="3">
        <v>470</v>
      </c>
      <c r="E135" s="3">
        <v>615</v>
      </c>
      <c r="F135" s="3">
        <v>608</v>
      </c>
      <c r="G135" s="3">
        <v>0</v>
      </c>
      <c r="H135" s="3">
        <v>0</v>
      </c>
      <c r="I135" s="3">
        <v>0</v>
      </c>
      <c r="J135" s="3">
        <v>0</v>
      </c>
      <c r="K135" s="3">
        <v>125</v>
      </c>
      <c r="L135" s="3">
        <v>8862</v>
      </c>
      <c r="M135" s="3">
        <v>0</v>
      </c>
      <c r="N135" s="3">
        <f t="shared" si="6"/>
        <v>12979</v>
      </c>
      <c r="O135" s="3">
        <v>3904</v>
      </c>
      <c r="P135" s="3">
        <v>6585</v>
      </c>
      <c r="Q135" s="18">
        <f t="shared" si="7"/>
        <v>2490</v>
      </c>
    </row>
    <row r="136" spans="1:17" ht="18.75" customHeight="1">
      <c r="A136" s="6" t="s">
        <v>23</v>
      </c>
      <c r="B136" s="10">
        <v>44331</v>
      </c>
      <c r="C136" s="3">
        <v>2537</v>
      </c>
      <c r="D136" s="3">
        <v>409</v>
      </c>
      <c r="E136" s="3">
        <v>805</v>
      </c>
      <c r="F136" s="3">
        <v>670</v>
      </c>
      <c r="G136" s="3">
        <v>0</v>
      </c>
      <c r="H136" s="3">
        <v>0</v>
      </c>
      <c r="I136" s="3">
        <v>0</v>
      </c>
      <c r="J136" s="3">
        <v>0</v>
      </c>
      <c r="K136" s="3">
        <v>0</v>
      </c>
      <c r="L136" s="3">
        <v>6683</v>
      </c>
      <c r="M136" s="3">
        <v>0</v>
      </c>
      <c r="N136" s="3">
        <f t="shared" si="6"/>
        <v>11104</v>
      </c>
      <c r="O136" s="3">
        <v>1790</v>
      </c>
      <c r="P136" s="3">
        <v>7374.5</v>
      </c>
      <c r="Q136" s="18">
        <f t="shared" si="7"/>
        <v>1939.5</v>
      </c>
    </row>
    <row r="137" spans="1:17" ht="18.75" customHeight="1">
      <c r="A137" s="6" t="s">
        <v>17</v>
      </c>
      <c r="B137" s="10">
        <v>44332</v>
      </c>
      <c r="C137" s="3">
        <v>3037.5</v>
      </c>
      <c r="D137" s="3">
        <v>262</v>
      </c>
      <c r="E137" s="3">
        <v>1075</v>
      </c>
      <c r="F137" s="3">
        <v>630</v>
      </c>
      <c r="G137" s="3">
        <v>0</v>
      </c>
      <c r="H137" s="3">
        <v>0</v>
      </c>
      <c r="I137" s="3">
        <v>0</v>
      </c>
      <c r="J137" s="3">
        <v>0</v>
      </c>
      <c r="K137" s="3">
        <v>0</v>
      </c>
      <c r="L137" s="3">
        <v>12212</v>
      </c>
      <c r="M137" s="3">
        <v>0</v>
      </c>
      <c r="N137" s="3">
        <f t="shared" si="6"/>
        <v>17216.5</v>
      </c>
      <c r="O137" s="3">
        <v>2510</v>
      </c>
      <c r="P137" s="3">
        <v>9634.5</v>
      </c>
      <c r="Q137" s="18">
        <f t="shared" si="7"/>
        <v>5072</v>
      </c>
    </row>
    <row r="138" spans="1:17" ht="18.75" customHeight="1">
      <c r="A138" s="6" t="s">
        <v>18</v>
      </c>
      <c r="B138" s="10">
        <v>44333</v>
      </c>
      <c r="C138" s="3">
        <v>2125</v>
      </c>
      <c r="D138" s="3">
        <v>20</v>
      </c>
      <c r="E138" s="3">
        <v>673</v>
      </c>
      <c r="F138" s="3">
        <v>295</v>
      </c>
      <c r="G138" s="3">
        <v>5530</v>
      </c>
      <c r="H138" s="3">
        <v>3265</v>
      </c>
      <c r="I138" s="3">
        <v>0</v>
      </c>
      <c r="J138" s="3">
        <v>0</v>
      </c>
      <c r="K138" s="3">
        <v>0</v>
      </c>
      <c r="L138" s="3">
        <v>6775</v>
      </c>
      <c r="M138" s="3">
        <v>0</v>
      </c>
      <c r="N138" s="3">
        <f t="shared" si="6"/>
        <v>18683</v>
      </c>
      <c r="O138" s="3">
        <v>2664</v>
      </c>
      <c r="P138" s="3">
        <v>8278.5</v>
      </c>
      <c r="Q138" s="18">
        <f t="shared" si="7"/>
        <v>7740.5</v>
      </c>
    </row>
    <row r="139" spans="1:17" ht="18.75" customHeight="1">
      <c r="A139" s="6" t="s">
        <v>19</v>
      </c>
      <c r="B139" s="10">
        <v>44334</v>
      </c>
      <c r="C139" s="3">
        <v>1718</v>
      </c>
      <c r="D139" s="3">
        <v>0</v>
      </c>
      <c r="E139" s="3">
        <v>592</v>
      </c>
      <c r="F139" s="3">
        <v>400</v>
      </c>
      <c r="G139" s="3">
        <v>931</v>
      </c>
      <c r="H139" s="3">
        <v>1230</v>
      </c>
      <c r="I139" s="3">
        <v>0</v>
      </c>
      <c r="J139" s="3">
        <v>0</v>
      </c>
      <c r="K139" s="3">
        <v>0</v>
      </c>
      <c r="L139" s="3">
        <v>4757</v>
      </c>
      <c r="M139" s="3">
        <v>0</v>
      </c>
      <c r="N139" s="3">
        <f t="shared" si="6"/>
        <v>9628</v>
      </c>
      <c r="O139" s="3">
        <v>2330</v>
      </c>
      <c r="P139" s="3">
        <v>3308</v>
      </c>
      <c r="Q139" s="18">
        <f t="shared" si="7"/>
        <v>3990</v>
      </c>
    </row>
    <row r="140" spans="1:17" ht="18.75" customHeight="1">
      <c r="A140" s="6" t="s">
        <v>20</v>
      </c>
      <c r="B140" s="10">
        <v>44335</v>
      </c>
      <c r="C140" s="3">
        <v>1790</v>
      </c>
      <c r="D140" s="3">
        <v>163</v>
      </c>
      <c r="E140" s="3">
        <v>1010</v>
      </c>
      <c r="F140" s="3">
        <v>734</v>
      </c>
      <c r="G140" s="3">
        <v>1388.5</v>
      </c>
      <c r="H140" s="3">
        <v>2762</v>
      </c>
      <c r="I140" s="3">
        <v>0</v>
      </c>
      <c r="J140" s="3">
        <v>0</v>
      </c>
      <c r="K140" s="3">
        <v>0</v>
      </c>
      <c r="L140" s="3">
        <v>3599</v>
      </c>
      <c r="M140" s="3">
        <v>0</v>
      </c>
      <c r="N140" s="3">
        <f t="shared" si="6"/>
        <v>11446.5</v>
      </c>
      <c r="O140" s="3">
        <v>2220</v>
      </c>
      <c r="P140" s="3">
        <v>3515</v>
      </c>
      <c r="Q140" s="18">
        <f t="shared" si="7"/>
        <v>5711.5</v>
      </c>
    </row>
    <row r="141" spans="1:17" ht="18.75" customHeight="1">
      <c r="A141" s="6" t="s">
        <v>21</v>
      </c>
      <c r="B141" s="10">
        <v>44336</v>
      </c>
      <c r="C141" s="3">
        <v>2300</v>
      </c>
      <c r="D141" s="3">
        <v>0</v>
      </c>
      <c r="E141" s="3">
        <v>615</v>
      </c>
      <c r="F141" s="3">
        <v>380</v>
      </c>
      <c r="G141" s="3">
        <v>972</v>
      </c>
      <c r="H141" s="3">
        <v>2097</v>
      </c>
      <c r="I141" s="3">
        <v>0</v>
      </c>
      <c r="J141" s="3">
        <v>0</v>
      </c>
      <c r="K141" s="3">
        <v>0</v>
      </c>
      <c r="L141" s="3">
        <v>4608</v>
      </c>
      <c r="M141" s="3">
        <v>0</v>
      </c>
      <c r="N141" s="3">
        <f t="shared" si="6"/>
        <v>10972</v>
      </c>
      <c r="O141" s="3">
        <v>1990</v>
      </c>
      <c r="P141" s="3">
        <v>5176</v>
      </c>
      <c r="Q141" s="18">
        <f t="shared" si="7"/>
        <v>3806</v>
      </c>
    </row>
    <row r="142" spans="1:17" ht="18.75" customHeight="1">
      <c r="A142" s="6" t="s">
        <v>22</v>
      </c>
      <c r="B142" s="10">
        <v>44337</v>
      </c>
      <c r="C142" s="3">
        <v>1296</v>
      </c>
      <c r="D142" s="3">
        <v>0</v>
      </c>
      <c r="E142" s="3">
        <v>943</v>
      </c>
      <c r="F142" s="3">
        <v>701</v>
      </c>
      <c r="G142" s="3">
        <v>1561</v>
      </c>
      <c r="H142" s="3">
        <v>1289</v>
      </c>
      <c r="I142" s="3">
        <v>0</v>
      </c>
      <c r="J142" s="3">
        <v>0</v>
      </c>
      <c r="K142" s="3">
        <v>0</v>
      </c>
      <c r="L142" s="3">
        <v>5631</v>
      </c>
      <c r="M142" s="3">
        <v>0</v>
      </c>
      <c r="N142" s="3">
        <f t="shared" si="6"/>
        <v>11421</v>
      </c>
      <c r="O142" s="3">
        <v>2030</v>
      </c>
      <c r="P142" s="3">
        <v>6903</v>
      </c>
      <c r="Q142" s="18">
        <f t="shared" si="7"/>
        <v>2488</v>
      </c>
    </row>
    <row r="143" spans="1:17" ht="18.75" customHeight="1">
      <c r="A143" s="6" t="s">
        <v>23</v>
      </c>
      <c r="B143" s="10">
        <v>44338</v>
      </c>
      <c r="C143" s="3">
        <v>1590</v>
      </c>
      <c r="D143" s="3">
        <v>0</v>
      </c>
      <c r="E143" s="3">
        <v>794</v>
      </c>
      <c r="F143" s="3">
        <v>429</v>
      </c>
      <c r="G143" s="3">
        <v>1234</v>
      </c>
      <c r="H143" s="3">
        <v>0</v>
      </c>
      <c r="I143" s="3">
        <v>0</v>
      </c>
      <c r="J143" s="3">
        <v>0</v>
      </c>
      <c r="K143" s="3">
        <v>0</v>
      </c>
      <c r="L143" s="3">
        <v>6019</v>
      </c>
      <c r="M143" s="3">
        <v>0</v>
      </c>
      <c r="N143" s="3">
        <f t="shared" si="6"/>
        <v>10066</v>
      </c>
      <c r="O143" s="3">
        <v>1950</v>
      </c>
      <c r="P143" s="3">
        <v>4297</v>
      </c>
      <c r="Q143" s="18">
        <f t="shared" si="7"/>
        <v>3819</v>
      </c>
    </row>
    <row r="144" spans="1:17" ht="18.75" customHeight="1">
      <c r="A144" s="6" t="s">
        <v>17</v>
      </c>
      <c r="B144" s="10">
        <v>44339</v>
      </c>
      <c r="C144" s="3">
        <v>1706</v>
      </c>
      <c r="D144" s="3">
        <v>0</v>
      </c>
      <c r="E144" s="3">
        <v>1248</v>
      </c>
      <c r="F144" s="3">
        <v>705</v>
      </c>
      <c r="G144" s="3">
        <v>637</v>
      </c>
      <c r="H144" s="3">
        <v>0</v>
      </c>
      <c r="I144" s="3">
        <v>0</v>
      </c>
      <c r="J144" s="3">
        <v>0</v>
      </c>
      <c r="K144" s="3">
        <v>0</v>
      </c>
      <c r="L144" s="3">
        <v>8178</v>
      </c>
      <c r="M144" s="3">
        <v>0</v>
      </c>
      <c r="N144" s="3">
        <f t="shared" si="6"/>
        <v>12474</v>
      </c>
      <c r="O144" s="3">
        <v>2220</v>
      </c>
      <c r="P144" s="3">
        <v>2969</v>
      </c>
      <c r="Q144" s="18">
        <f t="shared" si="7"/>
        <v>7285</v>
      </c>
    </row>
    <row r="145" spans="1:17" ht="18.75" customHeight="1">
      <c r="A145" s="6" t="s">
        <v>18</v>
      </c>
      <c r="B145" s="10">
        <v>44340</v>
      </c>
      <c r="C145" s="3">
        <v>1849</v>
      </c>
      <c r="D145" s="3">
        <v>0</v>
      </c>
      <c r="E145" s="3">
        <v>1021</v>
      </c>
      <c r="F145" s="3">
        <v>724</v>
      </c>
      <c r="G145" s="3">
        <v>0</v>
      </c>
      <c r="H145" s="3">
        <v>0</v>
      </c>
      <c r="I145" s="3">
        <v>0</v>
      </c>
      <c r="J145" s="3">
        <v>0</v>
      </c>
      <c r="K145" s="3">
        <v>380</v>
      </c>
      <c r="L145" s="3">
        <v>2584</v>
      </c>
      <c r="M145" s="3">
        <v>342</v>
      </c>
      <c r="N145" s="3">
        <f t="shared" si="6"/>
        <v>6900</v>
      </c>
      <c r="O145" s="3">
        <v>1620</v>
      </c>
      <c r="P145" s="3">
        <v>6588</v>
      </c>
      <c r="Q145" s="18">
        <f t="shared" si="7"/>
        <v>-1308</v>
      </c>
    </row>
    <row r="146" spans="1:17" ht="18.75" customHeight="1">
      <c r="A146" s="6" t="s">
        <v>19</v>
      </c>
      <c r="B146" s="10">
        <v>44341</v>
      </c>
      <c r="C146" s="3">
        <v>1895</v>
      </c>
      <c r="D146" s="3">
        <v>0</v>
      </c>
      <c r="E146" s="3">
        <v>566</v>
      </c>
      <c r="F146" s="3">
        <v>274</v>
      </c>
      <c r="G146" s="3">
        <v>0</v>
      </c>
      <c r="H146" s="3">
        <v>0</v>
      </c>
      <c r="I146" s="3">
        <v>0</v>
      </c>
      <c r="J146" s="3">
        <v>0</v>
      </c>
      <c r="K146" s="3">
        <v>560</v>
      </c>
      <c r="L146" s="3">
        <v>3787</v>
      </c>
      <c r="M146" s="3">
        <v>0</v>
      </c>
      <c r="N146" s="3">
        <f t="shared" si="6"/>
        <v>7082</v>
      </c>
      <c r="O146" s="3">
        <v>1620</v>
      </c>
      <c r="P146" s="3">
        <v>2994</v>
      </c>
      <c r="Q146" s="18">
        <f t="shared" si="7"/>
        <v>2468</v>
      </c>
    </row>
    <row r="147" spans="1:17" ht="18.75" customHeight="1">
      <c r="A147" s="6" t="s">
        <v>20</v>
      </c>
      <c r="B147" s="10">
        <v>44342</v>
      </c>
      <c r="C147" s="3">
        <v>1475</v>
      </c>
      <c r="D147" s="3">
        <v>534</v>
      </c>
      <c r="E147" s="3">
        <v>930</v>
      </c>
      <c r="F147" s="3">
        <v>708</v>
      </c>
      <c r="G147" s="3">
        <v>0</v>
      </c>
      <c r="H147" s="3">
        <v>0</v>
      </c>
      <c r="I147" s="3">
        <v>0</v>
      </c>
      <c r="J147" s="3">
        <v>0</v>
      </c>
      <c r="K147" s="3">
        <v>234</v>
      </c>
      <c r="L147" s="3">
        <v>5069</v>
      </c>
      <c r="M147" s="3">
        <v>939</v>
      </c>
      <c r="N147" s="3">
        <f t="shared" si="6"/>
        <v>9889</v>
      </c>
      <c r="O147" s="3">
        <v>1830</v>
      </c>
      <c r="P147" s="3">
        <v>3018.5</v>
      </c>
      <c r="Q147" s="18">
        <f t="shared" si="7"/>
        <v>5040.5</v>
      </c>
    </row>
    <row r="148" spans="1:17" ht="18.75" customHeight="1">
      <c r="A148" s="6" t="s">
        <v>21</v>
      </c>
      <c r="B148" s="10">
        <v>44343</v>
      </c>
      <c r="C148" s="3">
        <v>2058</v>
      </c>
      <c r="D148" s="3">
        <v>900</v>
      </c>
      <c r="E148" s="3">
        <v>1120</v>
      </c>
      <c r="F148" s="3">
        <v>134</v>
      </c>
      <c r="G148" s="3">
        <v>0</v>
      </c>
      <c r="H148" s="3">
        <v>0</v>
      </c>
      <c r="I148" s="3">
        <v>0</v>
      </c>
      <c r="J148" s="3">
        <v>209</v>
      </c>
      <c r="K148" s="3">
        <v>145</v>
      </c>
      <c r="L148" s="3">
        <v>5360</v>
      </c>
      <c r="M148" s="3">
        <v>289</v>
      </c>
      <c r="N148" s="3">
        <f t="shared" si="6"/>
        <v>10215</v>
      </c>
      <c r="O148" s="3">
        <v>1780</v>
      </c>
      <c r="P148" s="3">
        <v>4144</v>
      </c>
      <c r="Q148" s="18">
        <f t="shared" si="7"/>
        <v>4291</v>
      </c>
    </row>
    <row r="149" spans="1:17" ht="18.75" customHeight="1">
      <c r="A149" s="6" t="s">
        <v>22</v>
      </c>
      <c r="B149" s="10">
        <v>44344</v>
      </c>
      <c r="C149" s="3">
        <v>2406.5</v>
      </c>
      <c r="D149" s="3">
        <v>342</v>
      </c>
      <c r="E149" s="3">
        <v>904</v>
      </c>
      <c r="F149" s="3">
        <v>214</v>
      </c>
      <c r="G149" s="3">
        <v>0</v>
      </c>
      <c r="H149" s="3">
        <v>0</v>
      </c>
      <c r="I149" s="3">
        <v>0</v>
      </c>
      <c r="J149" s="3">
        <v>77</v>
      </c>
      <c r="K149" s="3">
        <v>0</v>
      </c>
      <c r="L149" s="3">
        <v>6071</v>
      </c>
      <c r="M149" s="3">
        <v>0</v>
      </c>
      <c r="N149" s="3">
        <f t="shared" si="6"/>
        <v>10014.5</v>
      </c>
      <c r="O149" s="3">
        <v>1860</v>
      </c>
      <c r="P149" s="3">
        <v>5328</v>
      </c>
      <c r="Q149" s="18">
        <f t="shared" si="7"/>
        <v>2826.5</v>
      </c>
    </row>
    <row r="150" spans="1:17" ht="18.75" customHeight="1">
      <c r="A150" s="6" t="s">
        <v>23</v>
      </c>
      <c r="B150" s="10">
        <v>44345</v>
      </c>
      <c r="C150" s="3">
        <v>1700</v>
      </c>
      <c r="D150" s="3">
        <v>0</v>
      </c>
      <c r="E150" s="3">
        <v>314</v>
      </c>
      <c r="F150" s="3">
        <v>580</v>
      </c>
      <c r="G150" s="3">
        <v>0</v>
      </c>
      <c r="H150" s="3">
        <v>0</v>
      </c>
      <c r="I150" s="3">
        <v>0</v>
      </c>
      <c r="J150" s="3">
        <v>0</v>
      </c>
      <c r="K150" s="3">
        <v>668</v>
      </c>
      <c r="L150" s="3">
        <v>8060</v>
      </c>
      <c r="M150" s="3">
        <v>614</v>
      </c>
      <c r="N150" s="3">
        <f t="shared" si="6"/>
        <v>11936</v>
      </c>
      <c r="O150" s="3">
        <v>2050</v>
      </c>
      <c r="P150" s="3">
        <v>7337.5</v>
      </c>
      <c r="Q150" s="18">
        <f t="shared" si="7"/>
        <v>2548.5</v>
      </c>
    </row>
    <row r="151" spans="1:17" ht="18.75" customHeight="1">
      <c r="A151" s="6" t="s">
        <v>17</v>
      </c>
      <c r="B151" s="10">
        <v>44346</v>
      </c>
      <c r="C151" s="3">
        <v>2085</v>
      </c>
      <c r="D151" s="3">
        <v>0</v>
      </c>
      <c r="E151" s="3">
        <v>603</v>
      </c>
      <c r="F151" s="3">
        <v>933</v>
      </c>
      <c r="G151" s="3">
        <v>0</v>
      </c>
      <c r="H151" s="3">
        <v>0</v>
      </c>
      <c r="I151" s="3">
        <v>0</v>
      </c>
      <c r="J151" s="3">
        <v>1600</v>
      </c>
      <c r="K151" s="3">
        <v>360</v>
      </c>
      <c r="L151" s="3">
        <v>11188</v>
      </c>
      <c r="M151" s="3">
        <v>1109</v>
      </c>
      <c r="N151" s="3">
        <f t="shared" si="6"/>
        <v>17878</v>
      </c>
      <c r="O151" s="3">
        <v>2680</v>
      </c>
      <c r="P151" s="3">
        <v>4009</v>
      </c>
      <c r="Q151" s="18">
        <f t="shared" si="7"/>
        <v>11189</v>
      </c>
    </row>
    <row r="152" spans="1:17" ht="18.75" customHeight="1">
      <c r="A152" s="6" t="s">
        <v>18</v>
      </c>
      <c r="B152" s="10">
        <v>44347</v>
      </c>
      <c r="C152" s="3">
        <v>1885</v>
      </c>
      <c r="D152" s="3">
        <v>0</v>
      </c>
      <c r="E152" s="3">
        <v>904</v>
      </c>
      <c r="F152" s="3">
        <v>616</v>
      </c>
      <c r="G152" s="3">
        <v>1999</v>
      </c>
      <c r="H152" s="3">
        <v>4904</v>
      </c>
      <c r="I152" s="3">
        <v>0</v>
      </c>
      <c r="J152" s="3">
        <v>136</v>
      </c>
      <c r="K152" s="3">
        <v>0</v>
      </c>
      <c r="L152" s="3">
        <v>7065</v>
      </c>
      <c r="M152" s="3">
        <v>639</v>
      </c>
      <c r="N152" s="3">
        <f t="shared" si="6"/>
        <v>18148</v>
      </c>
      <c r="O152" s="3">
        <v>2350</v>
      </c>
      <c r="P152" s="3">
        <v>7141</v>
      </c>
      <c r="Q152" s="18">
        <f t="shared" si="7"/>
        <v>8657</v>
      </c>
    </row>
    <row r="153" spans="1:17" ht="18.75" customHeight="1">
      <c r="A153" s="6" t="s">
        <v>19</v>
      </c>
      <c r="B153" s="10">
        <v>44348</v>
      </c>
      <c r="C153" s="3">
        <v>1553</v>
      </c>
      <c r="D153" s="3">
        <v>0</v>
      </c>
      <c r="E153" s="3">
        <v>718</v>
      </c>
      <c r="F153" s="3">
        <v>238</v>
      </c>
      <c r="G153" s="3">
        <v>2658</v>
      </c>
      <c r="H153" s="3">
        <v>0</v>
      </c>
      <c r="I153" s="3">
        <v>0</v>
      </c>
      <c r="J153" s="3">
        <v>0</v>
      </c>
      <c r="K153" s="3">
        <v>300</v>
      </c>
      <c r="L153" s="3">
        <v>5695</v>
      </c>
      <c r="M153" s="3">
        <v>187</v>
      </c>
      <c r="N153" s="3">
        <f t="shared" si="6"/>
        <v>11349</v>
      </c>
      <c r="O153" s="3">
        <v>1965</v>
      </c>
      <c r="P153" s="3">
        <v>3406</v>
      </c>
      <c r="Q153" s="18">
        <f t="shared" si="7"/>
        <v>5978</v>
      </c>
    </row>
    <row r="154" spans="1:17" ht="18.75" customHeight="1">
      <c r="A154" s="6" t="s">
        <v>24</v>
      </c>
      <c r="B154" s="10">
        <v>44349</v>
      </c>
      <c r="C154" s="3">
        <v>2200</v>
      </c>
      <c r="D154" s="3">
        <v>0</v>
      </c>
      <c r="E154" s="3">
        <v>315</v>
      </c>
      <c r="F154" s="3">
        <v>944</v>
      </c>
      <c r="G154" s="3">
        <v>1175</v>
      </c>
      <c r="H154" s="3">
        <v>0</v>
      </c>
      <c r="I154" s="3">
        <v>0</v>
      </c>
      <c r="J154" s="3">
        <v>0</v>
      </c>
      <c r="K154" s="3">
        <v>0</v>
      </c>
      <c r="L154" s="3">
        <v>6252</v>
      </c>
      <c r="M154" s="3">
        <v>263</v>
      </c>
      <c r="N154" s="3">
        <f t="shared" si="6"/>
        <v>11149</v>
      </c>
      <c r="O154" s="3">
        <v>2010</v>
      </c>
      <c r="P154" s="3">
        <v>3841.5</v>
      </c>
      <c r="Q154" s="18">
        <f t="shared" si="7"/>
        <v>5297.5</v>
      </c>
    </row>
    <row r="155" spans="1:17" ht="18.75" customHeight="1">
      <c r="A155" s="6" t="s">
        <v>21</v>
      </c>
      <c r="B155" s="10">
        <v>44350</v>
      </c>
      <c r="C155" s="3">
        <v>1437</v>
      </c>
      <c r="D155" s="3">
        <v>0</v>
      </c>
      <c r="E155" s="3">
        <v>580</v>
      </c>
      <c r="F155" s="3">
        <v>592</v>
      </c>
      <c r="G155" s="3">
        <v>472</v>
      </c>
      <c r="H155" s="3">
        <v>1454</v>
      </c>
      <c r="I155" s="3">
        <v>0</v>
      </c>
      <c r="J155" s="3">
        <v>0</v>
      </c>
      <c r="K155" s="3">
        <v>330</v>
      </c>
      <c r="L155" s="3">
        <v>4262</v>
      </c>
      <c r="M155" s="3">
        <v>1010</v>
      </c>
      <c r="N155" s="3">
        <f t="shared" si="6"/>
        <v>10137</v>
      </c>
      <c r="O155" s="3">
        <v>2025</v>
      </c>
      <c r="P155" s="3">
        <v>4856</v>
      </c>
      <c r="Q155" s="18">
        <f t="shared" si="7"/>
        <v>3256</v>
      </c>
    </row>
    <row r="156" spans="1:17" ht="18.75" customHeight="1">
      <c r="A156" s="6" t="s">
        <v>22</v>
      </c>
      <c r="B156" s="10">
        <v>44351</v>
      </c>
      <c r="C156" s="3">
        <v>2014</v>
      </c>
      <c r="D156" s="3">
        <v>0</v>
      </c>
      <c r="E156" s="3">
        <v>465</v>
      </c>
      <c r="F156" s="3">
        <v>1482</v>
      </c>
      <c r="G156" s="3">
        <v>222</v>
      </c>
      <c r="H156" s="3">
        <v>0</v>
      </c>
      <c r="I156" s="3">
        <v>0</v>
      </c>
      <c r="J156" s="3">
        <v>0</v>
      </c>
      <c r="K156" s="3">
        <v>0</v>
      </c>
      <c r="L156" s="3">
        <v>4227</v>
      </c>
      <c r="M156" s="3">
        <v>469</v>
      </c>
      <c r="N156" s="3">
        <f t="shared" ref="N156:N219" si="8">SUM(C156:M156)</f>
        <v>8879</v>
      </c>
      <c r="O156" s="3">
        <v>1860</v>
      </c>
      <c r="P156" s="3">
        <v>5509</v>
      </c>
      <c r="Q156" s="18">
        <f t="shared" si="7"/>
        <v>1510</v>
      </c>
    </row>
    <row r="157" spans="1:17" ht="18.75" customHeight="1">
      <c r="A157" s="6" t="s">
        <v>23</v>
      </c>
      <c r="B157" s="10">
        <v>44352</v>
      </c>
      <c r="C157" s="3">
        <v>1863</v>
      </c>
      <c r="D157" s="3">
        <v>344</v>
      </c>
      <c r="E157" s="3">
        <v>1046</v>
      </c>
      <c r="F157" s="3">
        <v>398</v>
      </c>
      <c r="G157" s="3">
        <v>0</v>
      </c>
      <c r="H157" s="3">
        <v>0</v>
      </c>
      <c r="I157" s="3">
        <v>0</v>
      </c>
      <c r="J157" s="3">
        <v>0</v>
      </c>
      <c r="K157" s="3">
        <v>140</v>
      </c>
      <c r="L157" s="3">
        <v>6604</v>
      </c>
      <c r="M157" s="3">
        <v>659</v>
      </c>
      <c r="N157" s="3">
        <f t="shared" si="8"/>
        <v>11054</v>
      </c>
      <c r="O157" s="3">
        <v>2070</v>
      </c>
      <c r="P157" s="3">
        <v>5853</v>
      </c>
      <c r="Q157" s="18">
        <f t="shared" si="7"/>
        <v>3131</v>
      </c>
    </row>
    <row r="158" spans="1:17" ht="18.75" customHeight="1">
      <c r="A158" s="6" t="s">
        <v>17</v>
      </c>
      <c r="B158" s="10">
        <v>44353</v>
      </c>
      <c r="C158" s="3">
        <v>1655</v>
      </c>
      <c r="D158" s="3">
        <v>0</v>
      </c>
      <c r="E158" s="3">
        <v>1324</v>
      </c>
      <c r="F158" s="3">
        <v>423</v>
      </c>
      <c r="G158" s="3">
        <v>0</v>
      </c>
      <c r="H158" s="3">
        <v>0</v>
      </c>
      <c r="I158" s="3">
        <v>0</v>
      </c>
      <c r="J158" s="3">
        <v>0</v>
      </c>
      <c r="K158" s="3">
        <v>455</v>
      </c>
      <c r="L158" s="3">
        <v>9619</v>
      </c>
      <c r="M158" s="3">
        <v>0</v>
      </c>
      <c r="N158" s="3">
        <f t="shared" si="8"/>
        <v>13476</v>
      </c>
      <c r="O158" s="3">
        <v>2120</v>
      </c>
      <c r="P158" s="3">
        <v>4544</v>
      </c>
      <c r="Q158" s="18">
        <f t="shared" si="7"/>
        <v>6812</v>
      </c>
    </row>
    <row r="159" spans="1:17" ht="18.75" customHeight="1">
      <c r="A159" s="6" t="s">
        <v>18</v>
      </c>
      <c r="B159" s="10">
        <v>44354</v>
      </c>
      <c r="C159" s="3">
        <v>2380</v>
      </c>
      <c r="D159" s="3">
        <v>148</v>
      </c>
      <c r="E159" s="3">
        <v>563</v>
      </c>
      <c r="F159" s="3">
        <v>982</v>
      </c>
      <c r="G159" s="3">
        <v>0</v>
      </c>
      <c r="H159" s="3">
        <v>0</v>
      </c>
      <c r="I159" s="3">
        <v>0</v>
      </c>
      <c r="J159" s="3">
        <v>484</v>
      </c>
      <c r="K159" s="3">
        <v>335</v>
      </c>
      <c r="L159" s="3">
        <v>5608</v>
      </c>
      <c r="M159" s="3">
        <v>204</v>
      </c>
      <c r="N159" s="3">
        <f t="shared" si="8"/>
        <v>10704</v>
      </c>
      <c r="O159" s="3">
        <v>2230</v>
      </c>
      <c r="P159" s="3">
        <v>6447</v>
      </c>
      <c r="Q159" s="18">
        <f t="shared" si="7"/>
        <v>2027</v>
      </c>
    </row>
    <row r="160" spans="1:17" ht="18.75" customHeight="1">
      <c r="A160" s="6" t="s">
        <v>19</v>
      </c>
      <c r="B160" s="10">
        <v>44355</v>
      </c>
      <c r="C160" s="3">
        <v>2035</v>
      </c>
      <c r="D160" s="3">
        <v>0</v>
      </c>
      <c r="E160" s="3">
        <v>574</v>
      </c>
      <c r="F160" s="3">
        <v>704</v>
      </c>
      <c r="G160" s="3">
        <v>258</v>
      </c>
      <c r="H160" s="3">
        <v>0</v>
      </c>
      <c r="I160" s="3">
        <v>0</v>
      </c>
      <c r="J160" s="3">
        <v>214</v>
      </c>
      <c r="K160" s="3">
        <v>195</v>
      </c>
      <c r="L160" s="3">
        <v>2691</v>
      </c>
      <c r="M160" s="3">
        <v>444</v>
      </c>
      <c r="N160" s="3">
        <f t="shared" si="8"/>
        <v>7115</v>
      </c>
      <c r="O160" s="3">
        <v>1965</v>
      </c>
      <c r="P160" s="3">
        <v>3020</v>
      </c>
      <c r="Q160" s="18">
        <f t="shared" si="7"/>
        <v>2130</v>
      </c>
    </row>
    <row r="161" spans="1:17" ht="18.75" customHeight="1">
      <c r="A161" s="6" t="s">
        <v>20</v>
      </c>
      <c r="B161" s="10">
        <v>44356</v>
      </c>
      <c r="C161" s="3">
        <v>1395</v>
      </c>
      <c r="D161" s="3">
        <v>0</v>
      </c>
      <c r="E161" s="3">
        <v>178</v>
      </c>
      <c r="F161" s="3">
        <v>1196</v>
      </c>
      <c r="G161" s="3">
        <v>0</v>
      </c>
      <c r="H161" s="3">
        <v>0</v>
      </c>
      <c r="I161" s="3">
        <v>0</v>
      </c>
      <c r="J161" s="3">
        <v>0</v>
      </c>
      <c r="K161" s="3">
        <v>0</v>
      </c>
      <c r="L161" s="3">
        <v>5296</v>
      </c>
      <c r="M161" s="3">
        <v>0</v>
      </c>
      <c r="N161" s="3">
        <f t="shared" si="8"/>
        <v>8065</v>
      </c>
      <c r="O161" s="3">
        <v>1960</v>
      </c>
      <c r="P161" s="3">
        <v>2954</v>
      </c>
      <c r="Q161" s="18">
        <f t="shared" si="7"/>
        <v>3151</v>
      </c>
    </row>
    <row r="162" spans="1:17" ht="18.75" customHeight="1">
      <c r="A162" s="6" t="s">
        <v>21</v>
      </c>
      <c r="B162" s="10">
        <v>44357</v>
      </c>
      <c r="C162" s="3">
        <v>1646</v>
      </c>
      <c r="D162" s="3">
        <v>0</v>
      </c>
      <c r="E162" s="3">
        <v>1082</v>
      </c>
      <c r="F162" s="3">
        <v>651</v>
      </c>
      <c r="G162" s="3">
        <v>148</v>
      </c>
      <c r="H162" s="3">
        <v>0</v>
      </c>
      <c r="I162" s="3">
        <v>0</v>
      </c>
      <c r="J162" s="3">
        <v>497</v>
      </c>
      <c r="K162" s="3">
        <v>360</v>
      </c>
      <c r="L162" s="3">
        <v>4482</v>
      </c>
      <c r="M162" s="3">
        <v>281</v>
      </c>
      <c r="N162" s="3">
        <f t="shared" si="8"/>
        <v>9147</v>
      </c>
      <c r="O162" s="3">
        <v>1650</v>
      </c>
      <c r="P162" s="3">
        <v>4306</v>
      </c>
      <c r="Q162" s="18">
        <f t="shared" si="7"/>
        <v>3191</v>
      </c>
    </row>
    <row r="163" spans="1:17" ht="18.75" customHeight="1">
      <c r="A163" s="6" t="s">
        <v>22</v>
      </c>
      <c r="B163" s="10">
        <v>44358</v>
      </c>
      <c r="C163" s="3">
        <v>2327</v>
      </c>
      <c r="D163" s="3">
        <v>0</v>
      </c>
      <c r="E163" s="3">
        <v>806</v>
      </c>
      <c r="F163" s="3">
        <v>196</v>
      </c>
      <c r="G163" s="3">
        <v>0</v>
      </c>
      <c r="H163" s="3">
        <v>0</v>
      </c>
      <c r="I163" s="3">
        <v>0</v>
      </c>
      <c r="J163" s="3">
        <v>182</v>
      </c>
      <c r="K163" s="3">
        <v>470</v>
      </c>
      <c r="L163" s="3">
        <v>3927</v>
      </c>
      <c r="M163" s="3">
        <v>461</v>
      </c>
      <c r="N163" s="3">
        <f t="shared" si="8"/>
        <v>8369</v>
      </c>
      <c r="O163" s="3">
        <v>1530</v>
      </c>
      <c r="P163" s="3">
        <v>5728</v>
      </c>
      <c r="Q163" s="18">
        <f t="shared" si="7"/>
        <v>1111</v>
      </c>
    </row>
    <row r="164" spans="1:17" ht="18.75" customHeight="1">
      <c r="A164" s="6" t="s">
        <v>23</v>
      </c>
      <c r="B164" s="10">
        <v>44359</v>
      </c>
      <c r="C164" s="3">
        <v>2655</v>
      </c>
      <c r="D164" s="3">
        <v>0</v>
      </c>
      <c r="E164" s="3">
        <v>1082</v>
      </c>
      <c r="F164" s="3">
        <v>576</v>
      </c>
      <c r="G164" s="3">
        <v>0</v>
      </c>
      <c r="H164" s="3">
        <v>0</v>
      </c>
      <c r="I164" s="3">
        <v>0</v>
      </c>
      <c r="J164" s="3">
        <v>0</v>
      </c>
      <c r="K164" s="3">
        <v>370</v>
      </c>
      <c r="L164" s="3">
        <v>7588</v>
      </c>
      <c r="M164" s="3">
        <v>436</v>
      </c>
      <c r="N164" s="3">
        <f t="shared" si="8"/>
        <v>12707</v>
      </c>
      <c r="O164" s="3">
        <v>2070</v>
      </c>
      <c r="P164" s="3">
        <v>4819.5</v>
      </c>
      <c r="Q164" s="18">
        <f t="shared" si="7"/>
        <v>5817.5</v>
      </c>
    </row>
    <row r="165" spans="1:17" ht="18.75" customHeight="1">
      <c r="A165" s="6" t="s">
        <v>17</v>
      </c>
      <c r="B165" s="10">
        <v>44360</v>
      </c>
      <c r="C165" s="3">
        <v>1545</v>
      </c>
      <c r="D165" s="3">
        <v>0</v>
      </c>
      <c r="E165" s="3">
        <v>1032</v>
      </c>
      <c r="F165" s="3">
        <v>469</v>
      </c>
      <c r="G165" s="3">
        <v>0</v>
      </c>
      <c r="H165" s="3">
        <v>0</v>
      </c>
      <c r="I165" s="3">
        <v>0</v>
      </c>
      <c r="J165" s="3">
        <v>200</v>
      </c>
      <c r="K165" s="3">
        <v>70</v>
      </c>
      <c r="L165" s="3">
        <v>9214</v>
      </c>
      <c r="M165" s="3">
        <v>217</v>
      </c>
      <c r="N165" s="3">
        <f t="shared" si="8"/>
        <v>12747</v>
      </c>
      <c r="O165" s="3">
        <v>2105</v>
      </c>
      <c r="P165" s="3">
        <v>2629.5</v>
      </c>
      <c r="Q165" s="18">
        <f t="shared" si="7"/>
        <v>8012.5</v>
      </c>
    </row>
    <row r="166" spans="1:17" ht="18.75" customHeight="1">
      <c r="A166" s="6" t="s">
        <v>18</v>
      </c>
      <c r="B166" s="10">
        <v>44361</v>
      </c>
      <c r="C166" s="3">
        <v>1530</v>
      </c>
      <c r="D166" s="3">
        <v>147</v>
      </c>
      <c r="E166" s="3">
        <v>1132</v>
      </c>
      <c r="F166" s="3">
        <v>390</v>
      </c>
      <c r="G166" s="3">
        <v>0</v>
      </c>
      <c r="H166" s="3">
        <v>0</v>
      </c>
      <c r="I166" s="3">
        <v>0</v>
      </c>
      <c r="J166" s="3">
        <v>0</v>
      </c>
      <c r="K166" s="3">
        <v>490</v>
      </c>
      <c r="L166" s="3">
        <v>5486</v>
      </c>
      <c r="M166" s="3">
        <v>1194</v>
      </c>
      <c r="N166" s="3">
        <f t="shared" si="8"/>
        <v>10369</v>
      </c>
      <c r="O166" s="3">
        <v>1990</v>
      </c>
      <c r="P166" s="3">
        <v>6009.5</v>
      </c>
      <c r="Q166" s="18">
        <f t="shared" si="7"/>
        <v>2369.5</v>
      </c>
    </row>
    <row r="167" spans="1:17" ht="18.75" customHeight="1">
      <c r="A167" s="6" t="s">
        <v>19</v>
      </c>
      <c r="B167" s="10">
        <v>44362</v>
      </c>
      <c r="C167" s="3">
        <v>2358</v>
      </c>
      <c r="D167" s="3">
        <v>0</v>
      </c>
      <c r="E167" s="3">
        <v>656</v>
      </c>
      <c r="F167" s="3">
        <v>498</v>
      </c>
      <c r="G167" s="3">
        <v>0</v>
      </c>
      <c r="H167" s="3">
        <v>0</v>
      </c>
      <c r="I167" s="3">
        <v>0</v>
      </c>
      <c r="J167" s="3">
        <v>0</v>
      </c>
      <c r="K167" s="3">
        <v>320</v>
      </c>
      <c r="L167" s="3">
        <v>3531</v>
      </c>
      <c r="M167" s="3">
        <v>168</v>
      </c>
      <c r="N167" s="3">
        <f t="shared" si="8"/>
        <v>7531</v>
      </c>
      <c r="O167" s="3">
        <v>1700</v>
      </c>
      <c r="P167" s="3">
        <v>2972</v>
      </c>
      <c r="Q167" s="18">
        <f t="shared" si="7"/>
        <v>2859</v>
      </c>
    </row>
    <row r="168" spans="1:17" ht="18.75" customHeight="1">
      <c r="A168" s="6" t="s">
        <v>20</v>
      </c>
      <c r="B168" s="10">
        <v>44363</v>
      </c>
      <c r="C168" s="3">
        <v>2283</v>
      </c>
      <c r="D168" s="3">
        <v>324</v>
      </c>
      <c r="E168" s="3">
        <v>238</v>
      </c>
      <c r="F168" s="3">
        <v>386</v>
      </c>
      <c r="G168" s="3">
        <v>0</v>
      </c>
      <c r="H168" s="3">
        <v>0</v>
      </c>
      <c r="I168" s="3">
        <v>0</v>
      </c>
      <c r="J168" s="3">
        <v>0</v>
      </c>
      <c r="K168" s="3">
        <v>320</v>
      </c>
      <c r="L168" s="3">
        <v>3800</v>
      </c>
      <c r="M168" s="3">
        <v>135</v>
      </c>
      <c r="N168" s="3">
        <f t="shared" si="8"/>
        <v>7486</v>
      </c>
      <c r="O168" s="3">
        <v>1690</v>
      </c>
      <c r="P168" s="3">
        <v>2258</v>
      </c>
      <c r="Q168" s="18">
        <f t="shared" si="7"/>
        <v>3538</v>
      </c>
    </row>
    <row r="169" spans="1:17" ht="18.75" customHeight="1">
      <c r="A169" s="6" t="s">
        <v>21</v>
      </c>
      <c r="B169" s="10">
        <v>44364</v>
      </c>
      <c r="C169" s="3">
        <v>2842</v>
      </c>
      <c r="D169" s="3">
        <v>273</v>
      </c>
      <c r="E169" s="3">
        <v>452</v>
      </c>
      <c r="F169" s="3">
        <v>767</v>
      </c>
      <c r="G169" s="3">
        <v>0</v>
      </c>
      <c r="H169" s="3">
        <v>0</v>
      </c>
      <c r="I169" s="3">
        <v>0</v>
      </c>
      <c r="J169" s="3">
        <v>0</v>
      </c>
      <c r="K169" s="3">
        <v>370</v>
      </c>
      <c r="L169" s="3">
        <v>3352</v>
      </c>
      <c r="M169" s="3">
        <v>580</v>
      </c>
      <c r="N169" s="3">
        <f t="shared" si="8"/>
        <v>8636</v>
      </c>
      <c r="O169" s="3">
        <v>1435</v>
      </c>
      <c r="P169" s="3">
        <v>4098</v>
      </c>
      <c r="Q169" s="18">
        <f t="shared" si="7"/>
        <v>3103</v>
      </c>
    </row>
    <row r="170" spans="1:17" ht="18.75" customHeight="1">
      <c r="A170" s="6" t="s">
        <v>22</v>
      </c>
      <c r="B170" s="10">
        <v>44365</v>
      </c>
      <c r="C170" s="3">
        <v>2631</v>
      </c>
      <c r="D170" s="3">
        <v>0</v>
      </c>
      <c r="E170" s="3">
        <v>617</v>
      </c>
      <c r="F170" s="3">
        <v>360</v>
      </c>
      <c r="G170" s="3">
        <v>0</v>
      </c>
      <c r="H170" s="3">
        <v>0</v>
      </c>
      <c r="I170" s="3">
        <v>0</v>
      </c>
      <c r="J170" s="3">
        <v>0</v>
      </c>
      <c r="K170" s="3">
        <v>110</v>
      </c>
      <c r="L170" s="3">
        <v>4799</v>
      </c>
      <c r="M170" s="3">
        <v>184</v>
      </c>
      <c r="N170" s="3">
        <f t="shared" si="8"/>
        <v>8701</v>
      </c>
      <c r="O170" s="3">
        <v>1670</v>
      </c>
      <c r="P170" s="3">
        <v>4228</v>
      </c>
      <c r="Q170" s="18">
        <f t="shared" si="7"/>
        <v>2803</v>
      </c>
    </row>
    <row r="171" spans="1:17" ht="18.75" customHeight="1">
      <c r="A171" s="6" t="s">
        <v>23</v>
      </c>
      <c r="B171" s="10">
        <v>44366</v>
      </c>
      <c r="C171" s="3">
        <v>2025</v>
      </c>
      <c r="D171" s="3">
        <v>1084</v>
      </c>
      <c r="E171" s="3">
        <v>356</v>
      </c>
      <c r="F171" s="3">
        <v>370</v>
      </c>
      <c r="G171" s="3">
        <v>0</v>
      </c>
      <c r="H171" s="3">
        <v>0</v>
      </c>
      <c r="I171" s="3">
        <v>0</v>
      </c>
      <c r="J171" s="3">
        <v>172</v>
      </c>
      <c r="K171" s="3">
        <v>1050</v>
      </c>
      <c r="L171" s="3">
        <v>6892</v>
      </c>
      <c r="M171" s="3">
        <v>376</v>
      </c>
      <c r="N171" s="3">
        <f t="shared" si="8"/>
        <v>12325</v>
      </c>
      <c r="O171" s="3">
        <v>1900</v>
      </c>
      <c r="P171" s="3">
        <v>6706</v>
      </c>
      <c r="Q171" s="18">
        <f t="shared" si="7"/>
        <v>3719</v>
      </c>
    </row>
    <row r="172" spans="1:17" ht="18.75" customHeight="1">
      <c r="A172" s="6" t="s">
        <v>17</v>
      </c>
      <c r="B172" s="10">
        <v>44367</v>
      </c>
      <c r="C172" s="3">
        <v>2684</v>
      </c>
      <c r="D172" s="3">
        <v>0</v>
      </c>
      <c r="E172" s="3">
        <v>1044</v>
      </c>
      <c r="F172" s="3">
        <v>0</v>
      </c>
      <c r="G172" s="3">
        <v>0</v>
      </c>
      <c r="H172" s="3">
        <v>0</v>
      </c>
      <c r="I172" s="3">
        <v>0</v>
      </c>
      <c r="J172" s="3">
        <v>0</v>
      </c>
      <c r="K172" s="3">
        <v>440</v>
      </c>
      <c r="L172" s="3">
        <v>8153</v>
      </c>
      <c r="M172" s="3">
        <v>1540</v>
      </c>
      <c r="N172" s="3">
        <f t="shared" si="8"/>
        <v>13861</v>
      </c>
      <c r="O172" s="3">
        <v>1750</v>
      </c>
      <c r="P172" s="3">
        <v>2448</v>
      </c>
      <c r="Q172" s="18">
        <f t="shared" si="7"/>
        <v>9663</v>
      </c>
    </row>
    <row r="173" spans="1:17" ht="18.75" customHeight="1">
      <c r="A173" s="6" t="s">
        <v>18</v>
      </c>
      <c r="B173" s="10">
        <v>44368</v>
      </c>
      <c r="C173" s="3">
        <v>2010</v>
      </c>
      <c r="D173" s="3">
        <v>492</v>
      </c>
      <c r="E173" s="3">
        <v>968</v>
      </c>
      <c r="F173" s="3">
        <v>870</v>
      </c>
      <c r="G173" s="3">
        <v>0</v>
      </c>
      <c r="H173" s="3">
        <v>0</v>
      </c>
      <c r="I173" s="3">
        <v>0</v>
      </c>
      <c r="J173" s="3">
        <v>0</v>
      </c>
      <c r="K173" s="3">
        <v>260</v>
      </c>
      <c r="L173" s="3">
        <v>6074</v>
      </c>
      <c r="M173" s="3">
        <v>0</v>
      </c>
      <c r="N173" s="3">
        <f t="shared" si="8"/>
        <v>10674</v>
      </c>
      <c r="O173" s="3">
        <v>1830</v>
      </c>
      <c r="P173" s="3">
        <v>4890</v>
      </c>
      <c r="Q173" s="18">
        <f t="shared" si="7"/>
        <v>3954</v>
      </c>
    </row>
    <row r="174" spans="1:17" ht="18.75" customHeight="1">
      <c r="A174" s="6" t="s">
        <v>19</v>
      </c>
      <c r="B174" s="10">
        <v>44369</v>
      </c>
      <c r="C174" s="3">
        <v>1590</v>
      </c>
      <c r="D174" s="3">
        <v>425</v>
      </c>
      <c r="E174" s="3">
        <v>1058</v>
      </c>
      <c r="F174" s="3">
        <v>446</v>
      </c>
      <c r="G174" s="3">
        <v>0</v>
      </c>
      <c r="H174" s="3">
        <v>0</v>
      </c>
      <c r="I174" s="3">
        <v>0</v>
      </c>
      <c r="J174" s="3">
        <v>196</v>
      </c>
      <c r="K174" s="3">
        <v>220</v>
      </c>
      <c r="L174" s="3">
        <v>6958</v>
      </c>
      <c r="M174" s="3">
        <v>378</v>
      </c>
      <c r="N174" s="3">
        <f t="shared" si="8"/>
        <v>11271</v>
      </c>
      <c r="O174" s="3">
        <v>1790</v>
      </c>
      <c r="P174" s="3">
        <v>3692</v>
      </c>
      <c r="Q174" s="18">
        <f t="shared" si="7"/>
        <v>5789</v>
      </c>
    </row>
    <row r="175" spans="1:17" ht="18.75" customHeight="1">
      <c r="A175" s="6" t="s">
        <v>20</v>
      </c>
      <c r="B175" s="10">
        <v>44370</v>
      </c>
      <c r="C175" s="3">
        <v>1005</v>
      </c>
      <c r="D175" s="3">
        <v>139</v>
      </c>
      <c r="E175" s="3">
        <v>930</v>
      </c>
      <c r="F175" s="3">
        <v>404</v>
      </c>
      <c r="G175" s="3">
        <v>0</v>
      </c>
      <c r="H175" s="3">
        <v>0</v>
      </c>
      <c r="I175" s="3">
        <v>0</v>
      </c>
      <c r="J175" s="3">
        <v>0</v>
      </c>
      <c r="K175" s="3">
        <v>0</v>
      </c>
      <c r="L175" s="3">
        <v>7542</v>
      </c>
      <c r="M175" s="3">
        <v>275</v>
      </c>
      <c r="N175" s="3">
        <f t="shared" si="8"/>
        <v>10295</v>
      </c>
      <c r="O175" s="3">
        <v>1900</v>
      </c>
      <c r="P175" s="3">
        <v>3895</v>
      </c>
      <c r="Q175" s="18">
        <f t="shared" si="7"/>
        <v>4500</v>
      </c>
    </row>
    <row r="176" spans="1:17" ht="18.75" customHeight="1">
      <c r="A176" s="6" t="s">
        <v>21</v>
      </c>
      <c r="B176" s="10">
        <v>44371</v>
      </c>
      <c r="C176" s="3">
        <v>1239</v>
      </c>
      <c r="D176" s="3">
        <v>223</v>
      </c>
      <c r="E176" s="3">
        <v>1008</v>
      </c>
      <c r="F176" s="3">
        <v>388</v>
      </c>
      <c r="G176" s="3">
        <v>0</v>
      </c>
      <c r="H176" s="3">
        <v>0</v>
      </c>
      <c r="I176" s="3">
        <v>0</v>
      </c>
      <c r="J176" s="3">
        <v>232</v>
      </c>
      <c r="K176" s="3">
        <v>200</v>
      </c>
      <c r="L176" s="3">
        <v>6935</v>
      </c>
      <c r="M176" s="3">
        <v>319</v>
      </c>
      <c r="N176" s="3">
        <f t="shared" si="8"/>
        <v>10544</v>
      </c>
      <c r="O176" s="3">
        <v>1870</v>
      </c>
      <c r="P176" s="3">
        <v>3899</v>
      </c>
      <c r="Q176" s="18">
        <f t="shared" si="7"/>
        <v>4775</v>
      </c>
    </row>
    <row r="177" spans="1:17" ht="18.75" customHeight="1">
      <c r="A177" s="6" t="s">
        <v>22</v>
      </c>
      <c r="B177" s="10">
        <v>44372</v>
      </c>
      <c r="C177" s="3">
        <v>2857</v>
      </c>
      <c r="D177" s="3">
        <v>0</v>
      </c>
      <c r="E177" s="3">
        <v>1842</v>
      </c>
      <c r="F177" s="3">
        <v>617</v>
      </c>
      <c r="G177" s="3">
        <v>0</v>
      </c>
      <c r="H177" s="3">
        <v>0</v>
      </c>
      <c r="I177" s="3">
        <v>0</v>
      </c>
      <c r="J177" s="3">
        <v>0</v>
      </c>
      <c r="K177" s="3">
        <v>398</v>
      </c>
      <c r="L177" s="3">
        <v>7081</v>
      </c>
      <c r="M177" s="3">
        <v>229</v>
      </c>
      <c r="N177" s="3">
        <f t="shared" si="8"/>
        <v>13024</v>
      </c>
      <c r="O177" s="3">
        <v>1930</v>
      </c>
      <c r="P177" s="3">
        <v>5855</v>
      </c>
      <c r="Q177" s="18">
        <f t="shared" si="7"/>
        <v>5239</v>
      </c>
    </row>
    <row r="178" spans="1:17" ht="18.75" customHeight="1">
      <c r="A178" s="6" t="s">
        <v>23</v>
      </c>
      <c r="B178" s="10">
        <v>44373</v>
      </c>
      <c r="C178" s="3">
        <v>2230</v>
      </c>
      <c r="D178" s="3">
        <v>0</v>
      </c>
      <c r="E178" s="3">
        <v>799</v>
      </c>
      <c r="F178" s="3">
        <v>0</v>
      </c>
      <c r="G178" s="3">
        <v>0</v>
      </c>
      <c r="H178" s="3">
        <v>0</v>
      </c>
      <c r="I178" s="3">
        <v>0</v>
      </c>
      <c r="J178" s="3">
        <v>0</v>
      </c>
      <c r="K178" s="3">
        <v>0</v>
      </c>
      <c r="L178" s="3">
        <v>5677</v>
      </c>
      <c r="M178" s="3">
        <v>595</v>
      </c>
      <c r="N178" s="3">
        <f t="shared" si="8"/>
        <v>9301</v>
      </c>
      <c r="O178" s="3">
        <v>1560</v>
      </c>
      <c r="P178" s="3">
        <v>6164</v>
      </c>
      <c r="Q178" s="18">
        <f t="shared" si="7"/>
        <v>1577</v>
      </c>
    </row>
    <row r="179" spans="1:17" ht="18.75" customHeight="1">
      <c r="A179" s="6" t="s">
        <v>17</v>
      </c>
      <c r="B179" s="10">
        <v>44374</v>
      </c>
      <c r="C179" s="3">
        <v>1675</v>
      </c>
      <c r="D179" s="3">
        <v>0</v>
      </c>
      <c r="E179" s="3">
        <v>678</v>
      </c>
      <c r="F179" s="3">
        <v>692</v>
      </c>
      <c r="G179" s="3">
        <v>0</v>
      </c>
      <c r="H179" s="3">
        <v>0</v>
      </c>
      <c r="I179" s="3">
        <v>0</v>
      </c>
      <c r="J179" s="3">
        <v>0</v>
      </c>
      <c r="K179" s="3">
        <v>225</v>
      </c>
      <c r="L179" s="3">
        <v>7882</v>
      </c>
      <c r="M179" s="3">
        <v>249</v>
      </c>
      <c r="N179" s="3">
        <f t="shared" si="8"/>
        <v>11401</v>
      </c>
      <c r="O179" s="3">
        <v>1740</v>
      </c>
      <c r="P179" s="3">
        <v>3430</v>
      </c>
      <c r="Q179" s="18">
        <f t="shared" si="7"/>
        <v>6231</v>
      </c>
    </row>
    <row r="180" spans="1:17" ht="18.75" customHeight="1">
      <c r="A180" s="6" t="s">
        <v>18</v>
      </c>
      <c r="B180" s="10">
        <v>44375</v>
      </c>
      <c r="C180" s="3">
        <v>2375</v>
      </c>
      <c r="D180" s="3">
        <v>126</v>
      </c>
      <c r="E180" s="3">
        <v>1068</v>
      </c>
      <c r="F180" s="3">
        <v>0</v>
      </c>
      <c r="G180" s="3">
        <v>0</v>
      </c>
      <c r="H180" s="3">
        <v>0</v>
      </c>
      <c r="I180" s="3">
        <v>0</v>
      </c>
      <c r="J180" s="3">
        <v>0</v>
      </c>
      <c r="K180" s="3">
        <v>470</v>
      </c>
      <c r="L180" s="3">
        <v>4841</v>
      </c>
      <c r="M180" s="3">
        <v>0</v>
      </c>
      <c r="N180" s="3">
        <f t="shared" si="8"/>
        <v>8880</v>
      </c>
      <c r="O180" s="3">
        <v>1810</v>
      </c>
      <c r="P180" s="3">
        <v>4839</v>
      </c>
      <c r="Q180" s="18">
        <f t="shared" si="7"/>
        <v>2231</v>
      </c>
    </row>
    <row r="181" spans="1:17" ht="18.75" customHeight="1">
      <c r="A181" s="6" t="s">
        <v>19</v>
      </c>
      <c r="B181" s="10">
        <v>44376</v>
      </c>
      <c r="C181" s="3">
        <v>1417</v>
      </c>
      <c r="D181" s="3">
        <v>0</v>
      </c>
      <c r="E181" s="3">
        <v>1194</v>
      </c>
      <c r="F181" s="3">
        <v>0</v>
      </c>
      <c r="G181" s="3">
        <v>0</v>
      </c>
      <c r="H181" s="3">
        <v>0</v>
      </c>
      <c r="I181" s="3">
        <v>0</v>
      </c>
      <c r="J181" s="3">
        <v>101</v>
      </c>
      <c r="K181" s="3">
        <v>100</v>
      </c>
      <c r="L181" s="3">
        <v>4731</v>
      </c>
      <c r="M181" s="3">
        <v>167</v>
      </c>
      <c r="N181" s="3">
        <f t="shared" si="8"/>
        <v>7710</v>
      </c>
      <c r="O181" s="3">
        <v>1620</v>
      </c>
      <c r="P181" s="3">
        <v>2880</v>
      </c>
      <c r="Q181" s="18">
        <f t="shared" si="7"/>
        <v>3210</v>
      </c>
    </row>
    <row r="182" spans="1:17" ht="18.75" customHeight="1">
      <c r="A182" s="6" t="s">
        <v>20</v>
      </c>
      <c r="B182" s="10">
        <v>44377</v>
      </c>
      <c r="C182" s="3">
        <v>3234</v>
      </c>
      <c r="D182" s="3">
        <v>635</v>
      </c>
      <c r="E182" s="3">
        <v>1020</v>
      </c>
      <c r="F182" s="3">
        <v>188</v>
      </c>
      <c r="G182" s="3">
        <v>0</v>
      </c>
      <c r="H182" s="3">
        <v>0</v>
      </c>
      <c r="I182" s="3">
        <v>0</v>
      </c>
      <c r="J182" s="3">
        <v>0</v>
      </c>
      <c r="K182" s="3">
        <v>0</v>
      </c>
      <c r="L182" s="3">
        <v>5773</v>
      </c>
      <c r="M182" s="3">
        <v>408</v>
      </c>
      <c r="N182" s="3">
        <f t="shared" si="8"/>
        <v>11258</v>
      </c>
      <c r="O182" s="3">
        <v>1880</v>
      </c>
      <c r="P182" s="3">
        <v>2576</v>
      </c>
      <c r="Q182" s="18">
        <f t="shared" si="7"/>
        <v>6802</v>
      </c>
    </row>
    <row r="183" spans="1:17" ht="18.75" customHeight="1">
      <c r="A183" s="6" t="s">
        <v>21</v>
      </c>
      <c r="B183" s="10">
        <v>44378</v>
      </c>
      <c r="C183" s="3">
        <v>4099</v>
      </c>
      <c r="D183" s="3">
        <v>1420</v>
      </c>
      <c r="E183" s="3">
        <v>970</v>
      </c>
      <c r="F183" s="3">
        <v>628</v>
      </c>
      <c r="G183" s="3">
        <v>428</v>
      </c>
      <c r="H183" s="3">
        <v>0</v>
      </c>
      <c r="I183" s="3">
        <v>0</v>
      </c>
      <c r="J183" s="3">
        <v>0</v>
      </c>
      <c r="K183" s="3">
        <v>0</v>
      </c>
      <c r="L183" s="3">
        <v>3554</v>
      </c>
      <c r="M183" s="3">
        <v>245</v>
      </c>
      <c r="N183" s="3">
        <f t="shared" si="8"/>
        <v>11344</v>
      </c>
      <c r="O183" s="3">
        <v>2000</v>
      </c>
      <c r="P183" s="3">
        <v>2722</v>
      </c>
      <c r="Q183" s="18">
        <f t="shared" si="7"/>
        <v>6622</v>
      </c>
    </row>
    <row r="184" spans="1:17" ht="18.75" customHeight="1">
      <c r="A184" s="6" t="s">
        <v>22</v>
      </c>
      <c r="B184" s="10">
        <v>44379</v>
      </c>
      <c r="C184" s="3">
        <v>1922</v>
      </c>
      <c r="D184" s="3">
        <v>0</v>
      </c>
      <c r="E184" s="3">
        <v>948</v>
      </c>
      <c r="F184" s="3">
        <v>1582</v>
      </c>
      <c r="G184" s="3">
        <v>0</v>
      </c>
      <c r="H184" s="3">
        <v>0</v>
      </c>
      <c r="I184" s="3">
        <v>0</v>
      </c>
      <c r="J184" s="3">
        <v>0</v>
      </c>
      <c r="K184" s="3">
        <v>0</v>
      </c>
      <c r="L184" s="3">
        <v>3739</v>
      </c>
      <c r="M184" s="3">
        <v>931</v>
      </c>
      <c r="N184" s="3">
        <f t="shared" si="8"/>
        <v>9122</v>
      </c>
      <c r="O184" s="3">
        <v>1720</v>
      </c>
      <c r="P184" s="3">
        <v>4230</v>
      </c>
      <c r="Q184" s="18">
        <f t="shared" si="7"/>
        <v>3172</v>
      </c>
    </row>
    <row r="185" spans="1:17" ht="18.75" customHeight="1">
      <c r="A185" s="6" t="s">
        <v>23</v>
      </c>
      <c r="B185" s="10">
        <v>44380</v>
      </c>
      <c r="C185" s="3">
        <v>1680</v>
      </c>
      <c r="D185" s="3">
        <v>432</v>
      </c>
      <c r="E185" s="3">
        <v>924</v>
      </c>
      <c r="F185" s="3">
        <v>971</v>
      </c>
      <c r="G185" s="3">
        <v>0</v>
      </c>
      <c r="H185" s="3">
        <v>0</v>
      </c>
      <c r="I185" s="3">
        <v>0</v>
      </c>
      <c r="J185" s="3">
        <v>0</v>
      </c>
      <c r="K185" s="3">
        <v>0</v>
      </c>
      <c r="L185" s="3">
        <v>7014</v>
      </c>
      <c r="M185" s="3">
        <v>130</v>
      </c>
      <c r="N185" s="3">
        <f t="shared" si="8"/>
        <v>11151</v>
      </c>
      <c r="O185" s="3">
        <v>2000</v>
      </c>
      <c r="P185" s="3">
        <v>5928</v>
      </c>
      <c r="Q185" s="18">
        <f t="shared" si="7"/>
        <v>3223</v>
      </c>
    </row>
    <row r="186" spans="1:17" ht="18.75" customHeight="1">
      <c r="A186" s="6" t="s">
        <v>17</v>
      </c>
      <c r="B186" s="10">
        <v>44381</v>
      </c>
      <c r="C186" s="3">
        <v>1350</v>
      </c>
      <c r="D186" s="3">
        <v>0</v>
      </c>
      <c r="E186" s="3">
        <v>528</v>
      </c>
      <c r="F186" s="3">
        <v>0</v>
      </c>
      <c r="G186" s="3">
        <v>0</v>
      </c>
      <c r="H186" s="3">
        <v>0</v>
      </c>
      <c r="I186" s="3">
        <v>0</v>
      </c>
      <c r="J186" s="3">
        <v>0</v>
      </c>
      <c r="K186" s="3">
        <v>0</v>
      </c>
      <c r="L186" s="3">
        <v>8728</v>
      </c>
      <c r="M186" s="3">
        <v>243</v>
      </c>
      <c r="N186" s="3">
        <f t="shared" si="8"/>
        <v>10849</v>
      </c>
      <c r="O186" s="3">
        <v>1540</v>
      </c>
      <c r="P186" s="3">
        <v>2377</v>
      </c>
      <c r="Q186" s="18">
        <f t="shared" si="7"/>
        <v>6932</v>
      </c>
    </row>
    <row r="187" spans="1:17" ht="18.75" customHeight="1">
      <c r="A187" s="6" t="s">
        <v>18</v>
      </c>
      <c r="B187" s="10">
        <v>44382</v>
      </c>
      <c r="C187" s="3">
        <v>1935</v>
      </c>
      <c r="D187" s="3">
        <v>0</v>
      </c>
      <c r="E187" s="3">
        <v>831</v>
      </c>
      <c r="F187" s="3">
        <v>0</v>
      </c>
      <c r="G187" s="3">
        <v>0</v>
      </c>
      <c r="H187" s="3">
        <v>0</v>
      </c>
      <c r="I187" s="3">
        <v>0</v>
      </c>
      <c r="J187" s="3">
        <v>0</v>
      </c>
      <c r="K187" s="3">
        <v>718</v>
      </c>
      <c r="L187" s="3">
        <v>4404</v>
      </c>
      <c r="M187" s="3">
        <v>40</v>
      </c>
      <c r="N187" s="3">
        <f t="shared" si="8"/>
        <v>7928</v>
      </c>
      <c r="O187" s="3">
        <v>1440</v>
      </c>
      <c r="P187" s="3">
        <v>5899</v>
      </c>
      <c r="Q187" s="18">
        <f t="shared" si="7"/>
        <v>589</v>
      </c>
    </row>
    <row r="188" spans="1:17" ht="18.75" customHeight="1">
      <c r="A188" s="6" t="s">
        <v>19</v>
      </c>
      <c r="B188" s="10">
        <v>44383</v>
      </c>
      <c r="C188" s="3">
        <v>1464</v>
      </c>
      <c r="D188" s="3">
        <v>229</v>
      </c>
      <c r="E188" s="3">
        <v>1218</v>
      </c>
      <c r="F188" s="3">
        <v>1335</v>
      </c>
      <c r="G188" s="3">
        <v>0</v>
      </c>
      <c r="H188" s="3">
        <v>0</v>
      </c>
      <c r="I188" s="3">
        <v>0</v>
      </c>
      <c r="J188" s="3">
        <v>244</v>
      </c>
      <c r="K188" s="3">
        <v>856</v>
      </c>
      <c r="L188" s="3">
        <v>4514</v>
      </c>
      <c r="M188" s="3">
        <v>238</v>
      </c>
      <c r="N188" s="3">
        <f t="shared" si="8"/>
        <v>10098</v>
      </c>
      <c r="O188" s="3">
        <v>1720</v>
      </c>
      <c r="P188" s="3">
        <v>3621</v>
      </c>
      <c r="Q188" s="18">
        <f t="shared" si="7"/>
        <v>4757</v>
      </c>
    </row>
    <row r="189" spans="1:17" ht="18.75" customHeight="1">
      <c r="A189" s="6" t="s">
        <v>20</v>
      </c>
      <c r="B189" s="10">
        <v>44384</v>
      </c>
      <c r="C189" s="3">
        <v>1725</v>
      </c>
      <c r="D189" s="3">
        <v>604</v>
      </c>
      <c r="E189" s="3">
        <v>1392</v>
      </c>
      <c r="F189" s="3">
        <v>955</v>
      </c>
      <c r="G189" s="3">
        <v>0</v>
      </c>
      <c r="H189" s="3">
        <v>0</v>
      </c>
      <c r="I189" s="3">
        <v>0</v>
      </c>
      <c r="J189" s="3">
        <v>147</v>
      </c>
      <c r="K189" s="3">
        <v>900</v>
      </c>
      <c r="L189" s="3">
        <v>3726</v>
      </c>
      <c r="M189" s="3">
        <v>598</v>
      </c>
      <c r="N189" s="3">
        <f t="shared" si="8"/>
        <v>10047</v>
      </c>
      <c r="O189" s="3">
        <v>1830</v>
      </c>
      <c r="P189" s="3">
        <v>3927.5</v>
      </c>
      <c r="Q189" s="18">
        <f t="shared" ref="Q189:Q252" si="9">N189-O189-P189</f>
        <v>4289.5</v>
      </c>
    </row>
    <row r="190" spans="1:17" ht="18.75" customHeight="1">
      <c r="A190" s="6" t="s">
        <v>21</v>
      </c>
      <c r="B190" s="10">
        <v>44385</v>
      </c>
      <c r="C190" s="3">
        <v>2731</v>
      </c>
      <c r="D190" s="3">
        <v>541</v>
      </c>
      <c r="E190" s="3">
        <v>1246</v>
      </c>
      <c r="F190" s="3">
        <v>649</v>
      </c>
      <c r="G190" s="3">
        <v>0</v>
      </c>
      <c r="H190" s="3">
        <v>0</v>
      </c>
      <c r="I190" s="3">
        <v>0</v>
      </c>
      <c r="J190" s="3">
        <v>0</v>
      </c>
      <c r="K190" s="3">
        <v>210</v>
      </c>
      <c r="L190" s="3">
        <v>4427</v>
      </c>
      <c r="M190" s="3">
        <v>0</v>
      </c>
      <c r="N190" s="3">
        <f t="shared" si="8"/>
        <v>9804</v>
      </c>
      <c r="O190" s="3">
        <v>1995</v>
      </c>
      <c r="P190" s="3">
        <v>4423</v>
      </c>
      <c r="Q190" s="18">
        <f t="shared" si="9"/>
        <v>3386</v>
      </c>
    </row>
    <row r="191" spans="1:17" ht="18.75" customHeight="1">
      <c r="A191" s="6" t="s">
        <v>22</v>
      </c>
      <c r="B191" s="10">
        <v>44386</v>
      </c>
      <c r="C191" s="3">
        <v>1887</v>
      </c>
      <c r="D191" s="3">
        <v>401</v>
      </c>
      <c r="E191" s="3">
        <v>1386</v>
      </c>
      <c r="F191" s="3">
        <v>1674</v>
      </c>
      <c r="G191" s="3">
        <v>0</v>
      </c>
      <c r="H191" s="3">
        <v>0</v>
      </c>
      <c r="I191" s="3">
        <v>0</v>
      </c>
      <c r="J191" s="3">
        <v>0</v>
      </c>
      <c r="K191" s="3">
        <v>0</v>
      </c>
      <c r="L191" s="3">
        <v>3729</v>
      </c>
      <c r="M191" s="3">
        <v>455</v>
      </c>
      <c r="N191" s="3">
        <f t="shared" si="8"/>
        <v>9532</v>
      </c>
      <c r="O191" s="3">
        <v>1810</v>
      </c>
      <c r="P191" s="3">
        <v>3811</v>
      </c>
      <c r="Q191" s="18">
        <f t="shared" si="9"/>
        <v>3911</v>
      </c>
    </row>
    <row r="192" spans="1:17" ht="18.75" customHeight="1">
      <c r="A192" s="6" t="s">
        <v>23</v>
      </c>
      <c r="B192" s="10">
        <v>44387</v>
      </c>
      <c r="C192" s="3">
        <v>2375</v>
      </c>
      <c r="D192" s="3">
        <v>300</v>
      </c>
      <c r="E192" s="3">
        <v>1200</v>
      </c>
      <c r="F192" s="3">
        <v>942</v>
      </c>
      <c r="G192" s="3">
        <v>0</v>
      </c>
      <c r="H192" s="3">
        <v>0</v>
      </c>
      <c r="I192" s="3">
        <v>0</v>
      </c>
      <c r="J192" s="3">
        <v>0</v>
      </c>
      <c r="K192" s="3">
        <v>400</v>
      </c>
      <c r="L192" s="3">
        <v>4629</v>
      </c>
      <c r="M192" s="3">
        <v>728</v>
      </c>
      <c r="N192" s="3">
        <f t="shared" si="8"/>
        <v>10574</v>
      </c>
      <c r="O192" s="3">
        <v>1695</v>
      </c>
      <c r="P192" s="3">
        <v>4356.5</v>
      </c>
      <c r="Q192" s="18">
        <f t="shared" si="9"/>
        <v>4522.5</v>
      </c>
    </row>
    <row r="193" spans="1:17" ht="18.75" customHeight="1">
      <c r="A193" s="6" t="s">
        <v>17</v>
      </c>
      <c r="B193" s="10">
        <v>44388</v>
      </c>
      <c r="C193" s="3">
        <v>1605</v>
      </c>
      <c r="D193" s="3">
        <v>0</v>
      </c>
      <c r="E193" s="3">
        <v>126</v>
      </c>
      <c r="F193" s="3">
        <v>634</v>
      </c>
      <c r="G193" s="3">
        <v>0</v>
      </c>
      <c r="H193" s="3">
        <v>0</v>
      </c>
      <c r="I193" s="3">
        <v>0</v>
      </c>
      <c r="J193" s="3">
        <v>224</v>
      </c>
      <c r="K193" s="3">
        <v>470</v>
      </c>
      <c r="L193" s="3">
        <v>7149</v>
      </c>
      <c r="M193" s="3">
        <v>620</v>
      </c>
      <c r="N193" s="3">
        <f t="shared" si="8"/>
        <v>10828</v>
      </c>
      <c r="O193" s="3">
        <v>1805</v>
      </c>
      <c r="P193" s="3">
        <v>3168</v>
      </c>
      <c r="Q193" s="18">
        <f t="shared" si="9"/>
        <v>5855</v>
      </c>
    </row>
    <row r="194" spans="1:17" ht="18.75" customHeight="1">
      <c r="A194" s="6" t="s">
        <v>18</v>
      </c>
      <c r="B194" s="10">
        <v>44389</v>
      </c>
      <c r="C194" s="3">
        <v>1541</v>
      </c>
      <c r="D194" s="3">
        <v>196</v>
      </c>
      <c r="E194" s="3">
        <v>823</v>
      </c>
      <c r="F194" s="3">
        <v>708</v>
      </c>
      <c r="G194" s="3">
        <v>0</v>
      </c>
      <c r="H194" s="3">
        <v>0</v>
      </c>
      <c r="I194" s="3">
        <v>0</v>
      </c>
      <c r="J194" s="3">
        <v>0</v>
      </c>
      <c r="K194" s="3">
        <v>530</v>
      </c>
      <c r="L194" s="3">
        <v>8306</v>
      </c>
      <c r="M194" s="3">
        <v>449</v>
      </c>
      <c r="N194" s="3">
        <f t="shared" si="8"/>
        <v>12553</v>
      </c>
      <c r="O194" s="3">
        <v>1970</v>
      </c>
      <c r="P194" s="3">
        <v>15209</v>
      </c>
      <c r="Q194" s="18">
        <f t="shared" si="9"/>
        <v>-4626</v>
      </c>
    </row>
    <row r="195" spans="1:17" ht="18.75" customHeight="1">
      <c r="A195" s="6" t="s">
        <v>19</v>
      </c>
      <c r="B195" s="10">
        <v>44390</v>
      </c>
      <c r="C195" s="3">
        <v>1680</v>
      </c>
      <c r="D195" s="3">
        <v>138</v>
      </c>
      <c r="E195" s="3">
        <v>592</v>
      </c>
      <c r="F195" s="3">
        <v>0</v>
      </c>
      <c r="G195" s="3">
        <v>0</v>
      </c>
      <c r="H195" s="3">
        <v>0</v>
      </c>
      <c r="I195" s="3">
        <v>0</v>
      </c>
      <c r="J195" s="3">
        <v>0</v>
      </c>
      <c r="K195" s="3">
        <v>420</v>
      </c>
      <c r="L195" s="3">
        <v>6113</v>
      </c>
      <c r="M195" s="3">
        <v>746</v>
      </c>
      <c r="N195" s="3">
        <f t="shared" si="8"/>
        <v>9689</v>
      </c>
      <c r="O195" s="3">
        <v>1750</v>
      </c>
      <c r="P195" s="3">
        <v>3500</v>
      </c>
      <c r="Q195" s="18">
        <f t="shared" si="9"/>
        <v>4439</v>
      </c>
    </row>
    <row r="196" spans="1:17" ht="18.75" customHeight="1">
      <c r="A196" s="6" t="s">
        <v>20</v>
      </c>
      <c r="B196" s="10">
        <v>44391</v>
      </c>
      <c r="C196" s="3">
        <v>860</v>
      </c>
      <c r="D196" s="3">
        <v>0</v>
      </c>
      <c r="E196" s="3">
        <v>808</v>
      </c>
      <c r="F196" s="3">
        <v>543</v>
      </c>
      <c r="G196" s="3">
        <v>0</v>
      </c>
      <c r="H196" s="3">
        <v>0</v>
      </c>
      <c r="I196" s="3">
        <v>0</v>
      </c>
      <c r="J196" s="3">
        <v>283</v>
      </c>
      <c r="K196" s="3">
        <v>330</v>
      </c>
      <c r="L196" s="3">
        <v>6272</v>
      </c>
      <c r="M196" s="3">
        <v>174</v>
      </c>
      <c r="N196" s="3">
        <f t="shared" si="8"/>
        <v>9270</v>
      </c>
      <c r="O196" s="3">
        <v>1680</v>
      </c>
      <c r="P196" s="3">
        <v>3509</v>
      </c>
      <c r="Q196" s="18">
        <f t="shared" si="9"/>
        <v>4081</v>
      </c>
    </row>
    <row r="197" spans="1:17" ht="18.75" customHeight="1">
      <c r="A197" s="6" t="s">
        <v>21</v>
      </c>
      <c r="B197" s="10">
        <v>44392</v>
      </c>
      <c r="C197" s="3">
        <v>1704</v>
      </c>
      <c r="D197" s="3">
        <v>353</v>
      </c>
      <c r="E197" s="3">
        <v>430</v>
      </c>
      <c r="F197" s="3">
        <v>354</v>
      </c>
      <c r="G197" s="3">
        <v>0</v>
      </c>
      <c r="H197" s="3">
        <v>0</v>
      </c>
      <c r="I197" s="3">
        <v>0</v>
      </c>
      <c r="J197" s="3">
        <v>0</v>
      </c>
      <c r="K197" s="3">
        <v>0</v>
      </c>
      <c r="L197" s="3">
        <v>5877</v>
      </c>
      <c r="M197" s="3">
        <v>393</v>
      </c>
      <c r="N197" s="3">
        <f t="shared" si="8"/>
        <v>9111</v>
      </c>
      <c r="O197" s="3">
        <v>1800</v>
      </c>
      <c r="P197" s="3">
        <v>4499</v>
      </c>
      <c r="Q197" s="18">
        <f t="shared" si="9"/>
        <v>2812</v>
      </c>
    </row>
    <row r="198" spans="1:17" ht="18.75" customHeight="1">
      <c r="A198" s="6" t="s">
        <v>22</v>
      </c>
      <c r="B198" s="10">
        <v>44393</v>
      </c>
      <c r="C198" s="3">
        <v>2350</v>
      </c>
      <c r="D198" s="3">
        <v>416</v>
      </c>
      <c r="E198" s="3">
        <v>604</v>
      </c>
      <c r="F198" s="3">
        <v>427</v>
      </c>
      <c r="G198" s="3">
        <v>0</v>
      </c>
      <c r="H198" s="3">
        <v>0</v>
      </c>
      <c r="I198" s="3">
        <v>0</v>
      </c>
      <c r="J198" s="3">
        <v>100</v>
      </c>
      <c r="K198" s="3">
        <v>90</v>
      </c>
      <c r="L198" s="3">
        <v>5257</v>
      </c>
      <c r="M198" s="3">
        <v>230</v>
      </c>
      <c r="N198" s="3">
        <f t="shared" si="8"/>
        <v>9474</v>
      </c>
      <c r="O198" s="3">
        <v>1290</v>
      </c>
      <c r="P198" s="3">
        <v>4018</v>
      </c>
      <c r="Q198" s="18">
        <f t="shared" si="9"/>
        <v>4166</v>
      </c>
    </row>
    <row r="199" spans="1:17" ht="18.75" customHeight="1">
      <c r="A199" s="6" t="s">
        <v>23</v>
      </c>
      <c r="B199" s="10">
        <v>44394</v>
      </c>
      <c r="C199" s="3">
        <v>2005</v>
      </c>
      <c r="D199" s="3">
        <v>484</v>
      </c>
      <c r="E199" s="3">
        <v>770</v>
      </c>
      <c r="F199" s="3">
        <v>546</v>
      </c>
      <c r="G199" s="3">
        <v>0</v>
      </c>
      <c r="H199" s="3">
        <v>0</v>
      </c>
      <c r="I199" s="3">
        <v>0</v>
      </c>
      <c r="J199" s="3">
        <v>242</v>
      </c>
      <c r="K199" s="3">
        <v>0</v>
      </c>
      <c r="L199" s="3">
        <v>8570</v>
      </c>
      <c r="M199" s="3">
        <v>247</v>
      </c>
      <c r="N199" s="3">
        <f t="shared" si="8"/>
        <v>12864</v>
      </c>
      <c r="O199" s="3">
        <v>2370</v>
      </c>
      <c r="P199" s="3">
        <v>4779</v>
      </c>
      <c r="Q199" s="18">
        <f t="shared" si="9"/>
        <v>5715</v>
      </c>
    </row>
    <row r="200" spans="1:17" ht="18.75" customHeight="1">
      <c r="A200" s="6" t="s">
        <v>17</v>
      </c>
      <c r="B200" s="10">
        <v>44395</v>
      </c>
      <c r="C200" s="3">
        <v>2482</v>
      </c>
      <c r="D200" s="3">
        <v>0</v>
      </c>
      <c r="E200" s="3">
        <v>1772</v>
      </c>
      <c r="F200" s="3">
        <v>632</v>
      </c>
      <c r="G200" s="3">
        <v>0</v>
      </c>
      <c r="H200" s="3">
        <v>0</v>
      </c>
      <c r="I200" s="3">
        <v>0</v>
      </c>
      <c r="J200" s="3">
        <v>0</v>
      </c>
      <c r="K200" s="3">
        <v>0</v>
      </c>
      <c r="L200" s="3">
        <v>14391</v>
      </c>
      <c r="M200" s="3">
        <v>996</v>
      </c>
      <c r="N200" s="3">
        <f t="shared" si="8"/>
        <v>20273</v>
      </c>
      <c r="O200" s="3">
        <v>2390</v>
      </c>
      <c r="P200" s="3">
        <v>3130</v>
      </c>
      <c r="Q200" s="18">
        <f t="shared" si="9"/>
        <v>14753</v>
      </c>
    </row>
    <row r="201" spans="1:17" ht="18.75" customHeight="1">
      <c r="A201" s="6" t="s">
        <v>18</v>
      </c>
      <c r="B201" s="10">
        <v>44396</v>
      </c>
      <c r="C201" s="3">
        <v>2344</v>
      </c>
      <c r="D201" s="3">
        <v>0</v>
      </c>
      <c r="E201" s="3">
        <v>965</v>
      </c>
      <c r="F201" s="3">
        <v>304</v>
      </c>
      <c r="G201" s="3">
        <v>0</v>
      </c>
      <c r="H201" s="3">
        <v>0</v>
      </c>
      <c r="I201" s="3">
        <v>0</v>
      </c>
      <c r="J201" s="3">
        <v>0</v>
      </c>
      <c r="K201" s="3">
        <v>300</v>
      </c>
      <c r="L201" s="3">
        <v>10254</v>
      </c>
      <c r="M201" s="3">
        <v>513</v>
      </c>
      <c r="N201" s="3">
        <f t="shared" si="8"/>
        <v>14680</v>
      </c>
      <c r="O201" s="3">
        <v>2120</v>
      </c>
      <c r="P201" s="3">
        <v>7993</v>
      </c>
      <c r="Q201" s="18">
        <f t="shared" si="9"/>
        <v>4567</v>
      </c>
    </row>
    <row r="202" spans="1:17" ht="18.75" customHeight="1">
      <c r="A202" s="6" t="s">
        <v>19</v>
      </c>
      <c r="B202" s="10">
        <v>44397</v>
      </c>
      <c r="C202" s="3">
        <v>1607</v>
      </c>
      <c r="D202" s="3">
        <v>0</v>
      </c>
      <c r="E202" s="3">
        <v>746</v>
      </c>
      <c r="F202" s="3">
        <v>456</v>
      </c>
      <c r="G202" s="3">
        <v>0</v>
      </c>
      <c r="H202" s="3">
        <v>0</v>
      </c>
      <c r="I202" s="3">
        <v>0</v>
      </c>
      <c r="J202" s="3">
        <v>0</v>
      </c>
      <c r="K202" s="3">
        <v>0</v>
      </c>
      <c r="L202" s="3">
        <v>6669</v>
      </c>
      <c r="M202" s="3">
        <v>272</v>
      </c>
      <c r="N202" s="3">
        <f t="shared" si="8"/>
        <v>9750</v>
      </c>
      <c r="O202" s="3">
        <v>1710</v>
      </c>
      <c r="P202" s="3">
        <v>6390</v>
      </c>
      <c r="Q202" s="18">
        <f t="shared" si="9"/>
        <v>1650</v>
      </c>
    </row>
    <row r="203" spans="1:17" ht="18.75" customHeight="1">
      <c r="A203" s="6" t="s">
        <v>20</v>
      </c>
      <c r="B203" s="10">
        <v>44398</v>
      </c>
      <c r="C203" s="3">
        <v>1238</v>
      </c>
      <c r="D203" s="3">
        <v>472</v>
      </c>
      <c r="E203" s="3">
        <v>726</v>
      </c>
      <c r="F203" s="3">
        <v>120</v>
      </c>
      <c r="G203" s="3">
        <v>0</v>
      </c>
      <c r="H203" s="3">
        <v>0</v>
      </c>
      <c r="I203" s="3">
        <v>0</v>
      </c>
      <c r="J203" s="3">
        <v>0</v>
      </c>
      <c r="K203" s="3">
        <v>0</v>
      </c>
      <c r="L203" s="3">
        <v>6458</v>
      </c>
      <c r="M203" s="3">
        <v>0</v>
      </c>
      <c r="N203" s="3">
        <f t="shared" si="8"/>
        <v>9014</v>
      </c>
      <c r="O203" s="3">
        <v>1980</v>
      </c>
      <c r="P203" s="3">
        <v>4215</v>
      </c>
      <c r="Q203" s="18">
        <f t="shared" si="9"/>
        <v>2819</v>
      </c>
    </row>
    <row r="204" spans="1:17" ht="18.75" customHeight="1">
      <c r="A204" s="6" t="s">
        <v>21</v>
      </c>
      <c r="B204" s="10">
        <v>44399</v>
      </c>
      <c r="C204" s="3">
        <v>1040</v>
      </c>
      <c r="D204" s="3">
        <v>272</v>
      </c>
      <c r="E204" s="3">
        <v>542</v>
      </c>
      <c r="F204" s="3">
        <v>561</v>
      </c>
      <c r="G204" s="3">
        <v>0</v>
      </c>
      <c r="H204" s="3">
        <v>0</v>
      </c>
      <c r="I204" s="3">
        <v>0</v>
      </c>
      <c r="J204" s="3">
        <v>0</v>
      </c>
      <c r="K204" s="3">
        <v>490</v>
      </c>
      <c r="L204" s="3">
        <v>11514</v>
      </c>
      <c r="M204" s="3">
        <v>1012</v>
      </c>
      <c r="N204" s="3">
        <f t="shared" si="8"/>
        <v>15431</v>
      </c>
      <c r="O204" s="3">
        <v>1890</v>
      </c>
      <c r="P204" s="3">
        <v>5292</v>
      </c>
      <c r="Q204" s="18">
        <f t="shared" si="9"/>
        <v>8249</v>
      </c>
    </row>
    <row r="205" spans="1:17" ht="18.75" customHeight="1">
      <c r="A205" s="6" t="s">
        <v>22</v>
      </c>
      <c r="B205" s="10">
        <v>44400</v>
      </c>
      <c r="C205" s="3">
        <v>1141</v>
      </c>
      <c r="D205" s="3">
        <v>242</v>
      </c>
      <c r="E205" s="3">
        <v>1126</v>
      </c>
      <c r="F205" s="3">
        <v>910</v>
      </c>
      <c r="G205" s="3">
        <v>0</v>
      </c>
      <c r="H205" s="3">
        <v>0</v>
      </c>
      <c r="I205" s="3">
        <v>0</v>
      </c>
      <c r="J205" s="3">
        <v>239</v>
      </c>
      <c r="K205" s="3">
        <v>400</v>
      </c>
      <c r="L205" s="3">
        <v>4349</v>
      </c>
      <c r="M205" s="3">
        <v>106</v>
      </c>
      <c r="N205" s="3">
        <f t="shared" si="8"/>
        <v>8513</v>
      </c>
      <c r="O205" s="3">
        <v>1850</v>
      </c>
      <c r="P205" s="3">
        <v>4385</v>
      </c>
      <c r="Q205" s="18">
        <f t="shared" si="9"/>
        <v>2278</v>
      </c>
    </row>
    <row r="206" spans="1:17" ht="18.75" customHeight="1">
      <c r="A206" s="6" t="s">
        <v>23</v>
      </c>
      <c r="B206" s="10">
        <v>44401</v>
      </c>
      <c r="C206" s="3">
        <v>2380</v>
      </c>
      <c r="D206" s="3">
        <v>0</v>
      </c>
      <c r="E206" s="3">
        <v>1762</v>
      </c>
      <c r="F206" s="3">
        <v>317</v>
      </c>
      <c r="G206" s="3">
        <v>0</v>
      </c>
      <c r="H206" s="3">
        <v>0</v>
      </c>
      <c r="I206" s="3">
        <v>0</v>
      </c>
      <c r="J206" s="3">
        <v>0</v>
      </c>
      <c r="K206" s="3">
        <v>410</v>
      </c>
      <c r="L206" s="3">
        <v>10264</v>
      </c>
      <c r="M206" s="3">
        <v>480</v>
      </c>
      <c r="N206" s="3">
        <f t="shared" si="8"/>
        <v>15613</v>
      </c>
      <c r="O206" s="3">
        <v>2200</v>
      </c>
      <c r="P206" s="3">
        <v>5327</v>
      </c>
      <c r="Q206" s="18">
        <f t="shared" si="9"/>
        <v>8086</v>
      </c>
    </row>
    <row r="207" spans="1:17" ht="18.75" customHeight="1">
      <c r="A207" s="6" t="s">
        <v>17</v>
      </c>
      <c r="B207" s="10">
        <v>44402</v>
      </c>
      <c r="C207" s="3">
        <v>1870</v>
      </c>
      <c r="D207" s="3">
        <v>0</v>
      </c>
      <c r="E207" s="3">
        <v>2146</v>
      </c>
      <c r="F207" s="3">
        <v>76</v>
      </c>
      <c r="G207" s="3">
        <v>0</v>
      </c>
      <c r="H207" s="3">
        <v>0</v>
      </c>
      <c r="I207" s="3">
        <v>0</v>
      </c>
      <c r="J207" s="3">
        <v>0</v>
      </c>
      <c r="K207" s="3">
        <v>836</v>
      </c>
      <c r="L207" s="3">
        <v>13056</v>
      </c>
      <c r="M207" s="3">
        <v>879</v>
      </c>
      <c r="N207" s="3">
        <f t="shared" si="8"/>
        <v>18863</v>
      </c>
      <c r="O207" s="3">
        <v>2700</v>
      </c>
      <c r="P207" s="3">
        <v>6035.5</v>
      </c>
      <c r="Q207" s="18">
        <f t="shared" si="9"/>
        <v>10127.5</v>
      </c>
    </row>
    <row r="208" spans="1:17" ht="18.75" customHeight="1">
      <c r="A208" s="6" t="s">
        <v>18</v>
      </c>
      <c r="B208" s="10">
        <v>44403</v>
      </c>
      <c r="C208" s="3">
        <v>2794</v>
      </c>
      <c r="D208" s="3">
        <v>216</v>
      </c>
      <c r="E208" s="3">
        <v>914</v>
      </c>
      <c r="F208" s="3">
        <v>746</v>
      </c>
      <c r="G208" s="3">
        <v>0</v>
      </c>
      <c r="H208" s="3">
        <v>0</v>
      </c>
      <c r="I208" s="3">
        <v>0</v>
      </c>
      <c r="J208" s="3">
        <v>107</v>
      </c>
      <c r="K208" s="3">
        <v>720</v>
      </c>
      <c r="L208" s="3">
        <v>8000</v>
      </c>
      <c r="M208" s="3">
        <v>189</v>
      </c>
      <c r="N208" s="3">
        <f t="shared" si="8"/>
        <v>13686</v>
      </c>
      <c r="O208" s="3">
        <v>2160</v>
      </c>
      <c r="P208" s="3">
        <v>7303</v>
      </c>
      <c r="Q208" s="18">
        <f t="shared" si="9"/>
        <v>4223</v>
      </c>
    </row>
    <row r="209" spans="1:17" ht="18.75" customHeight="1">
      <c r="A209" s="6" t="s">
        <v>19</v>
      </c>
      <c r="B209" s="10">
        <v>44404</v>
      </c>
      <c r="C209" s="3">
        <v>1060</v>
      </c>
      <c r="D209" s="3">
        <v>403</v>
      </c>
      <c r="E209" s="3">
        <v>674</v>
      </c>
      <c r="F209" s="3">
        <v>732</v>
      </c>
      <c r="G209" s="3">
        <v>0</v>
      </c>
      <c r="H209" s="3">
        <v>0</v>
      </c>
      <c r="I209" s="3">
        <v>0</v>
      </c>
      <c r="J209" s="3">
        <v>0</v>
      </c>
      <c r="K209" s="3">
        <v>720</v>
      </c>
      <c r="L209" s="3">
        <v>7953</v>
      </c>
      <c r="M209" s="3">
        <v>218</v>
      </c>
      <c r="N209" s="3">
        <f t="shared" si="8"/>
        <v>11760</v>
      </c>
      <c r="O209" s="3">
        <v>1940</v>
      </c>
      <c r="P209" s="3">
        <v>5861</v>
      </c>
      <c r="Q209" s="18">
        <f t="shared" si="9"/>
        <v>3959</v>
      </c>
    </row>
    <row r="210" spans="1:17" ht="18.75" customHeight="1">
      <c r="A210" s="6" t="s">
        <v>20</v>
      </c>
      <c r="B210" s="10">
        <v>44405</v>
      </c>
      <c r="C210" s="3">
        <v>1380</v>
      </c>
      <c r="D210" s="3">
        <v>775</v>
      </c>
      <c r="E210" s="3">
        <v>502</v>
      </c>
      <c r="F210" s="3">
        <v>294</v>
      </c>
      <c r="G210" s="3">
        <v>0</v>
      </c>
      <c r="H210" s="3">
        <v>0</v>
      </c>
      <c r="I210" s="3">
        <v>0</v>
      </c>
      <c r="J210" s="3">
        <v>0</v>
      </c>
      <c r="K210" s="3">
        <v>650</v>
      </c>
      <c r="L210" s="3">
        <v>5303</v>
      </c>
      <c r="M210" s="3">
        <v>534</v>
      </c>
      <c r="N210" s="3">
        <f t="shared" si="8"/>
        <v>9438</v>
      </c>
      <c r="O210" s="3">
        <v>1990</v>
      </c>
      <c r="P210" s="3">
        <v>2984</v>
      </c>
      <c r="Q210" s="18">
        <f t="shared" si="9"/>
        <v>4464</v>
      </c>
    </row>
    <row r="211" spans="1:17" ht="18.75" customHeight="1">
      <c r="A211" s="6" t="s">
        <v>21</v>
      </c>
      <c r="B211" s="10">
        <v>44406</v>
      </c>
      <c r="C211" s="3">
        <v>2640</v>
      </c>
      <c r="D211" s="3">
        <v>206</v>
      </c>
      <c r="E211" s="3">
        <v>342</v>
      </c>
      <c r="F211" s="3">
        <v>852</v>
      </c>
      <c r="G211" s="3">
        <v>0</v>
      </c>
      <c r="H211" s="3">
        <v>0</v>
      </c>
      <c r="I211" s="3">
        <v>0</v>
      </c>
      <c r="J211" s="3">
        <v>0</v>
      </c>
      <c r="K211" s="3">
        <v>450</v>
      </c>
      <c r="L211" s="3">
        <v>6847</v>
      </c>
      <c r="M211" s="3">
        <v>1574</v>
      </c>
      <c r="N211" s="3">
        <f t="shared" si="8"/>
        <v>12911</v>
      </c>
      <c r="O211" s="3">
        <v>2150</v>
      </c>
      <c r="P211" s="3">
        <v>7606</v>
      </c>
      <c r="Q211" s="18">
        <f t="shared" si="9"/>
        <v>3155</v>
      </c>
    </row>
    <row r="212" spans="1:17" ht="18.75" customHeight="1">
      <c r="A212" s="6" t="s">
        <v>22</v>
      </c>
      <c r="B212" s="10">
        <v>44407</v>
      </c>
      <c r="C212" s="3">
        <v>2125</v>
      </c>
      <c r="D212" s="3">
        <v>610</v>
      </c>
      <c r="E212" s="3">
        <v>1234</v>
      </c>
      <c r="F212" s="3">
        <v>616</v>
      </c>
      <c r="G212" s="3">
        <v>0</v>
      </c>
      <c r="H212" s="3">
        <v>0</v>
      </c>
      <c r="I212" s="3">
        <v>0</v>
      </c>
      <c r="J212" s="3">
        <v>0</v>
      </c>
      <c r="K212" s="3">
        <v>400</v>
      </c>
      <c r="L212" s="3">
        <v>4485</v>
      </c>
      <c r="M212" s="3">
        <v>278</v>
      </c>
      <c r="N212" s="3">
        <f t="shared" si="8"/>
        <v>9748</v>
      </c>
      <c r="O212" s="3">
        <v>1890</v>
      </c>
      <c r="P212" s="3">
        <v>7315</v>
      </c>
      <c r="Q212" s="18">
        <f t="shared" si="9"/>
        <v>543</v>
      </c>
    </row>
    <row r="213" spans="1:17" ht="18.75" customHeight="1">
      <c r="A213" s="6" t="s">
        <v>23</v>
      </c>
      <c r="B213" s="10">
        <v>44408</v>
      </c>
      <c r="C213" s="3">
        <v>2475</v>
      </c>
      <c r="D213" s="3">
        <v>264</v>
      </c>
      <c r="E213" s="3">
        <v>1247</v>
      </c>
      <c r="F213" s="3">
        <v>846</v>
      </c>
      <c r="G213" s="3">
        <v>0</v>
      </c>
      <c r="H213" s="3">
        <v>0</v>
      </c>
      <c r="I213" s="3">
        <v>0</v>
      </c>
      <c r="J213" s="3">
        <v>0</v>
      </c>
      <c r="K213" s="3">
        <v>0</v>
      </c>
      <c r="L213" s="3">
        <v>6737</v>
      </c>
      <c r="M213" s="3">
        <v>126</v>
      </c>
      <c r="N213" s="3">
        <f t="shared" si="8"/>
        <v>11695</v>
      </c>
      <c r="O213" s="3">
        <v>1880</v>
      </c>
      <c r="P213" s="3">
        <v>5682</v>
      </c>
      <c r="Q213" s="18">
        <f t="shared" si="9"/>
        <v>4133</v>
      </c>
    </row>
    <row r="214" spans="1:17" ht="18.75" customHeight="1">
      <c r="A214" s="6" t="s">
        <v>17</v>
      </c>
      <c r="B214" s="10">
        <v>44409</v>
      </c>
      <c r="C214" s="3">
        <v>2176</v>
      </c>
      <c r="D214" s="3">
        <v>730</v>
      </c>
      <c r="E214" s="3">
        <v>1246</v>
      </c>
      <c r="F214" s="3">
        <v>1052</v>
      </c>
      <c r="G214" s="3">
        <v>0</v>
      </c>
      <c r="H214" s="3">
        <v>0</v>
      </c>
      <c r="I214" s="3">
        <v>0</v>
      </c>
      <c r="J214" s="3">
        <v>0</v>
      </c>
      <c r="K214" s="3">
        <v>350</v>
      </c>
      <c r="L214" s="3">
        <v>11147</v>
      </c>
      <c r="M214" s="3">
        <v>927</v>
      </c>
      <c r="N214" s="3">
        <f t="shared" si="8"/>
        <v>17628</v>
      </c>
      <c r="O214" s="3">
        <v>2460</v>
      </c>
      <c r="P214" s="3">
        <v>2518</v>
      </c>
      <c r="Q214" s="18">
        <f t="shared" si="9"/>
        <v>12650</v>
      </c>
    </row>
    <row r="215" spans="1:17" ht="18.75" customHeight="1">
      <c r="A215" s="6" t="s">
        <v>18</v>
      </c>
      <c r="B215" s="10">
        <v>44410</v>
      </c>
      <c r="C215" s="3">
        <v>2745</v>
      </c>
      <c r="D215" s="3">
        <v>231</v>
      </c>
      <c r="E215" s="3">
        <v>720</v>
      </c>
      <c r="F215" s="3">
        <v>606</v>
      </c>
      <c r="G215" s="3">
        <v>0</v>
      </c>
      <c r="H215" s="3">
        <v>0</v>
      </c>
      <c r="I215" s="3">
        <v>0</v>
      </c>
      <c r="J215" s="3">
        <v>0</v>
      </c>
      <c r="K215" s="3">
        <v>300</v>
      </c>
      <c r="L215" s="3">
        <v>7232</v>
      </c>
      <c r="M215" s="3">
        <v>391</v>
      </c>
      <c r="N215" s="3">
        <f t="shared" si="8"/>
        <v>12225</v>
      </c>
      <c r="O215" s="3">
        <v>1920</v>
      </c>
      <c r="P215" s="3">
        <v>7041</v>
      </c>
      <c r="Q215" s="18">
        <f t="shared" si="9"/>
        <v>3264</v>
      </c>
    </row>
    <row r="216" spans="1:17" ht="18.75" customHeight="1">
      <c r="A216" s="6" t="s">
        <v>19</v>
      </c>
      <c r="B216" s="10">
        <v>44411</v>
      </c>
      <c r="C216" s="3">
        <v>1710</v>
      </c>
      <c r="D216" s="3">
        <v>504</v>
      </c>
      <c r="E216" s="3">
        <v>997</v>
      </c>
      <c r="F216" s="3">
        <v>320</v>
      </c>
      <c r="G216" s="3">
        <v>0</v>
      </c>
      <c r="H216" s="3">
        <v>0</v>
      </c>
      <c r="I216" s="3">
        <v>0</v>
      </c>
      <c r="J216" s="3">
        <v>0</v>
      </c>
      <c r="K216" s="3">
        <v>830</v>
      </c>
      <c r="L216" s="3">
        <v>5257</v>
      </c>
      <c r="M216" s="3">
        <v>68</v>
      </c>
      <c r="N216" s="3">
        <f t="shared" si="8"/>
        <v>9686</v>
      </c>
      <c r="O216" s="3">
        <v>1880</v>
      </c>
      <c r="P216" s="3">
        <v>2884</v>
      </c>
      <c r="Q216" s="18">
        <f t="shared" si="9"/>
        <v>4922</v>
      </c>
    </row>
    <row r="217" spans="1:17" ht="18.75" customHeight="1">
      <c r="A217" s="6" t="s">
        <v>20</v>
      </c>
      <c r="B217" s="10">
        <v>44412</v>
      </c>
      <c r="C217" s="3">
        <v>1859</v>
      </c>
      <c r="D217" s="3">
        <v>525</v>
      </c>
      <c r="E217" s="3">
        <v>664</v>
      </c>
      <c r="F217" s="3">
        <v>558</v>
      </c>
      <c r="G217" s="3">
        <v>0</v>
      </c>
      <c r="H217" s="3">
        <v>0</v>
      </c>
      <c r="I217" s="3">
        <v>0</v>
      </c>
      <c r="J217" s="3">
        <v>0</v>
      </c>
      <c r="K217" s="3">
        <v>430</v>
      </c>
      <c r="L217" s="3">
        <v>8408</v>
      </c>
      <c r="M217" s="3">
        <v>0</v>
      </c>
      <c r="N217" s="3">
        <f t="shared" si="8"/>
        <v>12444</v>
      </c>
      <c r="O217" s="3">
        <v>2180</v>
      </c>
      <c r="P217" s="3">
        <v>3487</v>
      </c>
      <c r="Q217" s="18">
        <f t="shared" si="9"/>
        <v>6777</v>
      </c>
    </row>
    <row r="218" spans="1:17" ht="18.75" customHeight="1">
      <c r="A218" s="6" t="s">
        <v>21</v>
      </c>
      <c r="B218" s="10">
        <v>44413</v>
      </c>
      <c r="C218" s="3">
        <v>1135</v>
      </c>
      <c r="D218" s="3">
        <v>695</v>
      </c>
      <c r="E218" s="3">
        <v>1122</v>
      </c>
      <c r="F218" s="3">
        <v>518</v>
      </c>
      <c r="G218" s="3">
        <v>0</v>
      </c>
      <c r="H218" s="3">
        <v>0</v>
      </c>
      <c r="I218" s="3">
        <v>0</v>
      </c>
      <c r="J218" s="3">
        <v>398</v>
      </c>
      <c r="K218" s="3">
        <v>0</v>
      </c>
      <c r="L218" s="3">
        <v>5523</v>
      </c>
      <c r="M218" s="3">
        <v>1073</v>
      </c>
      <c r="N218" s="3">
        <f t="shared" si="8"/>
        <v>10464</v>
      </c>
      <c r="O218" s="3">
        <v>1820</v>
      </c>
      <c r="P218" s="3">
        <v>6314</v>
      </c>
      <c r="Q218" s="18">
        <f t="shared" si="9"/>
        <v>2330</v>
      </c>
    </row>
    <row r="219" spans="1:17" ht="18.75" customHeight="1">
      <c r="A219" s="6" t="s">
        <v>22</v>
      </c>
      <c r="B219" s="10">
        <v>44414</v>
      </c>
      <c r="C219" s="3">
        <v>2142</v>
      </c>
      <c r="D219" s="3">
        <v>196</v>
      </c>
      <c r="E219" s="3">
        <v>632</v>
      </c>
      <c r="F219" s="3">
        <v>1146</v>
      </c>
      <c r="G219" s="3">
        <v>0</v>
      </c>
      <c r="H219" s="3">
        <v>0</v>
      </c>
      <c r="I219" s="3">
        <v>0</v>
      </c>
      <c r="J219" s="3">
        <v>0</v>
      </c>
      <c r="K219" s="3">
        <v>0</v>
      </c>
      <c r="L219" s="3">
        <v>7340</v>
      </c>
      <c r="M219" s="3">
        <v>203</v>
      </c>
      <c r="N219" s="3">
        <f t="shared" si="8"/>
        <v>11659</v>
      </c>
      <c r="O219" s="3">
        <v>1720</v>
      </c>
      <c r="P219" s="3">
        <v>6090</v>
      </c>
      <c r="Q219" s="18">
        <f t="shared" si="9"/>
        <v>3849</v>
      </c>
    </row>
    <row r="220" spans="1:17" ht="18.75" customHeight="1">
      <c r="A220" s="6" t="s">
        <v>23</v>
      </c>
      <c r="B220" s="10">
        <v>44415</v>
      </c>
      <c r="C220" s="3">
        <v>1477</v>
      </c>
      <c r="D220" s="3">
        <v>284</v>
      </c>
      <c r="E220" s="3">
        <v>982</v>
      </c>
      <c r="F220" s="3">
        <v>684</v>
      </c>
      <c r="G220" s="3">
        <v>0</v>
      </c>
      <c r="H220" s="3">
        <v>0</v>
      </c>
      <c r="I220" s="3">
        <v>0</v>
      </c>
      <c r="J220" s="3">
        <v>0</v>
      </c>
      <c r="K220" s="3">
        <v>0</v>
      </c>
      <c r="L220" s="3">
        <v>10631</v>
      </c>
      <c r="M220" s="3">
        <v>174</v>
      </c>
      <c r="N220" s="3">
        <f t="shared" ref="N220:N283" si="10">SUM(C220:M220)</f>
        <v>14232</v>
      </c>
      <c r="O220" s="3">
        <v>2280</v>
      </c>
      <c r="P220" s="3">
        <v>8884</v>
      </c>
      <c r="Q220" s="18">
        <f t="shared" si="9"/>
        <v>3068</v>
      </c>
    </row>
    <row r="221" spans="1:17" ht="18.75" customHeight="1">
      <c r="A221" s="6" t="s">
        <v>17</v>
      </c>
      <c r="B221" s="10">
        <v>44416</v>
      </c>
      <c r="C221" s="3">
        <v>2111</v>
      </c>
      <c r="D221" s="3">
        <v>0</v>
      </c>
      <c r="E221" s="3">
        <v>964</v>
      </c>
      <c r="F221" s="3">
        <v>568</v>
      </c>
      <c r="G221" s="3">
        <v>0</v>
      </c>
      <c r="H221" s="3">
        <v>0</v>
      </c>
      <c r="I221" s="3">
        <v>0</v>
      </c>
      <c r="J221" s="3">
        <v>0</v>
      </c>
      <c r="K221" s="3">
        <v>650</v>
      </c>
      <c r="L221" s="3">
        <v>14132</v>
      </c>
      <c r="M221" s="3">
        <v>497</v>
      </c>
      <c r="N221" s="3">
        <f t="shared" si="10"/>
        <v>18922</v>
      </c>
      <c r="O221" s="3">
        <v>2180</v>
      </c>
      <c r="P221" s="3">
        <v>5204</v>
      </c>
      <c r="Q221" s="18">
        <f t="shared" si="9"/>
        <v>11538</v>
      </c>
    </row>
    <row r="222" spans="1:17" ht="18.75" customHeight="1">
      <c r="A222" s="6" t="s">
        <v>18</v>
      </c>
      <c r="B222" s="10">
        <v>44417</v>
      </c>
      <c r="C222" s="3">
        <v>2490</v>
      </c>
      <c r="D222" s="3">
        <v>0</v>
      </c>
      <c r="E222" s="3">
        <v>1199</v>
      </c>
      <c r="F222" s="3">
        <v>732</v>
      </c>
      <c r="G222" s="3">
        <v>0</v>
      </c>
      <c r="H222" s="3">
        <v>0</v>
      </c>
      <c r="I222" s="3">
        <v>0</v>
      </c>
      <c r="J222" s="3">
        <v>0</v>
      </c>
      <c r="K222" s="3">
        <v>0</v>
      </c>
      <c r="L222" s="3">
        <v>5136</v>
      </c>
      <c r="M222" s="3">
        <v>194</v>
      </c>
      <c r="N222" s="3">
        <f t="shared" si="10"/>
        <v>9751</v>
      </c>
      <c r="O222" s="3">
        <v>1870</v>
      </c>
      <c r="P222" s="3">
        <v>6213</v>
      </c>
      <c r="Q222" s="18">
        <f t="shared" si="9"/>
        <v>1668</v>
      </c>
    </row>
    <row r="223" spans="1:17" ht="18.75" customHeight="1">
      <c r="A223" s="6" t="s">
        <v>19</v>
      </c>
      <c r="B223" s="10">
        <v>44418</v>
      </c>
      <c r="C223" s="3">
        <v>1812</v>
      </c>
      <c r="D223" s="3">
        <v>0</v>
      </c>
      <c r="E223" s="3">
        <v>1324</v>
      </c>
      <c r="F223" s="3">
        <v>758</v>
      </c>
      <c r="G223" s="3">
        <v>0</v>
      </c>
      <c r="H223" s="3">
        <v>0</v>
      </c>
      <c r="I223" s="3">
        <v>0</v>
      </c>
      <c r="J223" s="3">
        <v>419</v>
      </c>
      <c r="K223" s="3">
        <v>420</v>
      </c>
      <c r="L223" s="3">
        <v>4666</v>
      </c>
      <c r="M223" s="3">
        <v>784</v>
      </c>
      <c r="N223" s="3">
        <f t="shared" si="10"/>
        <v>10183</v>
      </c>
      <c r="O223" s="3">
        <v>1935</v>
      </c>
      <c r="P223" s="3">
        <v>4936</v>
      </c>
      <c r="Q223" s="18">
        <f t="shared" si="9"/>
        <v>3312</v>
      </c>
    </row>
    <row r="224" spans="1:17" ht="18.75" customHeight="1">
      <c r="A224" s="6" t="s">
        <v>20</v>
      </c>
      <c r="B224" s="10">
        <v>44419</v>
      </c>
      <c r="C224" s="3">
        <v>1147</v>
      </c>
      <c r="D224" s="3">
        <v>0</v>
      </c>
      <c r="E224" s="3">
        <v>580</v>
      </c>
      <c r="F224" s="3">
        <v>352</v>
      </c>
      <c r="G224" s="3">
        <v>0</v>
      </c>
      <c r="H224" s="3">
        <v>0</v>
      </c>
      <c r="I224" s="3">
        <v>0</v>
      </c>
      <c r="J224" s="3">
        <v>0</v>
      </c>
      <c r="K224" s="3">
        <v>450</v>
      </c>
      <c r="L224" s="3">
        <v>4660</v>
      </c>
      <c r="M224" s="3">
        <v>864</v>
      </c>
      <c r="N224" s="3">
        <f t="shared" si="10"/>
        <v>8053</v>
      </c>
      <c r="O224" s="3">
        <v>1990</v>
      </c>
      <c r="P224" s="3">
        <v>3068</v>
      </c>
      <c r="Q224" s="18">
        <f t="shared" si="9"/>
        <v>2995</v>
      </c>
    </row>
    <row r="225" spans="1:17" ht="18.75" customHeight="1">
      <c r="A225" s="6" t="s">
        <v>21</v>
      </c>
      <c r="B225" s="10">
        <v>44420</v>
      </c>
      <c r="C225" s="3">
        <v>1895</v>
      </c>
      <c r="D225" s="3">
        <v>296</v>
      </c>
      <c r="E225" s="3">
        <v>545</v>
      </c>
      <c r="F225" s="3">
        <v>418</v>
      </c>
      <c r="G225" s="3">
        <v>0</v>
      </c>
      <c r="H225" s="3">
        <v>0</v>
      </c>
      <c r="I225" s="3">
        <v>0</v>
      </c>
      <c r="J225" s="3">
        <v>0</v>
      </c>
      <c r="K225" s="3">
        <v>350</v>
      </c>
      <c r="L225" s="3">
        <v>6826</v>
      </c>
      <c r="M225" s="3">
        <v>449</v>
      </c>
      <c r="N225" s="3">
        <f t="shared" si="10"/>
        <v>10779</v>
      </c>
      <c r="O225" s="3">
        <v>2095</v>
      </c>
      <c r="P225" s="3">
        <v>5629</v>
      </c>
      <c r="Q225" s="18">
        <f t="shared" si="9"/>
        <v>3055</v>
      </c>
    </row>
    <row r="226" spans="1:17" ht="18.75" customHeight="1">
      <c r="A226" s="6" t="s">
        <v>22</v>
      </c>
      <c r="B226" s="10">
        <v>44421</v>
      </c>
      <c r="C226" s="3">
        <v>2091</v>
      </c>
      <c r="D226" s="3">
        <v>602</v>
      </c>
      <c r="E226" s="3">
        <v>480</v>
      </c>
      <c r="F226" s="3">
        <v>1520</v>
      </c>
      <c r="G226" s="3">
        <v>0</v>
      </c>
      <c r="H226" s="3">
        <v>0</v>
      </c>
      <c r="I226" s="3">
        <v>0</v>
      </c>
      <c r="J226" s="3">
        <v>0</v>
      </c>
      <c r="K226" s="3">
        <v>665</v>
      </c>
      <c r="L226" s="3">
        <v>5745</v>
      </c>
      <c r="M226" s="3">
        <v>158</v>
      </c>
      <c r="N226" s="3">
        <f t="shared" si="10"/>
        <v>11261</v>
      </c>
      <c r="O226" s="3">
        <v>2220</v>
      </c>
      <c r="P226" s="3">
        <v>4612</v>
      </c>
      <c r="Q226" s="18">
        <f t="shared" si="9"/>
        <v>4429</v>
      </c>
    </row>
    <row r="227" spans="1:17" ht="18.75" customHeight="1">
      <c r="A227" s="6" t="s">
        <v>23</v>
      </c>
      <c r="B227" s="10">
        <v>44422</v>
      </c>
      <c r="C227" s="3">
        <v>2085</v>
      </c>
      <c r="D227" s="3">
        <v>448</v>
      </c>
      <c r="E227" s="3">
        <v>782</v>
      </c>
      <c r="F227" s="3">
        <v>608</v>
      </c>
      <c r="G227" s="3">
        <v>484</v>
      </c>
      <c r="H227" s="3">
        <v>0</v>
      </c>
      <c r="I227" s="3">
        <v>0</v>
      </c>
      <c r="J227" s="3">
        <v>0</v>
      </c>
      <c r="K227" s="3">
        <v>270</v>
      </c>
      <c r="L227" s="3">
        <v>4670</v>
      </c>
      <c r="M227" s="3">
        <v>0</v>
      </c>
      <c r="N227" s="3">
        <f t="shared" si="10"/>
        <v>9347</v>
      </c>
      <c r="O227" s="3">
        <v>2000</v>
      </c>
      <c r="P227" s="3">
        <v>7964</v>
      </c>
      <c r="Q227" s="18">
        <f t="shared" si="9"/>
        <v>-617</v>
      </c>
    </row>
    <row r="228" spans="1:17" ht="18.75" customHeight="1">
      <c r="A228" s="6" t="s">
        <v>17</v>
      </c>
      <c r="B228" s="10">
        <v>44423</v>
      </c>
      <c r="C228" s="3">
        <v>3676</v>
      </c>
      <c r="D228" s="3">
        <v>0</v>
      </c>
      <c r="E228" s="3">
        <v>1159</v>
      </c>
      <c r="F228" s="3">
        <v>290</v>
      </c>
      <c r="G228" s="3">
        <v>0</v>
      </c>
      <c r="H228" s="3">
        <v>0</v>
      </c>
      <c r="I228" s="3">
        <v>0</v>
      </c>
      <c r="J228" s="3">
        <v>0</v>
      </c>
      <c r="K228" s="3">
        <v>350</v>
      </c>
      <c r="L228" s="3">
        <v>8079</v>
      </c>
      <c r="M228" s="3">
        <v>308</v>
      </c>
      <c r="N228" s="3">
        <f t="shared" si="10"/>
        <v>13862</v>
      </c>
      <c r="O228" s="3">
        <v>1930</v>
      </c>
      <c r="P228" s="3">
        <v>4931.5</v>
      </c>
      <c r="Q228" s="18">
        <f t="shared" si="9"/>
        <v>7000.5</v>
      </c>
    </row>
    <row r="229" spans="1:17" ht="18.75" customHeight="1">
      <c r="A229" s="6" t="s">
        <v>18</v>
      </c>
      <c r="B229" s="10">
        <v>44424</v>
      </c>
      <c r="C229" s="3">
        <v>2462</v>
      </c>
      <c r="D229" s="3">
        <v>714</v>
      </c>
      <c r="E229" s="3">
        <v>1790</v>
      </c>
      <c r="F229" s="3">
        <v>490</v>
      </c>
      <c r="G229" s="3">
        <v>0</v>
      </c>
      <c r="H229" s="3">
        <v>0</v>
      </c>
      <c r="I229" s="3">
        <v>0</v>
      </c>
      <c r="J229" s="3">
        <v>0</v>
      </c>
      <c r="K229" s="3">
        <v>356</v>
      </c>
      <c r="L229" s="3">
        <v>4414</v>
      </c>
      <c r="M229" s="3">
        <v>296</v>
      </c>
      <c r="N229" s="3">
        <f t="shared" si="10"/>
        <v>10522</v>
      </c>
      <c r="O229" s="3">
        <v>1880</v>
      </c>
      <c r="P229" s="3">
        <v>5124</v>
      </c>
      <c r="Q229" s="18">
        <f t="shared" si="9"/>
        <v>3518</v>
      </c>
    </row>
    <row r="230" spans="1:17" ht="18.75" customHeight="1">
      <c r="A230" s="6" t="s">
        <v>19</v>
      </c>
      <c r="B230" s="10">
        <v>44425</v>
      </c>
      <c r="C230" s="3">
        <v>1485</v>
      </c>
      <c r="D230" s="3">
        <v>0</v>
      </c>
      <c r="E230" s="3">
        <v>716</v>
      </c>
      <c r="F230" s="3">
        <v>792</v>
      </c>
      <c r="G230" s="3">
        <v>0</v>
      </c>
      <c r="H230" s="3">
        <v>0</v>
      </c>
      <c r="I230" s="3">
        <v>0</v>
      </c>
      <c r="J230" s="3">
        <v>0</v>
      </c>
      <c r="K230" s="3">
        <v>484</v>
      </c>
      <c r="L230" s="3">
        <v>1993</v>
      </c>
      <c r="M230" s="3">
        <v>148</v>
      </c>
      <c r="N230" s="3">
        <f t="shared" si="10"/>
        <v>5618</v>
      </c>
      <c r="O230" s="3">
        <v>1345</v>
      </c>
      <c r="P230" s="3">
        <v>2348</v>
      </c>
      <c r="Q230" s="18">
        <f t="shared" si="9"/>
        <v>1925</v>
      </c>
    </row>
    <row r="231" spans="1:17" ht="18.75" customHeight="1">
      <c r="A231" s="6" t="s">
        <v>20</v>
      </c>
      <c r="B231" s="10">
        <v>44426</v>
      </c>
      <c r="C231" s="3">
        <v>1950</v>
      </c>
      <c r="D231" s="3">
        <v>0</v>
      </c>
      <c r="E231" s="3">
        <v>662</v>
      </c>
      <c r="F231" s="3">
        <v>219</v>
      </c>
      <c r="G231" s="3">
        <v>0</v>
      </c>
      <c r="H231" s="3">
        <v>0</v>
      </c>
      <c r="I231" s="3">
        <v>0</v>
      </c>
      <c r="J231" s="3">
        <v>0</v>
      </c>
      <c r="K231" s="3">
        <v>220</v>
      </c>
      <c r="L231" s="3">
        <v>4819</v>
      </c>
      <c r="M231" s="3">
        <v>107</v>
      </c>
      <c r="N231" s="3">
        <f t="shared" si="10"/>
        <v>7977</v>
      </c>
      <c r="O231" s="3">
        <v>1680</v>
      </c>
      <c r="P231" s="3">
        <v>3003</v>
      </c>
      <c r="Q231" s="18">
        <f t="shared" si="9"/>
        <v>3294</v>
      </c>
    </row>
    <row r="232" spans="1:17" ht="18.75" customHeight="1">
      <c r="A232" s="6" t="s">
        <v>21</v>
      </c>
      <c r="B232" s="10">
        <v>44427</v>
      </c>
      <c r="C232" s="3">
        <v>2106</v>
      </c>
      <c r="D232" s="3">
        <v>40</v>
      </c>
      <c r="E232" s="3">
        <v>1182</v>
      </c>
      <c r="F232" s="3">
        <v>1203</v>
      </c>
      <c r="G232" s="3">
        <v>0</v>
      </c>
      <c r="H232" s="3">
        <v>0</v>
      </c>
      <c r="I232" s="3">
        <v>0</v>
      </c>
      <c r="J232" s="3">
        <v>0</v>
      </c>
      <c r="K232" s="3">
        <v>0</v>
      </c>
      <c r="L232" s="3">
        <v>6383</v>
      </c>
      <c r="M232" s="3">
        <v>117</v>
      </c>
      <c r="N232" s="3">
        <f t="shared" si="10"/>
        <v>11031</v>
      </c>
      <c r="O232" s="3">
        <v>1500</v>
      </c>
      <c r="P232" s="3">
        <v>4633</v>
      </c>
      <c r="Q232" s="18">
        <f t="shared" si="9"/>
        <v>4898</v>
      </c>
    </row>
    <row r="233" spans="1:17" ht="18.75" customHeight="1">
      <c r="A233" s="6" t="s">
        <v>22</v>
      </c>
      <c r="B233" s="10">
        <v>44428</v>
      </c>
      <c r="C233" s="3">
        <v>3170</v>
      </c>
      <c r="D233" s="3">
        <v>0</v>
      </c>
      <c r="E233" s="3">
        <v>854</v>
      </c>
      <c r="F233" s="3">
        <v>456</v>
      </c>
      <c r="G233" s="3">
        <v>0</v>
      </c>
      <c r="H233" s="3">
        <v>0</v>
      </c>
      <c r="I233" s="3">
        <v>0</v>
      </c>
      <c r="J233" s="3">
        <v>0</v>
      </c>
      <c r="K233" s="3">
        <v>0</v>
      </c>
      <c r="L233" s="3">
        <v>4111</v>
      </c>
      <c r="M233" s="3">
        <v>72</v>
      </c>
      <c r="N233" s="3">
        <f t="shared" si="10"/>
        <v>8663</v>
      </c>
      <c r="O233" s="3">
        <v>1910</v>
      </c>
      <c r="P233" s="3">
        <v>3887</v>
      </c>
      <c r="Q233" s="18">
        <f t="shared" si="9"/>
        <v>2866</v>
      </c>
    </row>
    <row r="234" spans="1:17" ht="18.75" customHeight="1">
      <c r="A234" s="6" t="s">
        <v>23</v>
      </c>
      <c r="B234" s="10">
        <v>44429</v>
      </c>
      <c r="C234" s="3">
        <v>2375</v>
      </c>
      <c r="D234" s="3">
        <v>0</v>
      </c>
      <c r="E234" s="3">
        <v>1741</v>
      </c>
      <c r="F234" s="3">
        <v>692</v>
      </c>
      <c r="G234" s="3">
        <v>0</v>
      </c>
      <c r="H234" s="3">
        <v>0</v>
      </c>
      <c r="I234" s="3">
        <v>0</v>
      </c>
      <c r="J234" s="3">
        <v>0</v>
      </c>
      <c r="K234" s="3">
        <v>0</v>
      </c>
      <c r="L234" s="3">
        <v>4625</v>
      </c>
      <c r="M234" s="3">
        <v>850</v>
      </c>
      <c r="N234" s="3">
        <f t="shared" si="10"/>
        <v>10283</v>
      </c>
      <c r="O234" s="3">
        <v>1720</v>
      </c>
      <c r="P234" s="3">
        <v>3971</v>
      </c>
      <c r="Q234" s="18">
        <f t="shared" si="9"/>
        <v>4592</v>
      </c>
    </row>
    <row r="235" spans="1:17" ht="18.75" customHeight="1">
      <c r="A235" s="6" t="s">
        <v>17</v>
      </c>
      <c r="B235" s="10">
        <v>44430</v>
      </c>
      <c r="C235" s="3">
        <v>953</v>
      </c>
      <c r="D235" s="3">
        <v>845</v>
      </c>
      <c r="E235" s="3">
        <v>934</v>
      </c>
      <c r="F235" s="3">
        <v>522</v>
      </c>
      <c r="G235" s="3">
        <v>0</v>
      </c>
      <c r="H235" s="3">
        <v>0</v>
      </c>
      <c r="I235" s="3">
        <v>0</v>
      </c>
      <c r="J235" s="3">
        <v>0</v>
      </c>
      <c r="K235" s="3">
        <v>530</v>
      </c>
      <c r="L235" s="3">
        <v>5461</v>
      </c>
      <c r="M235" s="3">
        <v>525</v>
      </c>
      <c r="N235" s="3">
        <f t="shared" si="10"/>
        <v>9770</v>
      </c>
      <c r="O235" s="3">
        <v>1840</v>
      </c>
      <c r="P235" s="3">
        <v>4906</v>
      </c>
      <c r="Q235" s="18">
        <f t="shared" si="9"/>
        <v>3024</v>
      </c>
    </row>
    <row r="236" spans="1:17" ht="18.75" customHeight="1">
      <c r="A236" s="6" t="s">
        <v>18</v>
      </c>
      <c r="B236" s="10">
        <v>44431</v>
      </c>
      <c r="C236" s="3">
        <v>1900</v>
      </c>
      <c r="D236" s="3">
        <v>190</v>
      </c>
      <c r="E236" s="3">
        <v>560</v>
      </c>
      <c r="F236" s="3">
        <v>770</v>
      </c>
      <c r="G236" s="3">
        <v>0</v>
      </c>
      <c r="H236" s="3">
        <v>0</v>
      </c>
      <c r="I236" s="3">
        <v>0</v>
      </c>
      <c r="J236" s="3">
        <v>0</v>
      </c>
      <c r="K236" s="3">
        <v>280</v>
      </c>
      <c r="L236" s="3">
        <v>2700</v>
      </c>
      <c r="M236" s="3">
        <v>115</v>
      </c>
      <c r="N236" s="3">
        <f t="shared" si="10"/>
        <v>6515</v>
      </c>
      <c r="O236" s="3">
        <v>1760</v>
      </c>
      <c r="P236" s="3">
        <v>4191.5</v>
      </c>
      <c r="Q236" s="18">
        <f t="shared" si="9"/>
        <v>563.5</v>
      </c>
    </row>
    <row r="237" spans="1:17" ht="18.75" customHeight="1">
      <c r="A237" s="6" t="s">
        <v>19</v>
      </c>
      <c r="B237" s="10">
        <v>44432</v>
      </c>
      <c r="C237" s="3">
        <v>1851</v>
      </c>
      <c r="D237" s="3">
        <v>330</v>
      </c>
      <c r="E237" s="3">
        <v>280</v>
      </c>
      <c r="F237" s="3">
        <v>823</v>
      </c>
      <c r="G237" s="3">
        <v>0</v>
      </c>
      <c r="H237" s="3">
        <v>0</v>
      </c>
      <c r="I237" s="3">
        <v>0</v>
      </c>
      <c r="J237" s="3">
        <v>0</v>
      </c>
      <c r="K237" s="3">
        <v>0</v>
      </c>
      <c r="L237" s="3">
        <v>4488</v>
      </c>
      <c r="M237" s="3">
        <v>107</v>
      </c>
      <c r="N237" s="3">
        <f t="shared" si="10"/>
        <v>7879</v>
      </c>
      <c r="O237" s="3">
        <v>1750</v>
      </c>
      <c r="P237" s="3">
        <v>2461</v>
      </c>
      <c r="Q237" s="18">
        <f t="shared" si="9"/>
        <v>3668</v>
      </c>
    </row>
    <row r="238" spans="1:17" ht="18.75" customHeight="1">
      <c r="A238" s="6" t="s">
        <v>20</v>
      </c>
      <c r="B238" s="10">
        <v>44433</v>
      </c>
      <c r="C238" s="3">
        <v>1055</v>
      </c>
      <c r="D238" s="3">
        <v>115</v>
      </c>
      <c r="E238" s="3">
        <v>448</v>
      </c>
      <c r="F238" s="3">
        <v>642</v>
      </c>
      <c r="G238" s="3">
        <v>0</v>
      </c>
      <c r="H238" s="3">
        <v>0</v>
      </c>
      <c r="I238" s="3">
        <v>0</v>
      </c>
      <c r="J238" s="3">
        <v>0</v>
      </c>
      <c r="K238" s="3">
        <v>0</v>
      </c>
      <c r="L238" s="3">
        <v>4895</v>
      </c>
      <c r="M238" s="3">
        <v>160</v>
      </c>
      <c r="N238" s="3">
        <f t="shared" si="10"/>
        <v>7315</v>
      </c>
      <c r="O238" s="3">
        <v>1680</v>
      </c>
      <c r="P238" s="3">
        <v>3101</v>
      </c>
      <c r="Q238" s="18">
        <f t="shared" si="9"/>
        <v>2534</v>
      </c>
    </row>
    <row r="239" spans="1:17" ht="18.75" customHeight="1">
      <c r="A239" s="6" t="s">
        <v>21</v>
      </c>
      <c r="B239" s="10">
        <v>44434</v>
      </c>
      <c r="C239" s="3">
        <v>2410</v>
      </c>
      <c r="D239" s="3">
        <v>0</v>
      </c>
      <c r="E239" s="3">
        <v>804</v>
      </c>
      <c r="F239" s="3">
        <v>410</v>
      </c>
      <c r="G239" s="3">
        <v>0</v>
      </c>
      <c r="H239" s="3">
        <v>0</v>
      </c>
      <c r="I239" s="3">
        <v>0</v>
      </c>
      <c r="J239" s="3">
        <v>0</v>
      </c>
      <c r="K239" s="3">
        <v>350</v>
      </c>
      <c r="L239" s="3">
        <v>4391</v>
      </c>
      <c r="M239" s="3">
        <v>141</v>
      </c>
      <c r="N239" s="3">
        <f t="shared" si="10"/>
        <v>8506</v>
      </c>
      <c r="O239" s="3">
        <v>1810</v>
      </c>
      <c r="P239" s="3">
        <v>3907</v>
      </c>
      <c r="Q239" s="18">
        <f t="shared" si="9"/>
        <v>2789</v>
      </c>
    </row>
    <row r="240" spans="1:17" ht="18.75" customHeight="1">
      <c r="A240" s="6" t="s">
        <v>22</v>
      </c>
      <c r="B240" s="10">
        <v>44435</v>
      </c>
      <c r="C240" s="3">
        <v>1985</v>
      </c>
      <c r="D240" s="3">
        <v>0</v>
      </c>
      <c r="E240" s="3">
        <v>1000</v>
      </c>
      <c r="F240" s="3">
        <v>844</v>
      </c>
      <c r="G240" s="3">
        <v>0</v>
      </c>
      <c r="H240" s="3">
        <v>0</v>
      </c>
      <c r="I240" s="3">
        <v>0</v>
      </c>
      <c r="J240" s="3">
        <v>0</v>
      </c>
      <c r="K240" s="3">
        <v>250</v>
      </c>
      <c r="L240" s="3">
        <v>2885</v>
      </c>
      <c r="M240" s="3">
        <v>153</v>
      </c>
      <c r="N240" s="3">
        <f t="shared" si="10"/>
        <v>7117</v>
      </c>
      <c r="O240" s="3">
        <v>1800</v>
      </c>
      <c r="P240" s="3">
        <v>4047</v>
      </c>
      <c r="Q240" s="18">
        <f t="shared" si="9"/>
        <v>1270</v>
      </c>
    </row>
    <row r="241" spans="1:17" ht="18.75" customHeight="1">
      <c r="A241" s="6" t="s">
        <v>23</v>
      </c>
      <c r="B241" s="10">
        <v>44436</v>
      </c>
      <c r="C241" s="3">
        <v>1871.5</v>
      </c>
      <c r="D241" s="3">
        <v>0</v>
      </c>
      <c r="E241" s="3">
        <v>1049</v>
      </c>
      <c r="F241" s="3">
        <v>692</v>
      </c>
      <c r="G241" s="3">
        <v>0</v>
      </c>
      <c r="H241" s="3">
        <v>0</v>
      </c>
      <c r="I241" s="3">
        <v>0</v>
      </c>
      <c r="J241" s="3">
        <v>0</v>
      </c>
      <c r="K241" s="3">
        <v>150</v>
      </c>
      <c r="L241" s="3">
        <v>4549</v>
      </c>
      <c r="M241" s="3">
        <v>336</v>
      </c>
      <c r="N241" s="3">
        <f t="shared" si="10"/>
        <v>8647.5</v>
      </c>
      <c r="O241" s="3">
        <v>1710</v>
      </c>
      <c r="P241" s="3">
        <v>3212</v>
      </c>
      <c r="Q241" s="18">
        <f t="shared" si="9"/>
        <v>3725.5</v>
      </c>
    </row>
    <row r="242" spans="1:17" ht="18.75" customHeight="1">
      <c r="A242" s="6" t="s">
        <v>17</v>
      </c>
      <c r="B242" s="10">
        <v>44437</v>
      </c>
      <c r="C242" s="3">
        <v>2725</v>
      </c>
      <c r="D242" s="3">
        <v>1230</v>
      </c>
      <c r="E242" s="3">
        <v>0</v>
      </c>
      <c r="F242" s="3">
        <v>1290</v>
      </c>
      <c r="G242" s="3">
        <v>0</v>
      </c>
      <c r="H242" s="3">
        <v>0</v>
      </c>
      <c r="I242" s="3">
        <v>0</v>
      </c>
      <c r="J242" s="3">
        <v>150</v>
      </c>
      <c r="K242" s="3">
        <v>310</v>
      </c>
      <c r="L242" s="3">
        <v>6332</v>
      </c>
      <c r="M242" s="3">
        <v>1625</v>
      </c>
      <c r="N242" s="3">
        <f t="shared" si="10"/>
        <v>13662</v>
      </c>
      <c r="O242" s="3">
        <v>2090</v>
      </c>
      <c r="P242" s="3">
        <v>5122</v>
      </c>
      <c r="Q242" s="18">
        <f t="shared" si="9"/>
        <v>6450</v>
      </c>
    </row>
    <row r="243" spans="1:17" ht="18.75" customHeight="1">
      <c r="A243" s="6" t="s">
        <v>18</v>
      </c>
      <c r="B243" s="10">
        <v>44438</v>
      </c>
      <c r="C243" s="3">
        <v>2496</v>
      </c>
      <c r="D243" s="3">
        <v>370</v>
      </c>
      <c r="E243" s="3">
        <v>507</v>
      </c>
      <c r="F243" s="3">
        <v>220</v>
      </c>
      <c r="G243" s="3">
        <v>0</v>
      </c>
      <c r="H243" s="3">
        <v>0</v>
      </c>
      <c r="I243" s="3">
        <v>0</v>
      </c>
      <c r="J243" s="3">
        <v>0</v>
      </c>
      <c r="K243" s="3">
        <v>250</v>
      </c>
      <c r="L243" s="3">
        <v>4383</v>
      </c>
      <c r="M243" s="3">
        <v>418</v>
      </c>
      <c r="N243" s="3">
        <f t="shared" si="10"/>
        <v>8644</v>
      </c>
      <c r="O243" s="3">
        <v>1770</v>
      </c>
      <c r="P243" s="3">
        <v>4388</v>
      </c>
      <c r="Q243" s="18">
        <f t="shared" si="9"/>
        <v>2486</v>
      </c>
    </row>
    <row r="244" spans="1:17" ht="18.75" customHeight="1">
      <c r="A244" s="6" t="s">
        <v>19</v>
      </c>
      <c r="B244" s="10">
        <v>44439</v>
      </c>
      <c r="C244" s="3">
        <v>900</v>
      </c>
      <c r="D244" s="3">
        <v>249</v>
      </c>
      <c r="E244" s="3">
        <v>566.5</v>
      </c>
      <c r="F244" s="3">
        <v>284</v>
      </c>
      <c r="G244" s="3">
        <v>0</v>
      </c>
      <c r="H244" s="3">
        <v>0</v>
      </c>
      <c r="I244" s="3">
        <v>0</v>
      </c>
      <c r="J244" s="3">
        <v>152</v>
      </c>
      <c r="K244" s="3">
        <v>0</v>
      </c>
      <c r="L244" s="3">
        <v>4336</v>
      </c>
      <c r="M244" s="3">
        <v>192</v>
      </c>
      <c r="N244" s="3">
        <f t="shared" si="10"/>
        <v>6679.5</v>
      </c>
      <c r="O244" s="3">
        <v>1660</v>
      </c>
      <c r="P244" s="3">
        <v>2482</v>
      </c>
      <c r="Q244" s="18">
        <f t="shared" si="9"/>
        <v>2537.5</v>
      </c>
    </row>
    <row r="245" spans="1:17" ht="18.75" customHeight="1">
      <c r="A245" s="6" t="s">
        <v>24</v>
      </c>
      <c r="B245" s="10">
        <v>44440</v>
      </c>
      <c r="C245" s="3">
        <v>1398</v>
      </c>
      <c r="D245" s="3">
        <v>0</v>
      </c>
      <c r="E245" s="3">
        <v>942</v>
      </c>
      <c r="F245" s="3">
        <v>861</v>
      </c>
      <c r="G245" s="3">
        <v>0</v>
      </c>
      <c r="H245" s="3">
        <v>0</v>
      </c>
      <c r="I245" s="3">
        <v>0</v>
      </c>
      <c r="J245" s="3">
        <v>217</v>
      </c>
      <c r="K245" s="3">
        <v>380</v>
      </c>
      <c r="L245" s="3">
        <v>4412</v>
      </c>
      <c r="M245" s="3">
        <v>400</v>
      </c>
      <c r="N245" s="3">
        <f t="shared" si="10"/>
        <v>8610</v>
      </c>
      <c r="O245" s="3">
        <v>1570</v>
      </c>
      <c r="P245" s="3">
        <v>4350</v>
      </c>
      <c r="Q245" s="18">
        <f t="shared" si="9"/>
        <v>2690</v>
      </c>
    </row>
    <row r="246" spans="1:17" ht="18.75" customHeight="1">
      <c r="A246" s="6" t="s">
        <v>21</v>
      </c>
      <c r="B246" s="10">
        <v>44441</v>
      </c>
      <c r="C246" s="3">
        <v>2328</v>
      </c>
      <c r="D246" s="3">
        <v>156</v>
      </c>
      <c r="E246" s="3">
        <v>867</v>
      </c>
      <c r="F246" s="3">
        <v>398.5</v>
      </c>
      <c r="G246" s="3">
        <v>0</v>
      </c>
      <c r="H246" s="3">
        <v>0</v>
      </c>
      <c r="I246" s="3">
        <v>0</v>
      </c>
      <c r="J246" s="3">
        <v>0</v>
      </c>
      <c r="K246" s="3">
        <v>0</v>
      </c>
      <c r="L246" s="3">
        <v>5199</v>
      </c>
      <c r="M246" s="3">
        <v>109</v>
      </c>
      <c r="N246" s="3">
        <f t="shared" si="10"/>
        <v>9057.5</v>
      </c>
      <c r="O246" s="3">
        <v>1600</v>
      </c>
      <c r="P246" s="3">
        <v>3553</v>
      </c>
      <c r="Q246" s="18">
        <f t="shared" si="9"/>
        <v>3904.5</v>
      </c>
    </row>
    <row r="247" spans="1:17" ht="18.75" customHeight="1">
      <c r="A247" s="6" t="s">
        <v>22</v>
      </c>
      <c r="B247" s="10">
        <v>44442</v>
      </c>
      <c r="C247" s="3">
        <v>2035</v>
      </c>
      <c r="D247" s="3">
        <v>0</v>
      </c>
      <c r="E247" s="3">
        <v>1296</v>
      </c>
      <c r="F247" s="3">
        <v>462</v>
      </c>
      <c r="G247" s="3">
        <v>0</v>
      </c>
      <c r="H247" s="3">
        <v>0</v>
      </c>
      <c r="I247" s="3">
        <v>0</v>
      </c>
      <c r="J247" s="3">
        <v>0</v>
      </c>
      <c r="K247" s="3">
        <v>500</v>
      </c>
      <c r="L247" s="3">
        <v>5367</v>
      </c>
      <c r="M247" s="3">
        <v>1662</v>
      </c>
      <c r="N247" s="3">
        <f t="shared" si="10"/>
        <v>11322</v>
      </c>
      <c r="O247" s="3">
        <v>1910</v>
      </c>
      <c r="P247" s="3">
        <v>5405.8</v>
      </c>
      <c r="Q247" s="18">
        <f t="shared" si="9"/>
        <v>4006.2</v>
      </c>
    </row>
    <row r="248" spans="1:17" ht="18.75" customHeight="1">
      <c r="A248" s="6" t="s">
        <v>23</v>
      </c>
      <c r="B248" s="10">
        <v>44443</v>
      </c>
      <c r="C248" s="3">
        <v>1855</v>
      </c>
      <c r="D248" s="3">
        <v>0</v>
      </c>
      <c r="E248" s="3">
        <v>800</v>
      </c>
      <c r="F248" s="3">
        <v>428</v>
      </c>
      <c r="G248" s="3">
        <v>0</v>
      </c>
      <c r="H248" s="3">
        <v>0</v>
      </c>
      <c r="I248" s="3">
        <v>0</v>
      </c>
      <c r="J248" s="3">
        <v>472</v>
      </c>
      <c r="K248" s="3">
        <v>250</v>
      </c>
      <c r="L248" s="3">
        <v>5889</v>
      </c>
      <c r="M248" s="3">
        <v>809</v>
      </c>
      <c r="N248" s="3">
        <f t="shared" si="10"/>
        <v>10503</v>
      </c>
      <c r="O248" s="3">
        <v>1550</v>
      </c>
      <c r="P248" s="3">
        <v>3535</v>
      </c>
      <c r="Q248" s="18">
        <f t="shared" si="9"/>
        <v>5418</v>
      </c>
    </row>
    <row r="249" spans="1:17" ht="18.75" customHeight="1">
      <c r="A249" s="6" t="s">
        <v>17</v>
      </c>
      <c r="B249" s="10">
        <v>44444</v>
      </c>
      <c r="C249" s="3">
        <v>2000</v>
      </c>
      <c r="D249" s="3">
        <v>0</v>
      </c>
      <c r="E249" s="3">
        <v>125</v>
      </c>
      <c r="F249" s="3">
        <v>690</v>
      </c>
      <c r="G249" s="3">
        <v>0</v>
      </c>
      <c r="H249" s="3">
        <v>0</v>
      </c>
      <c r="I249" s="3">
        <v>0</v>
      </c>
      <c r="J249" s="3">
        <v>0</v>
      </c>
      <c r="K249" s="3">
        <v>0</v>
      </c>
      <c r="L249" s="3">
        <v>5361</v>
      </c>
      <c r="M249" s="3">
        <v>1828</v>
      </c>
      <c r="N249" s="3">
        <f t="shared" si="10"/>
        <v>10004</v>
      </c>
      <c r="O249" s="3">
        <v>1800</v>
      </c>
      <c r="P249" s="3">
        <v>3364</v>
      </c>
      <c r="Q249" s="18">
        <f t="shared" si="9"/>
        <v>4840</v>
      </c>
    </row>
    <row r="250" spans="1:17" ht="18.75" customHeight="1">
      <c r="A250" s="6" t="s">
        <v>18</v>
      </c>
      <c r="B250" s="10">
        <v>44445</v>
      </c>
      <c r="C250" s="3">
        <v>1371</v>
      </c>
      <c r="D250" s="3">
        <v>0</v>
      </c>
      <c r="E250" s="3">
        <v>978</v>
      </c>
      <c r="F250" s="3">
        <v>1000</v>
      </c>
      <c r="G250" s="3">
        <v>0</v>
      </c>
      <c r="H250" s="3">
        <v>0</v>
      </c>
      <c r="I250" s="3">
        <v>0</v>
      </c>
      <c r="J250" s="3">
        <v>0</v>
      </c>
      <c r="K250" s="3">
        <v>240</v>
      </c>
      <c r="L250" s="3">
        <v>3877</v>
      </c>
      <c r="M250" s="3">
        <v>759</v>
      </c>
      <c r="N250" s="3">
        <f t="shared" si="10"/>
        <v>8225</v>
      </c>
      <c r="O250" s="3">
        <v>1720</v>
      </c>
      <c r="P250" s="3">
        <v>5365</v>
      </c>
      <c r="Q250" s="18">
        <f t="shared" si="9"/>
        <v>1140</v>
      </c>
    </row>
    <row r="251" spans="1:17" ht="18.75" customHeight="1">
      <c r="A251" s="6" t="s">
        <v>19</v>
      </c>
      <c r="B251" s="10">
        <v>44446</v>
      </c>
      <c r="C251" s="3">
        <v>1620</v>
      </c>
      <c r="D251" s="3">
        <v>0</v>
      </c>
      <c r="E251" s="3">
        <v>400</v>
      </c>
      <c r="F251" s="3">
        <v>583</v>
      </c>
      <c r="G251" s="3">
        <v>1622</v>
      </c>
      <c r="H251" s="3">
        <v>0</v>
      </c>
      <c r="I251" s="3">
        <v>0</v>
      </c>
      <c r="J251" s="3">
        <v>196</v>
      </c>
      <c r="K251" s="3">
        <v>210</v>
      </c>
      <c r="L251" s="3">
        <v>2668</v>
      </c>
      <c r="M251" s="3">
        <v>261</v>
      </c>
      <c r="N251" s="3">
        <f t="shared" si="10"/>
        <v>7560</v>
      </c>
      <c r="O251" s="3">
        <v>1620</v>
      </c>
      <c r="P251" s="3">
        <v>3592</v>
      </c>
      <c r="Q251" s="18">
        <f t="shared" si="9"/>
        <v>2348</v>
      </c>
    </row>
    <row r="252" spans="1:17" ht="18.75" customHeight="1">
      <c r="A252" s="6" t="s">
        <v>20</v>
      </c>
      <c r="B252" s="10">
        <v>44447</v>
      </c>
      <c r="C252" s="3">
        <v>1500</v>
      </c>
      <c r="D252" s="3">
        <v>0</v>
      </c>
      <c r="E252" s="3">
        <v>1385</v>
      </c>
      <c r="F252" s="3">
        <v>315</v>
      </c>
      <c r="G252" s="3">
        <v>724</v>
      </c>
      <c r="H252" s="3">
        <v>0</v>
      </c>
      <c r="I252" s="3">
        <v>0</v>
      </c>
      <c r="J252" s="3">
        <v>0</v>
      </c>
      <c r="K252" s="3">
        <v>230</v>
      </c>
      <c r="L252" s="3">
        <v>4684</v>
      </c>
      <c r="M252" s="3">
        <v>0</v>
      </c>
      <c r="N252" s="3">
        <f t="shared" si="10"/>
        <v>8838</v>
      </c>
      <c r="O252" s="3">
        <v>1830</v>
      </c>
      <c r="P252" s="3">
        <v>3227</v>
      </c>
      <c r="Q252" s="18">
        <f t="shared" si="9"/>
        <v>3781</v>
      </c>
    </row>
    <row r="253" spans="1:17" ht="18.75" customHeight="1">
      <c r="A253" s="6" t="s">
        <v>21</v>
      </c>
      <c r="B253" s="10">
        <v>44448</v>
      </c>
      <c r="C253" s="3">
        <v>1745</v>
      </c>
      <c r="D253" s="3">
        <v>0</v>
      </c>
      <c r="E253" s="3">
        <v>818</v>
      </c>
      <c r="F253" s="3">
        <v>605</v>
      </c>
      <c r="G253" s="3">
        <v>1268</v>
      </c>
      <c r="H253" s="3">
        <v>0</v>
      </c>
      <c r="I253" s="3">
        <v>0</v>
      </c>
      <c r="J253" s="3">
        <v>0</v>
      </c>
      <c r="K253" s="3">
        <v>276</v>
      </c>
      <c r="L253" s="3">
        <v>4548</v>
      </c>
      <c r="M253" s="3">
        <v>198</v>
      </c>
      <c r="N253" s="3">
        <f t="shared" si="10"/>
        <v>9458</v>
      </c>
      <c r="O253" s="3">
        <v>1800</v>
      </c>
      <c r="P253" s="3">
        <v>4482</v>
      </c>
      <c r="Q253" s="18">
        <f t="shared" ref="Q253:Q316" si="11">N253-O253-P253</f>
        <v>3176</v>
      </c>
    </row>
    <row r="254" spans="1:17" ht="18.75" customHeight="1">
      <c r="A254" s="6" t="s">
        <v>22</v>
      </c>
      <c r="B254" s="10">
        <v>44449</v>
      </c>
      <c r="C254" s="3">
        <v>2073</v>
      </c>
      <c r="D254" s="3">
        <v>540</v>
      </c>
      <c r="E254" s="3">
        <v>936</v>
      </c>
      <c r="F254" s="3">
        <v>486.5</v>
      </c>
      <c r="G254" s="3">
        <v>1090</v>
      </c>
      <c r="H254" s="3">
        <v>0</v>
      </c>
      <c r="I254" s="3">
        <v>0</v>
      </c>
      <c r="J254" s="3">
        <v>369</v>
      </c>
      <c r="K254" s="3">
        <v>380</v>
      </c>
      <c r="L254" s="3">
        <v>5075</v>
      </c>
      <c r="M254" s="3">
        <v>244</v>
      </c>
      <c r="N254" s="3">
        <f t="shared" si="10"/>
        <v>11193.5</v>
      </c>
      <c r="O254" s="3">
        <v>2190</v>
      </c>
      <c r="P254" s="3">
        <v>3756</v>
      </c>
      <c r="Q254" s="18">
        <f t="shared" si="11"/>
        <v>5247.5</v>
      </c>
    </row>
    <row r="255" spans="1:17" ht="18.75" customHeight="1">
      <c r="A255" s="6" t="s">
        <v>23</v>
      </c>
      <c r="B255" s="10">
        <v>44450</v>
      </c>
      <c r="C255" s="3">
        <v>1689</v>
      </c>
      <c r="D255" s="3">
        <v>759.5</v>
      </c>
      <c r="E255" s="3">
        <v>604</v>
      </c>
      <c r="F255" s="3">
        <v>813</v>
      </c>
      <c r="G255" s="3">
        <v>770</v>
      </c>
      <c r="H255" s="3">
        <v>0</v>
      </c>
      <c r="I255" s="3">
        <v>0</v>
      </c>
      <c r="J255" s="3">
        <v>0</v>
      </c>
      <c r="K255" s="3">
        <v>400</v>
      </c>
      <c r="L255" s="3">
        <v>6387</v>
      </c>
      <c r="M255" s="3">
        <v>437</v>
      </c>
      <c r="N255" s="3">
        <f t="shared" si="10"/>
        <v>11859.5</v>
      </c>
      <c r="O255" s="3">
        <v>2160</v>
      </c>
      <c r="P255" s="3">
        <v>4793</v>
      </c>
      <c r="Q255" s="18">
        <f t="shared" si="11"/>
        <v>4906.5</v>
      </c>
    </row>
    <row r="256" spans="1:17" ht="18.75" customHeight="1">
      <c r="A256" s="6" t="s">
        <v>17</v>
      </c>
      <c r="B256" s="10">
        <v>44451</v>
      </c>
      <c r="C256" s="3">
        <v>1636</v>
      </c>
      <c r="D256" s="3">
        <v>280</v>
      </c>
      <c r="E256" s="3">
        <v>1056</v>
      </c>
      <c r="F256" s="3">
        <v>350</v>
      </c>
      <c r="G256" s="3">
        <v>0</v>
      </c>
      <c r="H256" s="3">
        <v>0</v>
      </c>
      <c r="I256" s="3">
        <v>0</v>
      </c>
      <c r="J256" s="3">
        <v>190</v>
      </c>
      <c r="K256" s="3">
        <v>380</v>
      </c>
      <c r="L256" s="3">
        <v>7597</v>
      </c>
      <c r="M256" s="3">
        <v>802</v>
      </c>
      <c r="N256" s="3">
        <f t="shared" si="10"/>
        <v>12291</v>
      </c>
      <c r="O256" s="3">
        <v>2010</v>
      </c>
      <c r="P256" s="3">
        <v>5824</v>
      </c>
      <c r="Q256" s="18">
        <f t="shared" si="11"/>
        <v>4457</v>
      </c>
    </row>
    <row r="257" spans="1:17" ht="18.75" customHeight="1">
      <c r="A257" s="6" t="s">
        <v>18</v>
      </c>
      <c r="B257" s="10">
        <v>44452</v>
      </c>
      <c r="C257" s="3">
        <v>1636</v>
      </c>
      <c r="D257" s="3">
        <v>0</v>
      </c>
      <c r="E257" s="3">
        <v>721</v>
      </c>
      <c r="F257" s="3">
        <v>962</v>
      </c>
      <c r="G257" s="3">
        <v>0</v>
      </c>
      <c r="H257" s="3">
        <v>0</v>
      </c>
      <c r="I257" s="3">
        <v>0</v>
      </c>
      <c r="J257" s="3">
        <v>0</v>
      </c>
      <c r="K257" s="3">
        <v>490</v>
      </c>
      <c r="L257" s="3">
        <v>3611</v>
      </c>
      <c r="M257" s="3">
        <v>1349</v>
      </c>
      <c r="N257" s="3">
        <f t="shared" si="10"/>
        <v>8769</v>
      </c>
      <c r="O257" s="3">
        <v>1970</v>
      </c>
      <c r="P257" s="3">
        <v>6278</v>
      </c>
      <c r="Q257" s="18">
        <f t="shared" si="11"/>
        <v>521</v>
      </c>
    </row>
    <row r="258" spans="1:17" ht="18.75" customHeight="1">
      <c r="A258" s="6" t="s">
        <v>19</v>
      </c>
      <c r="B258" s="10">
        <v>44453</v>
      </c>
      <c r="C258" s="3">
        <v>1385</v>
      </c>
      <c r="D258" s="3">
        <v>717</v>
      </c>
      <c r="E258" s="3">
        <v>532</v>
      </c>
      <c r="F258" s="3">
        <v>650</v>
      </c>
      <c r="G258" s="3">
        <v>736</v>
      </c>
      <c r="H258" s="3">
        <v>0</v>
      </c>
      <c r="I258" s="3">
        <v>0</v>
      </c>
      <c r="J258" s="3">
        <v>384</v>
      </c>
      <c r="K258" s="3">
        <v>440</v>
      </c>
      <c r="L258" s="3">
        <v>3951</v>
      </c>
      <c r="M258" s="3">
        <v>433</v>
      </c>
      <c r="N258" s="3">
        <f t="shared" si="10"/>
        <v>9228</v>
      </c>
      <c r="O258" s="3">
        <v>2190</v>
      </c>
      <c r="P258" s="3">
        <v>3629.64</v>
      </c>
      <c r="Q258" s="18">
        <f t="shared" si="11"/>
        <v>3408.36</v>
      </c>
    </row>
    <row r="259" spans="1:17" ht="18.75" customHeight="1">
      <c r="A259" s="6" t="s">
        <v>20</v>
      </c>
      <c r="B259" s="10">
        <v>44454</v>
      </c>
      <c r="C259" s="3">
        <v>2006</v>
      </c>
      <c r="D259" s="3">
        <v>515</v>
      </c>
      <c r="E259" s="3">
        <v>344</v>
      </c>
      <c r="F259" s="3">
        <v>710</v>
      </c>
      <c r="G259" s="3">
        <v>650</v>
      </c>
      <c r="H259" s="3">
        <v>0</v>
      </c>
      <c r="I259" s="3">
        <v>0</v>
      </c>
      <c r="J259" s="3">
        <v>0</v>
      </c>
      <c r="K259" s="3">
        <v>640</v>
      </c>
      <c r="L259" s="3">
        <v>4210</v>
      </c>
      <c r="M259" s="3">
        <v>129</v>
      </c>
      <c r="N259" s="3">
        <f t="shared" si="10"/>
        <v>9204</v>
      </c>
      <c r="O259" s="3">
        <v>1950</v>
      </c>
      <c r="P259" s="3">
        <v>3364.5</v>
      </c>
      <c r="Q259" s="18">
        <f t="shared" si="11"/>
        <v>3889.5</v>
      </c>
    </row>
    <row r="260" spans="1:17" ht="18.75" customHeight="1">
      <c r="A260" s="6" t="s">
        <v>21</v>
      </c>
      <c r="B260" s="10">
        <v>44455</v>
      </c>
      <c r="C260" s="3">
        <v>1695</v>
      </c>
      <c r="D260" s="3">
        <v>1073</v>
      </c>
      <c r="E260" s="3">
        <v>710</v>
      </c>
      <c r="F260" s="3">
        <v>418</v>
      </c>
      <c r="G260" s="3">
        <v>1494</v>
      </c>
      <c r="H260" s="3">
        <v>0</v>
      </c>
      <c r="I260" s="3">
        <v>0</v>
      </c>
      <c r="J260" s="3">
        <v>0</v>
      </c>
      <c r="K260" s="3">
        <v>340</v>
      </c>
      <c r="L260" s="3">
        <v>5700</v>
      </c>
      <c r="M260" s="3">
        <v>189</v>
      </c>
      <c r="N260" s="3">
        <f t="shared" si="10"/>
        <v>11619</v>
      </c>
      <c r="O260" s="3">
        <v>2268</v>
      </c>
      <c r="P260" s="3">
        <v>4251</v>
      </c>
      <c r="Q260" s="18">
        <f t="shared" si="11"/>
        <v>5100</v>
      </c>
    </row>
    <row r="261" spans="1:17" ht="18.75" customHeight="1">
      <c r="A261" s="6" t="s">
        <v>22</v>
      </c>
      <c r="B261" s="10">
        <v>44456</v>
      </c>
      <c r="C261" s="3">
        <v>2278</v>
      </c>
      <c r="D261" s="3">
        <v>963</v>
      </c>
      <c r="E261" s="3">
        <v>365</v>
      </c>
      <c r="F261" s="3">
        <v>290</v>
      </c>
      <c r="G261" s="3">
        <v>862</v>
      </c>
      <c r="H261" s="3">
        <v>0</v>
      </c>
      <c r="I261" s="3">
        <v>0</v>
      </c>
      <c r="J261" s="3">
        <v>183</v>
      </c>
      <c r="K261" s="3">
        <v>560</v>
      </c>
      <c r="L261" s="3">
        <v>6208</v>
      </c>
      <c r="M261" s="3">
        <v>1393</v>
      </c>
      <c r="N261" s="3">
        <f t="shared" si="10"/>
        <v>13102</v>
      </c>
      <c r="O261" s="3">
        <v>2140</v>
      </c>
      <c r="P261" s="3">
        <v>6269</v>
      </c>
      <c r="Q261" s="18">
        <f t="shared" si="11"/>
        <v>4693</v>
      </c>
    </row>
    <row r="262" spans="1:17" ht="18.75" customHeight="1">
      <c r="A262" s="6" t="s">
        <v>23</v>
      </c>
      <c r="B262" s="10">
        <v>44457</v>
      </c>
      <c r="C262" s="3">
        <v>2190</v>
      </c>
      <c r="D262" s="3">
        <v>900</v>
      </c>
      <c r="E262" s="3">
        <v>1228</v>
      </c>
      <c r="F262" s="3">
        <v>0</v>
      </c>
      <c r="G262" s="3">
        <v>0</v>
      </c>
      <c r="H262" s="3">
        <v>0</v>
      </c>
      <c r="I262" s="3">
        <v>0</v>
      </c>
      <c r="J262" s="3">
        <v>0</v>
      </c>
      <c r="K262" s="3">
        <v>280</v>
      </c>
      <c r="L262" s="3">
        <v>7617</v>
      </c>
      <c r="M262" s="3">
        <v>1451</v>
      </c>
      <c r="N262" s="3">
        <f t="shared" si="10"/>
        <v>13666</v>
      </c>
      <c r="O262" s="3">
        <v>1810</v>
      </c>
      <c r="P262" s="3">
        <v>4009</v>
      </c>
      <c r="Q262" s="18">
        <f t="shared" si="11"/>
        <v>7847</v>
      </c>
    </row>
    <row r="263" spans="1:17" ht="18.75" customHeight="1">
      <c r="A263" s="6" t="s">
        <v>17</v>
      </c>
      <c r="B263" s="10">
        <v>44458</v>
      </c>
      <c r="C263" s="3">
        <v>1415</v>
      </c>
      <c r="D263" s="3">
        <v>418</v>
      </c>
      <c r="E263" s="3">
        <v>1302</v>
      </c>
      <c r="F263" s="3">
        <v>530</v>
      </c>
      <c r="G263" s="3">
        <v>0</v>
      </c>
      <c r="H263" s="3">
        <v>0</v>
      </c>
      <c r="I263" s="3">
        <v>0</v>
      </c>
      <c r="J263" s="3">
        <v>0</v>
      </c>
      <c r="K263" s="3">
        <v>460</v>
      </c>
      <c r="L263" s="3">
        <v>6322</v>
      </c>
      <c r="M263" s="3">
        <v>1229</v>
      </c>
      <c r="N263" s="3">
        <f t="shared" si="10"/>
        <v>11676</v>
      </c>
      <c r="O263" s="3">
        <v>2560</v>
      </c>
      <c r="P263" s="3">
        <v>2707</v>
      </c>
      <c r="Q263" s="18">
        <f t="shared" si="11"/>
        <v>6409</v>
      </c>
    </row>
    <row r="264" spans="1:17" ht="18.75" customHeight="1">
      <c r="A264" s="6" t="s">
        <v>18</v>
      </c>
      <c r="B264" s="10">
        <v>44459</v>
      </c>
      <c r="C264" s="3">
        <v>1866</v>
      </c>
      <c r="D264" s="3">
        <v>896</v>
      </c>
      <c r="E264" s="3">
        <v>764</v>
      </c>
      <c r="F264" s="3">
        <v>468</v>
      </c>
      <c r="G264" s="3">
        <v>0</v>
      </c>
      <c r="H264" s="3">
        <v>0</v>
      </c>
      <c r="I264" s="3">
        <v>0</v>
      </c>
      <c r="J264" s="3">
        <v>0</v>
      </c>
      <c r="K264" s="3">
        <v>450</v>
      </c>
      <c r="L264" s="3">
        <v>3275</v>
      </c>
      <c r="M264" s="3">
        <v>0</v>
      </c>
      <c r="N264" s="3">
        <f t="shared" si="10"/>
        <v>7719</v>
      </c>
      <c r="O264" s="3">
        <v>2160</v>
      </c>
      <c r="P264" s="3">
        <v>5407</v>
      </c>
      <c r="Q264" s="18">
        <f t="shared" si="11"/>
        <v>152</v>
      </c>
    </row>
    <row r="265" spans="1:17" ht="18.75" customHeight="1">
      <c r="A265" s="6" t="s">
        <v>19</v>
      </c>
      <c r="B265" s="10">
        <v>44460</v>
      </c>
      <c r="C265" s="3">
        <v>644</v>
      </c>
      <c r="D265" s="3">
        <v>1520</v>
      </c>
      <c r="E265" s="3">
        <v>527</v>
      </c>
      <c r="F265" s="3">
        <v>254</v>
      </c>
      <c r="G265" s="3">
        <v>0</v>
      </c>
      <c r="H265" s="3">
        <v>0</v>
      </c>
      <c r="I265" s="3">
        <v>0</v>
      </c>
      <c r="J265" s="3">
        <v>324</v>
      </c>
      <c r="K265" s="3">
        <v>438</v>
      </c>
      <c r="L265" s="3">
        <v>5524</v>
      </c>
      <c r="M265" s="3">
        <v>0</v>
      </c>
      <c r="N265" s="3">
        <f t="shared" si="10"/>
        <v>9231</v>
      </c>
      <c r="O265" s="3">
        <v>1750</v>
      </c>
      <c r="P265" s="3">
        <v>2426</v>
      </c>
      <c r="Q265" s="18">
        <f t="shared" si="11"/>
        <v>5055</v>
      </c>
    </row>
    <row r="266" spans="1:17" ht="18.75" customHeight="1">
      <c r="A266" s="6" t="s">
        <v>20</v>
      </c>
      <c r="B266" s="10">
        <v>44461</v>
      </c>
      <c r="C266" s="3">
        <v>950</v>
      </c>
      <c r="D266" s="3">
        <v>2092</v>
      </c>
      <c r="E266" s="3">
        <v>765</v>
      </c>
      <c r="F266" s="3">
        <v>592</v>
      </c>
      <c r="G266" s="3">
        <v>301</v>
      </c>
      <c r="H266" s="3">
        <v>0</v>
      </c>
      <c r="I266" s="3">
        <v>0</v>
      </c>
      <c r="J266" s="3">
        <v>76</v>
      </c>
      <c r="K266" s="3">
        <v>0</v>
      </c>
      <c r="L266" s="3">
        <v>3913</v>
      </c>
      <c r="M266" s="3">
        <v>295</v>
      </c>
      <c r="N266" s="3">
        <f t="shared" si="10"/>
        <v>8984</v>
      </c>
      <c r="O266" s="3">
        <v>2010</v>
      </c>
      <c r="P266" s="3">
        <v>2095</v>
      </c>
      <c r="Q266" s="18">
        <f t="shared" si="11"/>
        <v>4879</v>
      </c>
    </row>
    <row r="267" spans="1:17" ht="18.75" customHeight="1">
      <c r="A267" s="6" t="s">
        <v>21</v>
      </c>
      <c r="B267" s="10">
        <v>44462</v>
      </c>
      <c r="C267" s="3">
        <v>2315</v>
      </c>
      <c r="D267" s="3">
        <v>787.5</v>
      </c>
      <c r="E267" s="3">
        <v>810</v>
      </c>
      <c r="F267" s="3">
        <v>340</v>
      </c>
      <c r="G267" s="3">
        <v>0</v>
      </c>
      <c r="H267" s="3">
        <v>0</v>
      </c>
      <c r="I267" s="3">
        <v>0</v>
      </c>
      <c r="J267" s="3">
        <v>0</v>
      </c>
      <c r="K267" s="3">
        <v>310</v>
      </c>
      <c r="L267" s="3">
        <v>2908</v>
      </c>
      <c r="M267" s="3">
        <v>199</v>
      </c>
      <c r="N267" s="3">
        <f t="shared" si="10"/>
        <v>7669.5</v>
      </c>
      <c r="O267" s="3">
        <v>1720</v>
      </c>
      <c r="P267" s="3">
        <v>4491</v>
      </c>
      <c r="Q267" s="18">
        <f t="shared" si="11"/>
        <v>1458.5</v>
      </c>
    </row>
    <row r="268" spans="1:17" ht="18.75" customHeight="1">
      <c r="A268" s="6" t="s">
        <v>22</v>
      </c>
      <c r="B268" s="10">
        <v>44463</v>
      </c>
      <c r="C268" s="3">
        <v>1869</v>
      </c>
      <c r="D268" s="3">
        <v>512</v>
      </c>
      <c r="E268" s="3">
        <v>642</v>
      </c>
      <c r="F268" s="3">
        <v>402</v>
      </c>
      <c r="G268" s="3">
        <v>0</v>
      </c>
      <c r="H268" s="3">
        <v>0</v>
      </c>
      <c r="I268" s="3">
        <v>0</v>
      </c>
      <c r="J268" s="3">
        <v>992</v>
      </c>
      <c r="K268" s="3">
        <v>360</v>
      </c>
      <c r="L268" s="3">
        <v>2983</v>
      </c>
      <c r="M268" s="3">
        <v>304</v>
      </c>
      <c r="N268" s="3">
        <f t="shared" si="10"/>
        <v>8064</v>
      </c>
      <c r="O268" s="3">
        <v>1600</v>
      </c>
      <c r="P268" s="3">
        <v>3083</v>
      </c>
      <c r="Q268" s="18">
        <f t="shared" si="11"/>
        <v>3381</v>
      </c>
    </row>
    <row r="269" spans="1:17" ht="18.75" customHeight="1">
      <c r="A269" s="6" t="s">
        <v>23</v>
      </c>
      <c r="B269" s="10">
        <v>44464</v>
      </c>
      <c r="C269" s="3">
        <v>1689</v>
      </c>
      <c r="D269" s="3">
        <v>1056</v>
      </c>
      <c r="E269" s="3">
        <v>780</v>
      </c>
      <c r="F269" s="3">
        <v>896</v>
      </c>
      <c r="G269" s="3">
        <v>0</v>
      </c>
      <c r="H269" s="3">
        <v>0</v>
      </c>
      <c r="I269" s="3">
        <v>0</v>
      </c>
      <c r="J269" s="3">
        <v>0</v>
      </c>
      <c r="K269" s="3">
        <v>220</v>
      </c>
      <c r="L269" s="3">
        <v>5551</v>
      </c>
      <c r="M269" s="3">
        <v>480</v>
      </c>
      <c r="N269" s="3">
        <f t="shared" si="10"/>
        <v>10672</v>
      </c>
      <c r="O269" s="3">
        <v>1960</v>
      </c>
      <c r="P269" s="3">
        <v>4227</v>
      </c>
      <c r="Q269" s="18">
        <f t="shared" si="11"/>
        <v>4485</v>
      </c>
    </row>
    <row r="270" spans="1:17" ht="18.75" customHeight="1">
      <c r="A270" s="6" t="s">
        <v>17</v>
      </c>
      <c r="B270" s="10">
        <v>44465</v>
      </c>
      <c r="C270" s="3">
        <v>2670</v>
      </c>
      <c r="D270" s="3">
        <v>806</v>
      </c>
      <c r="E270" s="3">
        <v>1095</v>
      </c>
      <c r="F270" s="3">
        <v>1057</v>
      </c>
      <c r="G270" s="3">
        <v>0</v>
      </c>
      <c r="H270" s="3">
        <v>0</v>
      </c>
      <c r="I270" s="3">
        <v>0</v>
      </c>
      <c r="J270" s="3">
        <v>279</v>
      </c>
      <c r="K270" s="3">
        <v>0</v>
      </c>
      <c r="L270" s="3">
        <v>12837</v>
      </c>
      <c r="M270" s="3">
        <v>249</v>
      </c>
      <c r="N270" s="3">
        <f t="shared" si="10"/>
        <v>18993</v>
      </c>
      <c r="O270" s="3">
        <v>1960</v>
      </c>
      <c r="P270" s="3">
        <v>4114</v>
      </c>
      <c r="Q270" s="18">
        <f t="shared" si="11"/>
        <v>12919</v>
      </c>
    </row>
    <row r="271" spans="1:17" ht="18.75" customHeight="1">
      <c r="A271" s="6" t="s">
        <v>18</v>
      </c>
      <c r="B271" s="10">
        <v>44466</v>
      </c>
      <c r="C271" s="3">
        <v>1609</v>
      </c>
      <c r="D271" s="3">
        <v>911</v>
      </c>
      <c r="E271" s="3">
        <v>748</v>
      </c>
      <c r="F271" s="3">
        <v>404</v>
      </c>
      <c r="G271" s="3">
        <v>0</v>
      </c>
      <c r="H271" s="3">
        <v>0</v>
      </c>
      <c r="I271" s="3">
        <v>0</v>
      </c>
      <c r="J271" s="3">
        <v>0</v>
      </c>
      <c r="K271" s="3">
        <v>125</v>
      </c>
      <c r="L271" s="3">
        <v>4929</v>
      </c>
      <c r="M271" s="3">
        <v>302</v>
      </c>
      <c r="N271" s="3">
        <f t="shared" si="10"/>
        <v>9028</v>
      </c>
      <c r="O271" s="3">
        <v>1830</v>
      </c>
      <c r="P271" s="3">
        <v>4475</v>
      </c>
      <c r="Q271" s="18">
        <f t="shared" si="11"/>
        <v>2723</v>
      </c>
    </row>
    <row r="272" spans="1:17" ht="18.75" customHeight="1">
      <c r="A272" s="6" t="s">
        <v>19</v>
      </c>
      <c r="B272" s="10">
        <v>44467</v>
      </c>
      <c r="C272" s="3">
        <v>1589</v>
      </c>
      <c r="D272" s="3">
        <v>894</v>
      </c>
      <c r="E272" s="3">
        <v>579.5</v>
      </c>
      <c r="F272" s="3">
        <v>527</v>
      </c>
      <c r="G272" s="3">
        <v>0</v>
      </c>
      <c r="H272" s="3">
        <v>0</v>
      </c>
      <c r="I272" s="3">
        <v>0</v>
      </c>
      <c r="J272" s="3">
        <v>0</v>
      </c>
      <c r="K272" s="3">
        <v>745</v>
      </c>
      <c r="L272" s="3">
        <v>5208</v>
      </c>
      <c r="M272" s="3">
        <v>94</v>
      </c>
      <c r="N272" s="3">
        <f t="shared" si="10"/>
        <v>9636.5</v>
      </c>
      <c r="O272" s="3">
        <v>1860</v>
      </c>
      <c r="P272" s="3">
        <v>4492</v>
      </c>
      <c r="Q272" s="18">
        <f t="shared" si="11"/>
        <v>3284.5</v>
      </c>
    </row>
    <row r="273" spans="1:17" ht="18.75" customHeight="1">
      <c r="A273" s="6" t="s">
        <v>20</v>
      </c>
      <c r="B273" s="10">
        <v>44468</v>
      </c>
      <c r="C273" s="3">
        <v>1840</v>
      </c>
      <c r="D273" s="3">
        <v>1474</v>
      </c>
      <c r="E273" s="3">
        <v>800</v>
      </c>
      <c r="F273" s="3">
        <v>580</v>
      </c>
      <c r="G273" s="3">
        <v>0</v>
      </c>
      <c r="H273" s="3">
        <v>0</v>
      </c>
      <c r="I273" s="3">
        <v>0</v>
      </c>
      <c r="J273" s="3">
        <v>0</v>
      </c>
      <c r="K273" s="3">
        <v>570</v>
      </c>
      <c r="L273" s="3">
        <v>4780</v>
      </c>
      <c r="M273" s="3">
        <v>562</v>
      </c>
      <c r="N273" s="3">
        <f t="shared" si="10"/>
        <v>10606</v>
      </c>
      <c r="O273" s="3">
        <v>1950</v>
      </c>
      <c r="P273" s="3">
        <v>4111</v>
      </c>
      <c r="Q273" s="18">
        <f t="shared" si="11"/>
        <v>4545</v>
      </c>
    </row>
    <row r="274" spans="1:17" ht="18.75" customHeight="1">
      <c r="A274" s="6" t="s">
        <v>21</v>
      </c>
      <c r="B274" s="10">
        <v>44469</v>
      </c>
      <c r="C274" s="3">
        <v>2163</v>
      </c>
      <c r="D274" s="3">
        <v>966</v>
      </c>
      <c r="E274" s="3">
        <v>492</v>
      </c>
      <c r="F274" s="3">
        <v>176</v>
      </c>
      <c r="G274" s="3">
        <v>0</v>
      </c>
      <c r="H274" s="3">
        <v>0</v>
      </c>
      <c r="I274" s="3">
        <v>0</v>
      </c>
      <c r="J274" s="3">
        <v>0</v>
      </c>
      <c r="K274" s="3">
        <v>650</v>
      </c>
      <c r="L274" s="3">
        <v>4056</v>
      </c>
      <c r="M274" s="3">
        <v>652</v>
      </c>
      <c r="N274" s="3">
        <f t="shared" si="10"/>
        <v>9155</v>
      </c>
      <c r="O274" s="3">
        <v>1830</v>
      </c>
      <c r="P274" s="3">
        <v>6500</v>
      </c>
      <c r="Q274" s="18">
        <f t="shared" si="11"/>
        <v>825</v>
      </c>
    </row>
    <row r="275" spans="1:17" ht="18.75" customHeight="1">
      <c r="A275" s="6" t="s">
        <v>22</v>
      </c>
      <c r="B275" s="10">
        <v>44470</v>
      </c>
      <c r="C275" s="3">
        <v>2974</v>
      </c>
      <c r="D275" s="3">
        <v>876</v>
      </c>
      <c r="E275" s="3">
        <v>642</v>
      </c>
      <c r="F275" s="3">
        <v>950</v>
      </c>
      <c r="G275" s="3">
        <v>0</v>
      </c>
      <c r="H275" s="3">
        <v>0</v>
      </c>
      <c r="I275" s="3">
        <v>0</v>
      </c>
      <c r="J275" s="3">
        <v>0</v>
      </c>
      <c r="K275" s="3">
        <v>800</v>
      </c>
      <c r="L275" s="3">
        <v>6184</v>
      </c>
      <c r="M275" s="3">
        <v>109</v>
      </c>
      <c r="N275" s="3">
        <f t="shared" si="10"/>
        <v>12535</v>
      </c>
      <c r="O275" s="3">
        <v>1610</v>
      </c>
      <c r="P275" s="3">
        <v>7973</v>
      </c>
      <c r="Q275" s="18">
        <f t="shared" si="11"/>
        <v>2952</v>
      </c>
    </row>
    <row r="276" spans="1:17" ht="18.75" customHeight="1">
      <c r="A276" s="6" t="s">
        <v>16</v>
      </c>
      <c r="B276" s="10">
        <v>44471</v>
      </c>
      <c r="C276" s="3">
        <v>1413</v>
      </c>
      <c r="D276" s="3">
        <v>990</v>
      </c>
      <c r="E276" s="3">
        <v>1130</v>
      </c>
      <c r="F276" s="3">
        <v>826</v>
      </c>
      <c r="G276" s="3">
        <v>0</v>
      </c>
      <c r="H276" s="3">
        <v>0</v>
      </c>
      <c r="I276" s="3">
        <v>0</v>
      </c>
      <c r="J276" s="3">
        <v>0</v>
      </c>
      <c r="K276" s="3">
        <v>580</v>
      </c>
      <c r="L276" s="3">
        <v>5525</v>
      </c>
      <c r="M276" s="3">
        <v>0</v>
      </c>
      <c r="N276" s="3">
        <f t="shared" si="10"/>
        <v>10464</v>
      </c>
      <c r="O276" s="3">
        <v>1955</v>
      </c>
      <c r="P276" s="3">
        <v>3407</v>
      </c>
      <c r="Q276" s="18">
        <f t="shared" si="11"/>
        <v>5102</v>
      </c>
    </row>
    <row r="277" spans="1:17" ht="18.75" customHeight="1">
      <c r="A277" s="6" t="s">
        <v>17</v>
      </c>
      <c r="B277" s="10">
        <v>44472</v>
      </c>
      <c r="C277" s="3">
        <v>1932</v>
      </c>
      <c r="D277" s="3">
        <v>0</v>
      </c>
      <c r="E277" s="3">
        <v>328</v>
      </c>
      <c r="F277" s="3">
        <v>263</v>
      </c>
      <c r="G277" s="3">
        <v>0</v>
      </c>
      <c r="H277" s="3">
        <v>0</v>
      </c>
      <c r="I277" s="3">
        <v>0</v>
      </c>
      <c r="J277" s="3">
        <v>0</v>
      </c>
      <c r="K277" s="3">
        <v>620</v>
      </c>
      <c r="L277" s="3">
        <v>6680</v>
      </c>
      <c r="M277" s="3">
        <v>1126</v>
      </c>
      <c r="N277" s="3">
        <f t="shared" si="10"/>
        <v>10949</v>
      </c>
      <c r="O277" s="3">
        <v>1940</v>
      </c>
      <c r="P277" s="3">
        <v>3376</v>
      </c>
      <c r="Q277" s="18">
        <f t="shared" si="11"/>
        <v>5633</v>
      </c>
    </row>
    <row r="278" spans="1:17" ht="18.75" customHeight="1">
      <c r="A278" s="6" t="s">
        <v>18</v>
      </c>
      <c r="B278" s="10">
        <v>44473</v>
      </c>
      <c r="C278" s="3">
        <v>1845</v>
      </c>
      <c r="D278" s="3">
        <v>1300</v>
      </c>
      <c r="E278" s="3">
        <v>769</v>
      </c>
      <c r="F278" s="3">
        <v>852</v>
      </c>
      <c r="G278" s="3">
        <v>0</v>
      </c>
      <c r="H278" s="3">
        <v>0</v>
      </c>
      <c r="I278" s="3">
        <v>0</v>
      </c>
      <c r="J278" s="3">
        <v>0</v>
      </c>
      <c r="K278" s="3">
        <v>420</v>
      </c>
      <c r="L278" s="3">
        <v>4963</v>
      </c>
      <c r="M278" s="3">
        <v>42</v>
      </c>
      <c r="N278" s="3">
        <f t="shared" si="10"/>
        <v>10191</v>
      </c>
      <c r="O278" s="3">
        <v>1825</v>
      </c>
      <c r="P278" s="3">
        <v>5466.5</v>
      </c>
      <c r="Q278" s="18">
        <f t="shared" si="11"/>
        <v>2899.5</v>
      </c>
    </row>
    <row r="279" spans="1:17" ht="18.75" customHeight="1">
      <c r="A279" s="6" t="s">
        <v>19</v>
      </c>
      <c r="B279" s="10">
        <v>44474</v>
      </c>
      <c r="C279" s="3">
        <v>1368</v>
      </c>
      <c r="D279" s="3">
        <v>1500</v>
      </c>
      <c r="E279" s="3">
        <v>338</v>
      </c>
      <c r="F279" s="3">
        <v>640</v>
      </c>
      <c r="G279" s="3">
        <v>0</v>
      </c>
      <c r="H279" s="3">
        <v>0</v>
      </c>
      <c r="I279" s="3">
        <v>0</v>
      </c>
      <c r="J279" s="3">
        <v>0</v>
      </c>
      <c r="K279" s="3">
        <v>430</v>
      </c>
      <c r="L279" s="3">
        <v>5077</v>
      </c>
      <c r="M279" s="3">
        <v>661</v>
      </c>
      <c r="N279" s="3">
        <f t="shared" si="10"/>
        <v>10014</v>
      </c>
      <c r="O279" s="3">
        <v>1970</v>
      </c>
      <c r="P279" s="3">
        <v>3216</v>
      </c>
      <c r="Q279" s="18">
        <f t="shared" si="11"/>
        <v>4828</v>
      </c>
    </row>
    <row r="280" spans="1:17" ht="18.75" customHeight="1">
      <c r="A280" s="6" t="s">
        <v>20</v>
      </c>
      <c r="B280" s="10">
        <v>44475</v>
      </c>
      <c r="C280" s="3">
        <v>962</v>
      </c>
      <c r="D280" s="3">
        <v>0</v>
      </c>
      <c r="E280" s="3">
        <v>666</v>
      </c>
      <c r="F280" s="3">
        <v>790</v>
      </c>
      <c r="G280" s="3">
        <v>0</v>
      </c>
      <c r="H280" s="3">
        <v>0</v>
      </c>
      <c r="I280" s="3">
        <v>0</v>
      </c>
      <c r="J280" s="3">
        <v>0</v>
      </c>
      <c r="K280" s="3">
        <v>330</v>
      </c>
      <c r="L280" s="3">
        <v>2226</v>
      </c>
      <c r="M280" s="3">
        <v>279</v>
      </c>
      <c r="N280" s="3">
        <f t="shared" si="10"/>
        <v>5253</v>
      </c>
      <c r="O280" s="3">
        <v>2200</v>
      </c>
      <c r="P280" s="3">
        <v>4841.5</v>
      </c>
      <c r="Q280" s="18">
        <f t="shared" si="11"/>
        <v>-1788.5</v>
      </c>
    </row>
    <row r="281" spans="1:17" ht="18.75" customHeight="1">
      <c r="A281" s="6" t="s">
        <v>21</v>
      </c>
      <c r="B281" s="10">
        <v>44476</v>
      </c>
      <c r="C281" s="3">
        <v>1885</v>
      </c>
      <c r="D281" s="3">
        <v>0</v>
      </c>
      <c r="E281" s="3">
        <v>689</v>
      </c>
      <c r="F281" s="3">
        <v>588</v>
      </c>
      <c r="G281" s="3">
        <v>0</v>
      </c>
      <c r="H281" s="3">
        <v>0</v>
      </c>
      <c r="I281" s="3">
        <v>0</v>
      </c>
      <c r="J281" s="3">
        <v>0</v>
      </c>
      <c r="K281" s="3">
        <v>620</v>
      </c>
      <c r="L281" s="3">
        <v>3115</v>
      </c>
      <c r="M281" s="3">
        <v>550</v>
      </c>
      <c r="N281" s="3">
        <f t="shared" si="10"/>
        <v>7447</v>
      </c>
      <c r="O281" s="3">
        <v>2050</v>
      </c>
      <c r="P281" s="3">
        <v>4297</v>
      </c>
      <c r="Q281" s="18">
        <f t="shared" si="11"/>
        <v>1100</v>
      </c>
    </row>
    <row r="282" spans="1:17" ht="18.75" customHeight="1">
      <c r="A282" s="6" t="s">
        <v>22</v>
      </c>
      <c r="B282" s="10">
        <v>44477</v>
      </c>
      <c r="C282" s="3">
        <v>1200</v>
      </c>
      <c r="D282" s="3">
        <v>1056</v>
      </c>
      <c r="E282" s="3">
        <v>990</v>
      </c>
      <c r="F282" s="3">
        <v>152</v>
      </c>
      <c r="G282" s="3">
        <v>0</v>
      </c>
      <c r="H282" s="3">
        <v>0</v>
      </c>
      <c r="I282" s="3">
        <v>0</v>
      </c>
      <c r="J282" s="3">
        <v>0</v>
      </c>
      <c r="K282" s="3">
        <v>540</v>
      </c>
      <c r="L282" s="3">
        <v>3879</v>
      </c>
      <c r="M282" s="3">
        <v>64</v>
      </c>
      <c r="N282" s="3">
        <f t="shared" si="10"/>
        <v>7881</v>
      </c>
      <c r="O282" s="3">
        <v>1760</v>
      </c>
      <c r="P282" s="3">
        <v>3126.5</v>
      </c>
      <c r="Q282" s="18">
        <f t="shared" si="11"/>
        <v>2994.5</v>
      </c>
    </row>
    <row r="283" spans="1:17" ht="18.75" customHeight="1">
      <c r="A283" s="6" t="s">
        <v>23</v>
      </c>
      <c r="B283" s="10">
        <v>44478</v>
      </c>
      <c r="C283" s="3">
        <v>2180</v>
      </c>
      <c r="D283" s="3">
        <v>731</v>
      </c>
      <c r="E283" s="3">
        <v>916</v>
      </c>
      <c r="F283" s="3">
        <v>938</v>
      </c>
      <c r="G283" s="3">
        <v>0</v>
      </c>
      <c r="H283" s="3">
        <v>0</v>
      </c>
      <c r="I283" s="3">
        <v>0</v>
      </c>
      <c r="J283" s="3">
        <v>0</v>
      </c>
      <c r="K283" s="3">
        <v>250</v>
      </c>
      <c r="L283" s="3">
        <v>5600</v>
      </c>
      <c r="M283" s="3">
        <v>789</v>
      </c>
      <c r="N283" s="3">
        <f t="shared" si="10"/>
        <v>11404</v>
      </c>
      <c r="O283" s="3">
        <v>2210</v>
      </c>
      <c r="P283" s="3">
        <v>4703</v>
      </c>
      <c r="Q283" s="18">
        <f t="shared" si="11"/>
        <v>4491</v>
      </c>
    </row>
    <row r="284" spans="1:17" ht="18.75" customHeight="1">
      <c r="A284" s="6" t="s">
        <v>17</v>
      </c>
      <c r="B284" s="10">
        <v>44479</v>
      </c>
      <c r="C284" s="3">
        <v>1722</v>
      </c>
      <c r="D284" s="3">
        <v>0</v>
      </c>
      <c r="E284" s="3">
        <v>741</v>
      </c>
      <c r="F284" s="3">
        <v>210</v>
      </c>
      <c r="G284" s="3">
        <v>0</v>
      </c>
      <c r="H284" s="3">
        <v>0</v>
      </c>
      <c r="I284" s="3">
        <v>0</v>
      </c>
      <c r="J284" s="3">
        <v>0</v>
      </c>
      <c r="K284" s="3">
        <v>200</v>
      </c>
      <c r="L284" s="3">
        <v>6177</v>
      </c>
      <c r="M284" s="3">
        <v>482</v>
      </c>
      <c r="N284" s="3">
        <f t="shared" ref="N284:N347" si="12">SUM(C284:M284)</f>
        <v>9532</v>
      </c>
      <c r="O284" s="3">
        <v>2000</v>
      </c>
      <c r="P284" s="3">
        <v>1303</v>
      </c>
      <c r="Q284" s="18">
        <f t="shared" si="11"/>
        <v>6229</v>
      </c>
    </row>
    <row r="285" spans="1:17" ht="18.75" customHeight="1">
      <c r="A285" s="6" t="s">
        <v>18</v>
      </c>
      <c r="B285" s="10">
        <v>44480</v>
      </c>
      <c r="C285" s="3">
        <v>1844</v>
      </c>
      <c r="D285" s="3">
        <v>514</v>
      </c>
      <c r="E285" s="3">
        <v>992</v>
      </c>
      <c r="F285" s="3">
        <v>443</v>
      </c>
      <c r="G285" s="3">
        <v>0</v>
      </c>
      <c r="H285" s="3">
        <v>0</v>
      </c>
      <c r="I285" s="3">
        <v>0</v>
      </c>
      <c r="J285" s="3">
        <v>0</v>
      </c>
      <c r="K285" s="3">
        <v>750</v>
      </c>
      <c r="L285" s="3">
        <v>3045</v>
      </c>
      <c r="M285" s="3">
        <v>59</v>
      </c>
      <c r="N285" s="3">
        <f t="shared" si="12"/>
        <v>7647</v>
      </c>
      <c r="O285" s="3">
        <v>1400</v>
      </c>
      <c r="P285" s="3">
        <v>8436</v>
      </c>
      <c r="Q285" s="18">
        <f t="shared" si="11"/>
        <v>-2189</v>
      </c>
    </row>
    <row r="286" spans="1:17" ht="18.75" customHeight="1">
      <c r="A286" s="6" t="s">
        <v>19</v>
      </c>
      <c r="B286" s="10">
        <v>44481</v>
      </c>
      <c r="C286" s="3">
        <v>1385</v>
      </c>
      <c r="D286" s="3">
        <v>594</v>
      </c>
      <c r="E286" s="3">
        <v>610</v>
      </c>
      <c r="F286" s="3">
        <v>630</v>
      </c>
      <c r="G286" s="3">
        <v>0</v>
      </c>
      <c r="H286" s="3">
        <v>0</v>
      </c>
      <c r="I286" s="3">
        <v>0</v>
      </c>
      <c r="J286" s="3">
        <v>0</v>
      </c>
      <c r="K286" s="3">
        <v>235</v>
      </c>
      <c r="L286" s="3">
        <v>6200</v>
      </c>
      <c r="M286" s="3">
        <v>463</v>
      </c>
      <c r="N286" s="3">
        <f t="shared" si="12"/>
        <v>10117</v>
      </c>
      <c r="O286" s="3">
        <v>1900</v>
      </c>
      <c r="P286" s="3">
        <v>3817</v>
      </c>
      <c r="Q286" s="18">
        <f t="shared" si="11"/>
        <v>4400</v>
      </c>
    </row>
    <row r="287" spans="1:17" ht="18.75" customHeight="1">
      <c r="A287" s="6" t="s">
        <v>20</v>
      </c>
      <c r="B287" s="10">
        <v>44482</v>
      </c>
      <c r="C287" s="3">
        <v>1879</v>
      </c>
      <c r="D287" s="3">
        <v>894</v>
      </c>
      <c r="E287" s="3">
        <v>699</v>
      </c>
      <c r="F287" s="3">
        <v>356</v>
      </c>
      <c r="G287" s="3">
        <v>0</v>
      </c>
      <c r="H287" s="3">
        <v>0</v>
      </c>
      <c r="I287" s="3">
        <v>0</v>
      </c>
      <c r="J287" s="3">
        <v>0</v>
      </c>
      <c r="K287" s="3">
        <v>480</v>
      </c>
      <c r="L287" s="3">
        <v>6858</v>
      </c>
      <c r="M287" s="3">
        <v>1309</v>
      </c>
      <c r="N287" s="3">
        <f t="shared" si="12"/>
        <v>12475</v>
      </c>
      <c r="O287" s="3">
        <v>2120</v>
      </c>
      <c r="P287" s="3">
        <v>4424</v>
      </c>
      <c r="Q287" s="18">
        <f t="shared" si="11"/>
        <v>5931</v>
      </c>
    </row>
    <row r="288" spans="1:17" ht="18.75" customHeight="1">
      <c r="A288" s="6" t="s">
        <v>21</v>
      </c>
      <c r="B288" s="10">
        <v>44483</v>
      </c>
      <c r="C288" s="3">
        <v>1855</v>
      </c>
      <c r="D288" s="3">
        <v>1419</v>
      </c>
      <c r="E288" s="3">
        <v>888</v>
      </c>
      <c r="F288" s="3">
        <v>968</v>
      </c>
      <c r="G288" s="3">
        <v>0</v>
      </c>
      <c r="H288" s="3">
        <v>0</v>
      </c>
      <c r="I288" s="3">
        <v>0</v>
      </c>
      <c r="J288" s="3">
        <v>200</v>
      </c>
      <c r="K288" s="3">
        <v>150</v>
      </c>
      <c r="L288" s="3">
        <v>3391</v>
      </c>
      <c r="M288" s="3">
        <v>0</v>
      </c>
      <c r="N288" s="3">
        <f t="shared" si="12"/>
        <v>8871</v>
      </c>
      <c r="O288" s="3">
        <v>1975</v>
      </c>
      <c r="P288" s="3">
        <v>4533</v>
      </c>
      <c r="Q288" s="18">
        <f t="shared" si="11"/>
        <v>2363</v>
      </c>
    </row>
    <row r="289" spans="1:17" ht="18.75" customHeight="1">
      <c r="A289" s="6" t="s">
        <v>22</v>
      </c>
      <c r="B289" s="10">
        <v>44484</v>
      </c>
      <c r="C289" s="3">
        <v>3350</v>
      </c>
      <c r="D289" s="3">
        <v>892</v>
      </c>
      <c r="E289" s="3">
        <v>1152</v>
      </c>
      <c r="F289" s="3">
        <v>515</v>
      </c>
      <c r="G289" s="3">
        <v>0</v>
      </c>
      <c r="H289" s="3">
        <v>970</v>
      </c>
      <c r="I289" s="3">
        <v>0</v>
      </c>
      <c r="J289" s="3">
        <v>0</v>
      </c>
      <c r="K289" s="3">
        <v>420</v>
      </c>
      <c r="L289" s="3">
        <v>5467</v>
      </c>
      <c r="M289" s="3">
        <v>533</v>
      </c>
      <c r="N289" s="3">
        <f t="shared" si="12"/>
        <v>13299</v>
      </c>
      <c r="O289" s="3">
        <v>1890</v>
      </c>
      <c r="P289" s="3">
        <v>7081</v>
      </c>
      <c r="Q289" s="18">
        <f t="shared" si="11"/>
        <v>4328</v>
      </c>
    </row>
    <row r="290" spans="1:17" ht="18.75" customHeight="1">
      <c r="A290" s="6" t="s">
        <v>23</v>
      </c>
      <c r="B290" s="10">
        <v>44485</v>
      </c>
      <c r="C290" s="3">
        <v>2155</v>
      </c>
      <c r="D290" s="3">
        <v>770</v>
      </c>
      <c r="E290" s="3">
        <v>1672</v>
      </c>
      <c r="F290" s="3">
        <v>554</v>
      </c>
      <c r="G290" s="3">
        <v>0</v>
      </c>
      <c r="H290" s="3">
        <v>0</v>
      </c>
      <c r="I290" s="3">
        <v>0</v>
      </c>
      <c r="J290" s="3">
        <v>322</v>
      </c>
      <c r="K290" s="3">
        <v>270</v>
      </c>
      <c r="L290" s="3">
        <v>6100</v>
      </c>
      <c r="M290" s="3">
        <v>566</v>
      </c>
      <c r="N290" s="3">
        <f t="shared" si="12"/>
        <v>12409</v>
      </c>
      <c r="O290" s="3">
        <v>2000</v>
      </c>
      <c r="P290" s="3">
        <v>5002.5</v>
      </c>
      <c r="Q290" s="18">
        <f t="shared" si="11"/>
        <v>5406.5</v>
      </c>
    </row>
    <row r="291" spans="1:17" ht="18.75" customHeight="1">
      <c r="A291" s="6" t="s">
        <v>17</v>
      </c>
      <c r="B291" s="10">
        <v>44486</v>
      </c>
      <c r="C291" s="3">
        <v>2154</v>
      </c>
      <c r="D291" s="3">
        <v>995</v>
      </c>
      <c r="E291" s="3">
        <v>1232</v>
      </c>
      <c r="F291" s="3">
        <v>240</v>
      </c>
      <c r="G291" s="3">
        <v>0</v>
      </c>
      <c r="H291" s="3">
        <v>0</v>
      </c>
      <c r="I291" s="3">
        <v>0</v>
      </c>
      <c r="J291" s="3">
        <v>0</v>
      </c>
      <c r="K291" s="3">
        <v>150</v>
      </c>
      <c r="L291" s="3">
        <v>4462</v>
      </c>
      <c r="M291" s="3">
        <v>440</v>
      </c>
      <c r="N291" s="3">
        <f t="shared" si="12"/>
        <v>9673</v>
      </c>
      <c r="O291" s="3">
        <v>2170</v>
      </c>
      <c r="P291" s="3">
        <v>3043</v>
      </c>
      <c r="Q291" s="18">
        <f t="shared" si="11"/>
        <v>4460</v>
      </c>
    </row>
    <row r="292" spans="1:17" ht="18.75" customHeight="1">
      <c r="A292" s="6" t="s">
        <v>18</v>
      </c>
      <c r="B292" s="10">
        <v>44487</v>
      </c>
      <c r="C292" s="3">
        <v>1605</v>
      </c>
      <c r="D292" s="3">
        <v>518</v>
      </c>
      <c r="E292" s="3">
        <v>1120</v>
      </c>
      <c r="F292" s="3">
        <v>1064</v>
      </c>
      <c r="G292" s="3">
        <v>0</v>
      </c>
      <c r="H292" s="3">
        <v>0</v>
      </c>
      <c r="I292" s="3">
        <v>0</v>
      </c>
      <c r="J292" s="3">
        <v>0</v>
      </c>
      <c r="K292" s="3">
        <v>410</v>
      </c>
      <c r="L292" s="3">
        <v>4729</v>
      </c>
      <c r="M292" s="3">
        <v>105</v>
      </c>
      <c r="N292" s="3">
        <f t="shared" si="12"/>
        <v>9551</v>
      </c>
      <c r="O292" s="3">
        <v>1700</v>
      </c>
      <c r="P292" s="3">
        <v>5175</v>
      </c>
      <c r="Q292" s="18">
        <f t="shared" si="11"/>
        <v>2676</v>
      </c>
    </row>
    <row r="293" spans="1:17" ht="18.75" customHeight="1">
      <c r="A293" s="6" t="s">
        <v>19</v>
      </c>
      <c r="B293" s="10">
        <v>44488</v>
      </c>
      <c r="C293" s="3">
        <v>1708</v>
      </c>
      <c r="D293" s="3">
        <v>298</v>
      </c>
      <c r="E293" s="3">
        <v>870</v>
      </c>
      <c r="F293" s="3">
        <v>848.5</v>
      </c>
      <c r="G293" s="3">
        <v>0</v>
      </c>
      <c r="H293" s="3">
        <v>0</v>
      </c>
      <c r="I293" s="3">
        <v>0</v>
      </c>
      <c r="J293" s="3">
        <v>0</v>
      </c>
      <c r="K293" s="3">
        <v>430</v>
      </c>
      <c r="L293" s="3">
        <v>3554</v>
      </c>
      <c r="M293" s="3">
        <v>212</v>
      </c>
      <c r="N293" s="3">
        <f t="shared" si="12"/>
        <v>7920.5</v>
      </c>
      <c r="O293" s="3">
        <v>2180</v>
      </c>
      <c r="P293" s="3">
        <v>3915</v>
      </c>
      <c r="Q293" s="18">
        <f t="shared" si="11"/>
        <v>1825.5</v>
      </c>
    </row>
    <row r="294" spans="1:17" ht="18.75" customHeight="1">
      <c r="A294" s="6" t="s">
        <v>20</v>
      </c>
      <c r="B294" s="10">
        <v>44489</v>
      </c>
      <c r="C294" s="3">
        <v>2251</v>
      </c>
      <c r="D294" s="3">
        <v>672</v>
      </c>
      <c r="E294" s="3">
        <v>1165</v>
      </c>
      <c r="F294" s="3">
        <v>698</v>
      </c>
      <c r="G294" s="3">
        <v>0</v>
      </c>
      <c r="H294" s="3">
        <v>0</v>
      </c>
      <c r="I294" s="3">
        <v>0</v>
      </c>
      <c r="J294" s="3">
        <v>174</v>
      </c>
      <c r="K294" s="3">
        <v>250</v>
      </c>
      <c r="L294" s="3">
        <v>4404</v>
      </c>
      <c r="M294" s="3">
        <v>174</v>
      </c>
      <c r="N294" s="3">
        <f t="shared" si="12"/>
        <v>9788</v>
      </c>
      <c r="O294" s="3">
        <v>1980</v>
      </c>
      <c r="P294" s="3">
        <v>3763.5</v>
      </c>
      <c r="Q294" s="18">
        <f t="shared" si="11"/>
        <v>4044.5</v>
      </c>
    </row>
    <row r="295" spans="1:17" ht="18.75" customHeight="1">
      <c r="A295" s="6" t="s">
        <v>21</v>
      </c>
      <c r="B295" s="10">
        <v>44490</v>
      </c>
      <c r="C295" s="3">
        <v>1555</v>
      </c>
      <c r="D295" s="3">
        <v>914</v>
      </c>
      <c r="E295" s="3">
        <v>1060</v>
      </c>
      <c r="F295" s="3">
        <v>602</v>
      </c>
      <c r="G295" s="3">
        <v>0</v>
      </c>
      <c r="H295" s="3">
        <v>0</v>
      </c>
      <c r="I295" s="3">
        <v>0</v>
      </c>
      <c r="J295" s="3">
        <v>0</v>
      </c>
      <c r="K295" s="3">
        <v>336</v>
      </c>
      <c r="L295" s="3">
        <v>4299</v>
      </c>
      <c r="M295" s="3">
        <v>330</v>
      </c>
      <c r="N295" s="3">
        <f t="shared" si="12"/>
        <v>9096</v>
      </c>
      <c r="O295" s="3">
        <v>2055</v>
      </c>
      <c r="P295" s="3">
        <v>4613</v>
      </c>
      <c r="Q295" s="18">
        <f t="shared" si="11"/>
        <v>2428</v>
      </c>
    </row>
    <row r="296" spans="1:17" ht="18.75" customHeight="1">
      <c r="A296" s="6" t="s">
        <v>22</v>
      </c>
      <c r="B296" s="10">
        <v>44491</v>
      </c>
      <c r="C296" s="3">
        <v>2267</v>
      </c>
      <c r="D296" s="3">
        <v>966</v>
      </c>
      <c r="E296" s="3">
        <v>854</v>
      </c>
      <c r="F296" s="3">
        <v>194</v>
      </c>
      <c r="G296" s="3">
        <v>0</v>
      </c>
      <c r="H296" s="3">
        <v>0</v>
      </c>
      <c r="I296" s="3">
        <v>0</v>
      </c>
      <c r="J296" s="3">
        <v>0</v>
      </c>
      <c r="K296" s="3">
        <v>320</v>
      </c>
      <c r="L296" s="3">
        <v>4897</v>
      </c>
      <c r="M296" s="3">
        <v>84</v>
      </c>
      <c r="N296" s="3">
        <f t="shared" si="12"/>
        <v>9582</v>
      </c>
      <c r="O296" s="3">
        <v>2015</v>
      </c>
      <c r="P296" s="3">
        <v>4771.5</v>
      </c>
      <c r="Q296" s="18">
        <f t="shared" si="11"/>
        <v>2795.5</v>
      </c>
    </row>
    <row r="297" spans="1:17" ht="18.75" customHeight="1">
      <c r="A297" s="6" t="s">
        <v>23</v>
      </c>
      <c r="B297" s="10">
        <v>44492</v>
      </c>
      <c r="C297" s="3">
        <v>1206</v>
      </c>
      <c r="D297" s="3">
        <v>490</v>
      </c>
      <c r="E297" s="3">
        <v>516</v>
      </c>
      <c r="F297" s="3">
        <v>1505</v>
      </c>
      <c r="G297" s="3">
        <v>0</v>
      </c>
      <c r="H297" s="3">
        <v>0</v>
      </c>
      <c r="I297" s="3">
        <v>0</v>
      </c>
      <c r="J297" s="3">
        <v>0</v>
      </c>
      <c r="K297" s="3">
        <v>150</v>
      </c>
      <c r="L297" s="3">
        <v>6204</v>
      </c>
      <c r="M297" s="3">
        <v>269</v>
      </c>
      <c r="N297" s="3">
        <f t="shared" si="12"/>
        <v>10340</v>
      </c>
      <c r="O297" s="3">
        <v>1850</v>
      </c>
      <c r="P297" s="3">
        <v>4196</v>
      </c>
      <c r="Q297" s="18">
        <f t="shared" si="11"/>
        <v>4294</v>
      </c>
    </row>
    <row r="298" spans="1:17" ht="18.75" customHeight="1">
      <c r="A298" s="6" t="s">
        <v>17</v>
      </c>
      <c r="B298" s="10">
        <v>44493</v>
      </c>
      <c r="C298" s="3">
        <v>1520</v>
      </c>
      <c r="D298" s="3">
        <v>408</v>
      </c>
      <c r="E298" s="3">
        <v>904</v>
      </c>
      <c r="F298" s="3">
        <v>404</v>
      </c>
      <c r="G298" s="3">
        <v>0</v>
      </c>
      <c r="H298" s="3">
        <v>0</v>
      </c>
      <c r="I298" s="3">
        <v>0</v>
      </c>
      <c r="J298" s="3">
        <v>0</v>
      </c>
      <c r="K298" s="3">
        <v>250</v>
      </c>
      <c r="L298" s="3">
        <v>6573</v>
      </c>
      <c r="M298" s="3">
        <v>940</v>
      </c>
      <c r="N298" s="3">
        <f t="shared" si="12"/>
        <v>10999</v>
      </c>
      <c r="O298" s="3">
        <v>1440</v>
      </c>
      <c r="P298" s="3">
        <v>2335</v>
      </c>
      <c r="Q298" s="18">
        <f t="shared" si="11"/>
        <v>7224</v>
      </c>
    </row>
    <row r="299" spans="1:17" ht="18.75" customHeight="1">
      <c r="A299" s="6" t="s">
        <v>18</v>
      </c>
      <c r="B299" s="10">
        <v>44494</v>
      </c>
      <c r="C299" s="3">
        <v>1740</v>
      </c>
      <c r="D299" s="3">
        <v>849</v>
      </c>
      <c r="E299" s="3">
        <v>887</v>
      </c>
      <c r="F299" s="3">
        <v>522</v>
      </c>
      <c r="G299" s="3">
        <v>0</v>
      </c>
      <c r="H299" s="3">
        <v>0</v>
      </c>
      <c r="I299" s="3">
        <v>0</v>
      </c>
      <c r="J299" s="3">
        <v>0</v>
      </c>
      <c r="K299" s="3">
        <v>400</v>
      </c>
      <c r="L299" s="3">
        <v>4380</v>
      </c>
      <c r="M299" s="3">
        <v>238</v>
      </c>
      <c r="N299" s="3">
        <f t="shared" si="12"/>
        <v>9016</v>
      </c>
      <c r="O299" s="3">
        <v>2085</v>
      </c>
      <c r="P299" s="3">
        <v>8748.5</v>
      </c>
      <c r="Q299" s="18">
        <f t="shared" si="11"/>
        <v>-1817.5</v>
      </c>
    </row>
    <row r="300" spans="1:17" ht="18.75" customHeight="1">
      <c r="A300" s="6" t="s">
        <v>19</v>
      </c>
      <c r="B300" s="10">
        <v>44495</v>
      </c>
      <c r="C300" s="3">
        <v>1189</v>
      </c>
      <c r="D300" s="3">
        <v>610</v>
      </c>
      <c r="E300" s="3">
        <v>880</v>
      </c>
      <c r="F300" s="3">
        <v>980</v>
      </c>
      <c r="G300" s="3">
        <v>332</v>
      </c>
      <c r="H300" s="3">
        <v>0</v>
      </c>
      <c r="I300" s="3">
        <v>0</v>
      </c>
      <c r="J300" s="3">
        <v>60</v>
      </c>
      <c r="K300" s="3">
        <v>0</v>
      </c>
      <c r="L300" s="3">
        <v>2975</v>
      </c>
      <c r="M300" s="3">
        <v>50</v>
      </c>
      <c r="N300" s="3">
        <f t="shared" si="12"/>
        <v>7076</v>
      </c>
      <c r="O300" s="3">
        <v>2060</v>
      </c>
      <c r="P300" s="3">
        <v>2443</v>
      </c>
      <c r="Q300" s="18">
        <f t="shared" si="11"/>
        <v>2573</v>
      </c>
    </row>
    <row r="301" spans="1:17" ht="18.75" customHeight="1">
      <c r="A301" s="6" t="s">
        <v>20</v>
      </c>
      <c r="B301" s="10">
        <v>44496</v>
      </c>
      <c r="C301" s="3">
        <v>853</v>
      </c>
      <c r="D301" s="3">
        <v>895</v>
      </c>
      <c r="E301" s="3">
        <v>1100</v>
      </c>
      <c r="F301" s="3">
        <v>618</v>
      </c>
      <c r="G301" s="3">
        <v>50</v>
      </c>
      <c r="H301" s="3">
        <v>0</v>
      </c>
      <c r="I301" s="3">
        <v>0</v>
      </c>
      <c r="J301" s="3">
        <v>226</v>
      </c>
      <c r="K301" s="3">
        <v>420</v>
      </c>
      <c r="L301" s="3">
        <v>4457</v>
      </c>
      <c r="M301" s="3">
        <v>270</v>
      </c>
      <c r="N301" s="3">
        <f t="shared" si="12"/>
        <v>8889</v>
      </c>
      <c r="O301" s="3">
        <v>2435</v>
      </c>
      <c r="P301" s="3">
        <v>2947</v>
      </c>
      <c r="Q301" s="18">
        <f t="shared" si="11"/>
        <v>3507</v>
      </c>
    </row>
    <row r="302" spans="1:17" ht="18.75" customHeight="1">
      <c r="A302" s="6" t="s">
        <v>21</v>
      </c>
      <c r="B302" s="10">
        <v>44497</v>
      </c>
      <c r="C302" s="3">
        <v>1175</v>
      </c>
      <c r="D302" s="3">
        <v>1000</v>
      </c>
      <c r="E302" s="3">
        <v>370</v>
      </c>
      <c r="F302" s="3">
        <v>994</v>
      </c>
      <c r="G302" s="3">
        <v>310</v>
      </c>
      <c r="H302" s="3">
        <v>0</v>
      </c>
      <c r="I302" s="3">
        <v>0</v>
      </c>
      <c r="J302" s="3">
        <v>495</v>
      </c>
      <c r="K302" s="3">
        <v>350</v>
      </c>
      <c r="L302" s="3">
        <v>3846</v>
      </c>
      <c r="M302" s="3">
        <v>114</v>
      </c>
      <c r="N302" s="3">
        <f t="shared" si="12"/>
        <v>8654</v>
      </c>
      <c r="O302" s="3">
        <v>2300</v>
      </c>
      <c r="P302" s="3">
        <v>4181</v>
      </c>
      <c r="Q302" s="18">
        <f t="shared" si="11"/>
        <v>2173</v>
      </c>
    </row>
    <row r="303" spans="1:17" ht="18.75" customHeight="1">
      <c r="A303" s="6" t="s">
        <v>22</v>
      </c>
      <c r="B303" s="10">
        <v>44498</v>
      </c>
      <c r="C303" s="3">
        <v>1210</v>
      </c>
      <c r="D303" s="3">
        <v>856</v>
      </c>
      <c r="E303" s="3">
        <v>1054</v>
      </c>
      <c r="F303" s="3">
        <v>566</v>
      </c>
      <c r="G303" s="3">
        <v>315</v>
      </c>
      <c r="H303" s="3">
        <v>0</v>
      </c>
      <c r="I303" s="3">
        <v>0</v>
      </c>
      <c r="J303" s="3">
        <v>0</v>
      </c>
      <c r="K303" s="3">
        <v>210</v>
      </c>
      <c r="L303" s="3">
        <v>3661</v>
      </c>
      <c r="M303" s="3">
        <v>109</v>
      </c>
      <c r="N303" s="3">
        <f t="shared" si="12"/>
        <v>7981</v>
      </c>
      <c r="O303" s="3">
        <v>1900</v>
      </c>
      <c r="P303" s="3">
        <v>4043</v>
      </c>
      <c r="Q303" s="18">
        <f t="shared" si="11"/>
        <v>2038</v>
      </c>
    </row>
    <row r="304" spans="1:17" ht="18.75" customHeight="1">
      <c r="A304" s="6" t="s">
        <v>23</v>
      </c>
      <c r="B304" s="10">
        <v>44499</v>
      </c>
      <c r="C304" s="3">
        <v>1270</v>
      </c>
      <c r="D304" s="3">
        <v>1032</v>
      </c>
      <c r="E304" s="3">
        <v>1460</v>
      </c>
      <c r="F304" s="3">
        <v>411</v>
      </c>
      <c r="G304" s="3">
        <v>1625</v>
      </c>
      <c r="H304" s="3">
        <v>0</v>
      </c>
      <c r="I304" s="3">
        <v>0</v>
      </c>
      <c r="J304" s="3">
        <v>0</v>
      </c>
      <c r="K304" s="3">
        <v>270</v>
      </c>
      <c r="L304" s="3">
        <v>3918</v>
      </c>
      <c r="M304" s="3">
        <v>0</v>
      </c>
      <c r="N304" s="3">
        <f t="shared" si="12"/>
        <v>9986</v>
      </c>
      <c r="O304" s="3">
        <v>1185</v>
      </c>
      <c r="P304" s="3">
        <v>4237</v>
      </c>
      <c r="Q304" s="18">
        <f t="shared" si="11"/>
        <v>4564</v>
      </c>
    </row>
    <row r="305" spans="1:17" ht="18.75" customHeight="1">
      <c r="A305" s="6" t="s">
        <v>17</v>
      </c>
      <c r="B305" s="10">
        <v>44500</v>
      </c>
      <c r="C305" s="3">
        <v>1120</v>
      </c>
      <c r="D305" s="3">
        <v>858</v>
      </c>
      <c r="E305" s="3">
        <v>1130</v>
      </c>
      <c r="F305" s="3">
        <v>789</v>
      </c>
      <c r="G305" s="3">
        <v>590</v>
      </c>
      <c r="H305" s="3">
        <v>0</v>
      </c>
      <c r="I305" s="3">
        <v>0</v>
      </c>
      <c r="J305" s="3">
        <v>276</v>
      </c>
      <c r="K305" s="3">
        <v>490</v>
      </c>
      <c r="L305" s="3">
        <v>8801</v>
      </c>
      <c r="M305" s="3">
        <v>1102</v>
      </c>
      <c r="N305" s="3">
        <f t="shared" si="12"/>
        <v>15156</v>
      </c>
      <c r="O305" s="3">
        <v>1185</v>
      </c>
      <c r="P305" s="3">
        <v>4237</v>
      </c>
      <c r="Q305" s="18">
        <f t="shared" si="11"/>
        <v>9734</v>
      </c>
    </row>
    <row r="306" spans="1:17" ht="18.75" customHeight="1">
      <c r="A306" s="6" t="s">
        <v>18</v>
      </c>
      <c r="B306" s="10">
        <v>44501</v>
      </c>
      <c r="C306" s="3">
        <v>1106</v>
      </c>
      <c r="D306" s="3">
        <v>1295</v>
      </c>
      <c r="E306" s="3">
        <v>970</v>
      </c>
      <c r="F306" s="3">
        <v>1192</v>
      </c>
      <c r="G306" s="3">
        <v>290</v>
      </c>
      <c r="H306" s="3">
        <v>0</v>
      </c>
      <c r="I306" s="3">
        <v>0</v>
      </c>
      <c r="J306" s="3">
        <v>234</v>
      </c>
      <c r="K306" s="3">
        <v>300</v>
      </c>
      <c r="L306" s="3">
        <v>7072</v>
      </c>
      <c r="M306" s="3">
        <v>507</v>
      </c>
      <c r="N306" s="3">
        <f t="shared" si="12"/>
        <v>12966</v>
      </c>
      <c r="O306" s="3">
        <v>1610</v>
      </c>
      <c r="P306" s="3">
        <v>7973</v>
      </c>
      <c r="Q306" s="18">
        <f t="shared" si="11"/>
        <v>3383</v>
      </c>
    </row>
    <row r="307" spans="1:17" ht="18.75" customHeight="1">
      <c r="A307" s="6" t="s">
        <v>19</v>
      </c>
      <c r="B307" s="10">
        <v>44502</v>
      </c>
      <c r="C307" s="3">
        <v>715</v>
      </c>
      <c r="D307" s="3">
        <v>1076</v>
      </c>
      <c r="E307" s="3">
        <v>766</v>
      </c>
      <c r="F307" s="3">
        <v>1026</v>
      </c>
      <c r="G307" s="3">
        <v>260</v>
      </c>
      <c r="H307" s="3">
        <v>0</v>
      </c>
      <c r="I307" s="3">
        <v>0</v>
      </c>
      <c r="J307" s="3">
        <v>0</v>
      </c>
      <c r="K307" s="3">
        <v>315</v>
      </c>
      <c r="L307" s="3">
        <v>6463</v>
      </c>
      <c r="M307" s="3">
        <v>438</v>
      </c>
      <c r="N307" s="3">
        <f t="shared" si="12"/>
        <v>11059</v>
      </c>
      <c r="O307" s="3">
        <v>2000</v>
      </c>
      <c r="P307" s="3">
        <v>4379</v>
      </c>
      <c r="Q307" s="18">
        <f t="shared" si="11"/>
        <v>4680</v>
      </c>
    </row>
    <row r="308" spans="1:17" ht="18.75" customHeight="1">
      <c r="A308" s="6" t="s">
        <v>20</v>
      </c>
      <c r="B308" s="10">
        <v>44503</v>
      </c>
      <c r="C308" s="3">
        <v>1570</v>
      </c>
      <c r="D308" s="3">
        <v>1714</v>
      </c>
      <c r="E308" s="3">
        <v>516</v>
      </c>
      <c r="F308" s="3">
        <v>998</v>
      </c>
      <c r="G308" s="3">
        <v>575</v>
      </c>
      <c r="H308" s="3">
        <v>0</v>
      </c>
      <c r="I308" s="3">
        <v>0</v>
      </c>
      <c r="J308" s="3">
        <v>300</v>
      </c>
      <c r="K308" s="3">
        <v>230</v>
      </c>
      <c r="L308" s="3">
        <v>3896</v>
      </c>
      <c r="M308" s="3">
        <v>0</v>
      </c>
      <c r="N308" s="3">
        <f t="shared" si="12"/>
        <v>9799</v>
      </c>
      <c r="O308" s="3">
        <v>2130</v>
      </c>
      <c r="P308" s="3">
        <v>6102</v>
      </c>
      <c r="Q308" s="18">
        <f t="shared" si="11"/>
        <v>1567</v>
      </c>
    </row>
    <row r="309" spans="1:17" ht="18.75" customHeight="1">
      <c r="A309" s="6" t="s">
        <v>21</v>
      </c>
      <c r="B309" s="10">
        <v>44504</v>
      </c>
      <c r="C309" s="3">
        <v>830</v>
      </c>
      <c r="D309" s="3">
        <v>956</v>
      </c>
      <c r="E309" s="3">
        <v>414</v>
      </c>
      <c r="F309" s="3">
        <v>712</v>
      </c>
      <c r="G309" s="3">
        <v>320</v>
      </c>
      <c r="H309" s="3">
        <v>0</v>
      </c>
      <c r="I309" s="3">
        <v>0</v>
      </c>
      <c r="J309" s="3">
        <v>0</v>
      </c>
      <c r="K309" s="3">
        <v>390</v>
      </c>
      <c r="L309" s="3">
        <v>4874</v>
      </c>
      <c r="M309" s="3">
        <v>0</v>
      </c>
      <c r="N309" s="3">
        <f t="shared" si="12"/>
        <v>8496</v>
      </c>
      <c r="O309" s="3">
        <v>2000</v>
      </c>
      <c r="P309" s="3">
        <v>4120</v>
      </c>
      <c r="Q309" s="18">
        <f t="shared" si="11"/>
        <v>2376</v>
      </c>
    </row>
    <row r="310" spans="1:17" ht="18.75" customHeight="1">
      <c r="A310" s="6" t="s">
        <v>22</v>
      </c>
      <c r="B310" s="10">
        <v>44505</v>
      </c>
      <c r="C310" s="3">
        <v>910</v>
      </c>
      <c r="D310" s="3">
        <v>2665</v>
      </c>
      <c r="E310" s="3">
        <v>1108</v>
      </c>
      <c r="F310" s="3">
        <v>318</v>
      </c>
      <c r="G310" s="3">
        <v>305</v>
      </c>
      <c r="H310" s="3">
        <v>0</v>
      </c>
      <c r="I310" s="3">
        <v>0</v>
      </c>
      <c r="J310" s="3">
        <v>354</v>
      </c>
      <c r="K310" s="3">
        <v>310</v>
      </c>
      <c r="L310" s="3">
        <v>6110</v>
      </c>
      <c r="M310" s="3">
        <v>158</v>
      </c>
      <c r="N310" s="3">
        <f t="shared" si="12"/>
        <v>12238</v>
      </c>
      <c r="O310" s="3">
        <v>2270</v>
      </c>
      <c r="P310" s="3">
        <v>5302.5</v>
      </c>
      <c r="Q310" s="18">
        <f t="shared" si="11"/>
        <v>4665.5</v>
      </c>
    </row>
    <row r="311" spans="1:17" ht="18.75" customHeight="1">
      <c r="A311" s="6" t="s">
        <v>23</v>
      </c>
      <c r="B311" s="10">
        <v>44506</v>
      </c>
      <c r="C311" s="3">
        <v>1155</v>
      </c>
      <c r="D311" s="3">
        <v>1203</v>
      </c>
      <c r="E311" s="3">
        <v>1048</v>
      </c>
      <c r="F311" s="3">
        <v>504</v>
      </c>
      <c r="G311" s="3">
        <v>480</v>
      </c>
      <c r="H311" s="3">
        <v>0</v>
      </c>
      <c r="I311" s="3">
        <v>0</v>
      </c>
      <c r="J311" s="3">
        <v>0</v>
      </c>
      <c r="K311" s="3">
        <v>285</v>
      </c>
      <c r="L311" s="3">
        <v>5115</v>
      </c>
      <c r="M311" s="3">
        <v>267</v>
      </c>
      <c r="N311" s="3">
        <f t="shared" si="12"/>
        <v>10057</v>
      </c>
      <c r="O311" s="3">
        <v>2270</v>
      </c>
      <c r="P311" s="3">
        <v>4430</v>
      </c>
      <c r="Q311" s="18">
        <f t="shared" si="11"/>
        <v>3357</v>
      </c>
    </row>
    <row r="312" spans="1:17" ht="18.75" customHeight="1">
      <c r="A312" s="6" t="s">
        <v>17</v>
      </c>
      <c r="B312" s="10">
        <v>44507</v>
      </c>
      <c r="C312" s="3">
        <v>635</v>
      </c>
      <c r="D312" s="3">
        <v>2640</v>
      </c>
      <c r="E312" s="3">
        <v>546</v>
      </c>
      <c r="F312" s="3">
        <v>464</v>
      </c>
      <c r="G312" s="3">
        <v>0</v>
      </c>
      <c r="H312" s="3">
        <v>0</v>
      </c>
      <c r="I312" s="3">
        <v>0</v>
      </c>
      <c r="J312" s="3">
        <v>511</v>
      </c>
      <c r="K312" s="3">
        <v>1190</v>
      </c>
      <c r="L312" s="3">
        <v>7213</v>
      </c>
      <c r="M312" s="3">
        <v>0</v>
      </c>
      <c r="N312" s="3">
        <f t="shared" si="12"/>
        <v>13199</v>
      </c>
      <c r="O312" s="3">
        <v>2200</v>
      </c>
      <c r="P312" s="3">
        <v>4610</v>
      </c>
      <c r="Q312" s="18">
        <f t="shared" si="11"/>
        <v>6389</v>
      </c>
    </row>
    <row r="313" spans="1:17" ht="18.75" customHeight="1">
      <c r="A313" s="6" t="s">
        <v>18</v>
      </c>
      <c r="B313" s="10">
        <v>44508</v>
      </c>
      <c r="C313" s="3">
        <v>1003</v>
      </c>
      <c r="D313" s="3">
        <v>969</v>
      </c>
      <c r="E313" s="3">
        <v>779</v>
      </c>
      <c r="F313" s="3">
        <v>170</v>
      </c>
      <c r="G313" s="3">
        <v>765</v>
      </c>
      <c r="H313" s="3">
        <v>0</v>
      </c>
      <c r="I313" s="3">
        <v>0</v>
      </c>
      <c r="J313" s="3">
        <v>366</v>
      </c>
      <c r="K313" s="3">
        <v>370</v>
      </c>
      <c r="L313" s="3">
        <v>2454</v>
      </c>
      <c r="M313" s="3">
        <v>660</v>
      </c>
      <c r="N313" s="3">
        <f t="shared" si="12"/>
        <v>7536</v>
      </c>
      <c r="O313" s="3">
        <v>1905</v>
      </c>
      <c r="P313" s="3">
        <v>3528</v>
      </c>
      <c r="Q313" s="18">
        <f t="shared" si="11"/>
        <v>2103</v>
      </c>
    </row>
    <row r="314" spans="1:17" ht="18.75" customHeight="1">
      <c r="A314" s="6" t="s">
        <v>19</v>
      </c>
      <c r="B314" s="10">
        <v>44509</v>
      </c>
      <c r="C314" s="3">
        <v>985</v>
      </c>
      <c r="D314" s="3">
        <v>3345</v>
      </c>
      <c r="E314" s="3">
        <v>1195</v>
      </c>
      <c r="F314" s="3">
        <v>554</v>
      </c>
      <c r="G314" s="3">
        <v>475</v>
      </c>
      <c r="H314" s="3">
        <v>0</v>
      </c>
      <c r="I314" s="3">
        <v>0</v>
      </c>
      <c r="J314" s="3">
        <v>0</v>
      </c>
      <c r="K314" s="3">
        <v>400</v>
      </c>
      <c r="L314" s="3">
        <v>6339</v>
      </c>
      <c r="M314" s="3">
        <v>0</v>
      </c>
      <c r="N314" s="3">
        <f t="shared" si="12"/>
        <v>13293</v>
      </c>
      <c r="O314" s="3">
        <v>2410</v>
      </c>
      <c r="P314" s="3">
        <v>19112</v>
      </c>
      <c r="Q314" s="18">
        <f t="shared" si="11"/>
        <v>-8229</v>
      </c>
    </row>
    <row r="315" spans="1:17" ht="18.75" customHeight="1">
      <c r="A315" s="6" t="s">
        <v>20</v>
      </c>
      <c r="B315" s="10">
        <v>44510</v>
      </c>
      <c r="C315" s="3">
        <v>960</v>
      </c>
      <c r="D315" s="3">
        <v>3265</v>
      </c>
      <c r="E315" s="3">
        <v>1351</v>
      </c>
      <c r="F315" s="3">
        <v>752</v>
      </c>
      <c r="G315" s="3">
        <v>395</v>
      </c>
      <c r="H315" s="3">
        <v>0</v>
      </c>
      <c r="I315" s="3">
        <v>0</v>
      </c>
      <c r="J315" s="3">
        <v>0</v>
      </c>
      <c r="K315" s="3">
        <v>810</v>
      </c>
      <c r="L315" s="3">
        <v>4623</v>
      </c>
      <c r="M315" s="3">
        <v>664</v>
      </c>
      <c r="N315" s="3">
        <f t="shared" si="12"/>
        <v>12820</v>
      </c>
      <c r="O315" s="3">
        <v>2160</v>
      </c>
      <c r="P315" s="3">
        <v>4805</v>
      </c>
      <c r="Q315" s="18">
        <f t="shared" si="11"/>
        <v>5855</v>
      </c>
    </row>
    <row r="316" spans="1:17" ht="18.75" customHeight="1">
      <c r="A316" s="6" t="s">
        <v>21</v>
      </c>
      <c r="B316" s="10">
        <v>44511</v>
      </c>
      <c r="C316" s="3">
        <v>1270</v>
      </c>
      <c r="D316" s="3">
        <v>3630</v>
      </c>
      <c r="E316" s="3">
        <v>1060</v>
      </c>
      <c r="F316" s="3">
        <v>514</v>
      </c>
      <c r="G316" s="3">
        <v>696</v>
      </c>
      <c r="H316" s="3">
        <v>0</v>
      </c>
      <c r="I316" s="3">
        <v>0</v>
      </c>
      <c r="J316" s="3">
        <v>195</v>
      </c>
      <c r="K316" s="3">
        <v>164</v>
      </c>
      <c r="L316" s="3">
        <v>2347</v>
      </c>
      <c r="M316" s="3">
        <v>561</v>
      </c>
      <c r="N316" s="3">
        <f t="shared" si="12"/>
        <v>10437</v>
      </c>
      <c r="O316" s="3">
        <v>2095</v>
      </c>
      <c r="P316" s="3">
        <v>6255</v>
      </c>
      <c r="Q316" s="18">
        <f t="shared" si="11"/>
        <v>2087</v>
      </c>
    </row>
    <row r="317" spans="1:17" ht="18.75" customHeight="1">
      <c r="A317" s="6" t="s">
        <v>22</v>
      </c>
      <c r="B317" s="10">
        <v>44512</v>
      </c>
      <c r="C317" s="3">
        <v>1635</v>
      </c>
      <c r="D317" s="3">
        <v>2006</v>
      </c>
      <c r="E317" s="3">
        <v>2040</v>
      </c>
      <c r="F317" s="3">
        <v>1018</v>
      </c>
      <c r="G317" s="3">
        <v>1048</v>
      </c>
      <c r="H317" s="3">
        <v>0</v>
      </c>
      <c r="I317" s="3">
        <v>0</v>
      </c>
      <c r="J317" s="3">
        <v>0</v>
      </c>
      <c r="K317" s="3">
        <v>563</v>
      </c>
      <c r="L317" s="3">
        <v>5273</v>
      </c>
      <c r="M317" s="3">
        <v>109</v>
      </c>
      <c r="N317" s="3">
        <f t="shared" si="12"/>
        <v>13692</v>
      </c>
      <c r="O317" s="3">
        <v>2725</v>
      </c>
      <c r="P317" s="3">
        <v>5324</v>
      </c>
      <c r="Q317" s="18">
        <f t="shared" ref="Q317:Q366" si="13">N317-O317-P317</f>
        <v>5643</v>
      </c>
    </row>
    <row r="318" spans="1:17" ht="18.75" customHeight="1">
      <c r="A318" s="6" t="s">
        <v>23</v>
      </c>
      <c r="B318" s="10">
        <v>44513</v>
      </c>
      <c r="C318" s="3">
        <v>1435</v>
      </c>
      <c r="D318" s="3">
        <v>2480</v>
      </c>
      <c r="E318" s="3">
        <v>880</v>
      </c>
      <c r="F318" s="3">
        <v>590</v>
      </c>
      <c r="G318" s="3">
        <v>755</v>
      </c>
      <c r="H318" s="3">
        <v>0</v>
      </c>
      <c r="I318" s="3">
        <v>0</v>
      </c>
      <c r="J318" s="3">
        <v>0</v>
      </c>
      <c r="K318" s="3">
        <v>520</v>
      </c>
      <c r="L318" s="3">
        <v>7200</v>
      </c>
      <c r="M318" s="3">
        <v>526</v>
      </c>
      <c r="N318" s="3">
        <f t="shared" si="12"/>
        <v>14386</v>
      </c>
      <c r="O318" s="3">
        <v>2130</v>
      </c>
      <c r="P318" s="3">
        <v>5673</v>
      </c>
      <c r="Q318" s="18">
        <f t="shared" si="13"/>
        <v>6583</v>
      </c>
    </row>
    <row r="319" spans="1:17" ht="18.75" customHeight="1">
      <c r="A319" s="6" t="s">
        <v>17</v>
      </c>
      <c r="B319" s="10">
        <v>44514</v>
      </c>
      <c r="C319" s="3">
        <v>1660</v>
      </c>
      <c r="D319" s="3">
        <v>964</v>
      </c>
      <c r="E319" s="3">
        <v>1572</v>
      </c>
      <c r="F319" s="3">
        <v>305</v>
      </c>
      <c r="G319" s="3">
        <v>0</v>
      </c>
      <c r="H319" s="3">
        <v>0</v>
      </c>
      <c r="I319" s="3">
        <v>0</v>
      </c>
      <c r="J319" s="3">
        <v>0</v>
      </c>
      <c r="K319" s="3">
        <v>230</v>
      </c>
      <c r="L319" s="3">
        <v>9172</v>
      </c>
      <c r="M319" s="3">
        <v>397</v>
      </c>
      <c r="N319" s="3">
        <f t="shared" si="12"/>
        <v>14300</v>
      </c>
      <c r="O319" s="3">
        <v>2700</v>
      </c>
      <c r="P319" s="3">
        <v>4897</v>
      </c>
      <c r="Q319" s="18">
        <f t="shared" si="13"/>
        <v>6703</v>
      </c>
    </row>
    <row r="320" spans="1:17" ht="18.75" customHeight="1">
      <c r="A320" s="6" t="s">
        <v>18</v>
      </c>
      <c r="B320" s="10">
        <v>44515</v>
      </c>
      <c r="C320" s="3">
        <v>1625</v>
      </c>
      <c r="D320" s="3">
        <v>1250</v>
      </c>
      <c r="E320" s="3">
        <v>920</v>
      </c>
      <c r="F320" s="3">
        <v>340</v>
      </c>
      <c r="G320" s="3">
        <v>545</v>
      </c>
      <c r="H320" s="3">
        <v>0</v>
      </c>
      <c r="I320" s="3">
        <v>0</v>
      </c>
      <c r="J320" s="3">
        <v>228</v>
      </c>
      <c r="K320" s="3">
        <v>846</v>
      </c>
      <c r="L320" s="3">
        <v>6837</v>
      </c>
      <c r="M320" s="3">
        <v>504</v>
      </c>
      <c r="N320" s="3">
        <f t="shared" si="12"/>
        <v>13095</v>
      </c>
      <c r="O320" s="3">
        <v>2385</v>
      </c>
      <c r="P320" s="3">
        <v>9116</v>
      </c>
      <c r="Q320" s="18">
        <f t="shared" si="13"/>
        <v>1594</v>
      </c>
    </row>
    <row r="321" spans="1:17" ht="18.75" customHeight="1">
      <c r="A321" s="6" t="s">
        <v>19</v>
      </c>
      <c r="B321" s="10">
        <v>44516</v>
      </c>
      <c r="C321" s="3">
        <v>1623</v>
      </c>
      <c r="D321" s="3">
        <v>1278</v>
      </c>
      <c r="E321" s="3">
        <v>1195</v>
      </c>
      <c r="F321" s="3">
        <v>304</v>
      </c>
      <c r="G321" s="3">
        <v>680</v>
      </c>
      <c r="H321" s="3">
        <v>810</v>
      </c>
      <c r="I321" s="3">
        <v>0</v>
      </c>
      <c r="J321" s="3">
        <v>212</v>
      </c>
      <c r="K321" s="3">
        <v>855</v>
      </c>
      <c r="L321" s="3">
        <v>5643</v>
      </c>
      <c r="M321" s="3">
        <v>229</v>
      </c>
      <c r="N321" s="3">
        <f t="shared" si="12"/>
        <v>12829</v>
      </c>
      <c r="O321" s="3">
        <v>2830</v>
      </c>
      <c r="P321" s="3">
        <v>4885</v>
      </c>
      <c r="Q321" s="18">
        <f t="shared" si="13"/>
        <v>5114</v>
      </c>
    </row>
    <row r="322" spans="1:17" ht="18.75" customHeight="1">
      <c r="A322" s="6" t="s">
        <v>20</v>
      </c>
      <c r="B322" s="10">
        <v>44517</v>
      </c>
      <c r="C322" s="3">
        <v>1120</v>
      </c>
      <c r="D322" s="3">
        <v>2165</v>
      </c>
      <c r="E322" s="3">
        <v>1216</v>
      </c>
      <c r="F322" s="3">
        <v>1104</v>
      </c>
      <c r="G322" s="3">
        <v>395</v>
      </c>
      <c r="H322" s="3">
        <v>1188</v>
      </c>
      <c r="I322" s="3">
        <v>0</v>
      </c>
      <c r="J322" s="3">
        <v>0</v>
      </c>
      <c r="K322" s="3">
        <v>785</v>
      </c>
      <c r="L322" s="3">
        <v>6675</v>
      </c>
      <c r="M322" s="3">
        <v>631</v>
      </c>
      <c r="N322" s="3">
        <f t="shared" si="12"/>
        <v>15279</v>
      </c>
      <c r="O322" s="3">
        <v>2750</v>
      </c>
      <c r="P322" s="3">
        <v>6749</v>
      </c>
      <c r="Q322" s="18">
        <f t="shared" si="13"/>
        <v>5780</v>
      </c>
    </row>
    <row r="323" spans="1:17" ht="18.75" customHeight="1">
      <c r="A323" s="6" t="s">
        <v>21</v>
      </c>
      <c r="B323" s="10">
        <v>44518</v>
      </c>
      <c r="C323" s="3">
        <v>980</v>
      </c>
      <c r="D323" s="3">
        <v>1985</v>
      </c>
      <c r="E323" s="3">
        <v>1091</v>
      </c>
      <c r="F323" s="3">
        <v>1713</v>
      </c>
      <c r="G323" s="3">
        <v>855</v>
      </c>
      <c r="H323" s="3">
        <v>1713</v>
      </c>
      <c r="I323" s="3">
        <v>0</v>
      </c>
      <c r="J323" s="3">
        <v>0</v>
      </c>
      <c r="K323" s="3">
        <v>660</v>
      </c>
      <c r="L323" s="3">
        <v>5476</v>
      </c>
      <c r="M323" s="3">
        <v>181</v>
      </c>
      <c r="N323" s="3">
        <f t="shared" si="12"/>
        <v>14654</v>
      </c>
      <c r="O323" s="3">
        <v>2810</v>
      </c>
      <c r="P323" s="3">
        <v>7509</v>
      </c>
      <c r="Q323" s="18">
        <f t="shared" si="13"/>
        <v>4335</v>
      </c>
    </row>
    <row r="324" spans="1:17" ht="18.75" customHeight="1">
      <c r="A324" s="6" t="s">
        <v>22</v>
      </c>
      <c r="B324" s="10">
        <v>44519</v>
      </c>
      <c r="C324" s="3">
        <v>1425</v>
      </c>
      <c r="D324" s="3">
        <v>1005</v>
      </c>
      <c r="E324" s="3">
        <v>1635</v>
      </c>
      <c r="F324" s="3">
        <v>723</v>
      </c>
      <c r="G324" s="3">
        <v>630</v>
      </c>
      <c r="H324" s="3">
        <v>2166</v>
      </c>
      <c r="I324" s="3">
        <v>0</v>
      </c>
      <c r="J324" s="3">
        <v>0</v>
      </c>
      <c r="K324" s="3">
        <v>600</v>
      </c>
      <c r="L324" s="3">
        <v>5967</v>
      </c>
      <c r="M324" s="3">
        <v>0</v>
      </c>
      <c r="N324" s="3">
        <f t="shared" si="12"/>
        <v>14151</v>
      </c>
      <c r="O324" s="3">
        <v>2620</v>
      </c>
      <c r="P324" s="3">
        <v>5755</v>
      </c>
      <c r="Q324" s="18">
        <f t="shared" si="13"/>
        <v>5776</v>
      </c>
    </row>
    <row r="325" spans="1:17" ht="18.75" customHeight="1">
      <c r="A325" s="6" t="s">
        <v>23</v>
      </c>
      <c r="B325" s="10">
        <v>44520</v>
      </c>
      <c r="C325" s="3">
        <v>1986</v>
      </c>
      <c r="D325" s="3">
        <v>3013</v>
      </c>
      <c r="E325" s="3">
        <v>1108</v>
      </c>
      <c r="F325" s="3">
        <v>558</v>
      </c>
      <c r="G325" s="3">
        <v>344</v>
      </c>
      <c r="H325" s="3">
        <v>3036</v>
      </c>
      <c r="I325" s="3">
        <v>0</v>
      </c>
      <c r="J325" s="3">
        <v>120</v>
      </c>
      <c r="K325" s="3">
        <v>545</v>
      </c>
      <c r="L325" s="3">
        <v>6772</v>
      </c>
      <c r="M325" s="3">
        <v>1225</v>
      </c>
      <c r="N325" s="3">
        <f t="shared" si="12"/>
        <v>18707</v>
      </c>
      <c r="O325" s="3">
        <v>2980</v>
      </c>
      <c r="P325" s="3">
        <v>5454</v>
      </c>
      <c r="Q325" s="18">
        <f t="shared" si="13"/>
        <v>10273</v>
      </c>
    </row>
    <row r="326" spans="1:17" ht="18.75" customHeight="1">
      <c r="A326" s="6" t="s">
        <v>17</v>
      </c>
      <c r="B326" s="10">
        <v>44521</v>
      </c>
      <c r="C326" s="3">
        <v>1170</v>
      </c>
      <c r="D326" s="3">
        <v>2140</v>
      </c>
      <c r="E326" s="3">
        <v>1572</v>
      </c>
      <c r="F326" s="3">
        <v>114</v>
      </c>
      <c r="G326" s="3">
        <v>155</v>
      </c>
      <c r="H326" s="3">
        <v>0</v>
      </c>
      <c r="I326" s="3">
        <v>0</v>
      </c>
      <c r="J326" s="3">
        <v>0</v>
      </c>
      <c r="K326" s="3">
        <v>520</v>
      </c>
      <c r="L326" s="3">
        <v>6396</v>
      </c>
      <c r="M326" s="3">
        <v>994</v>
      </c>
      <c r="N326" s="3">
        <f t="shared" si="12"/>
        <v>13061</v>
      </c>
      <c r="O326" s="3">
        <v>2370</v>
      </c>
      <c r="P326" s="3">
        <v>3983</v>
      </c>
      <c r="Q326" s="18">
        <f t="shared" si="13"/>
        <v>6708</v>
      </c>
    </row>
    <row r="327" spans="1:17" ht="18.75" customHeight="1">
      <c r="A327" s="6" t="s">
        <v>18</v>
      </c>
      <c r="B327" s="10">
        <v>44522</v>
      </c>
      <c r="C327" s="3">
        <v>1091</v>
      </c>
      <c r="D327" s="3">
        <v>2230</v>
      </c>
      <c r="E327" s="3">
        <v>1222</v>
      </c>
      <c r="F327" s="3">
        <v>380</v>
      </c>
      <c r="G327" s="3">
        <v>560</v>
      </c>
      <c r="H327" s="3">
        <v>0</v>
      </c>
      <c r="I327" s="3">
        <v>0</v>
      </c>
      <c r="J327" s="3">
        <v>0</v>
      </c>
      <c r="K327" s="3">
        <v>772</v>
      </c>
      <c r="L327" s="3">
        <v>3108</v>
      </c>
      <c r="M327" s="3">
        <v>0</v>
      </c>
      <c r="N327" s="3">
        <f t="shared" si="12"/>
        <v>9363</v>
      </c>
      <c r="O327" s="3">
        <v>2380</v>
      </c>
      <c r="P327" s="3">
        <v>3309</v>
      </c>
      <c r="Q327" s="18">
        <f t="shared" si="13"/>
        <v>3674</v>
      </c>
    </row>
    <row r="328" spans="1:17" ht="18.75" customHeight="1">
      <c r="A328" s="6" t="s">
        <v>19</v>
      </c>
      <c r="B328" s="10">
        <v>44523</v>
      </c>
      <c r="C328" s="3">
        <v>1260</v>
      </c>
      <c r="D328" s="3">
        <v>2560</v>
      </c>
      <c r="E328" s="3">
        <v>670</v>
      </c>
      <c r="F328" s="3">
        <v>640</v>
      </c>
      <c r="G328" s="3">
        <v>340</v>
      </c>
      <c r="H328" s="3">
        <v>0</v>
      </c>
      <c r="I328" s="3">
        <v>0</v>
      </c>
      <c r="J328" s="3">
        <v>0</v>
      </c>
      <c r="K328" s="3">
        <v>340</v>
      </c>
      <c r="L328" s="3">
        <v>5377</v>
      </c>
      <c r="M328" s="3">
        <v>222</v>
      </c>
      <c r="N328" s="3">
        <f t="shared" si="12"/>
        <v>11409</v>
      </c>
      <c r="O328" s="3">
        <v>2690</v>
      </c>
      <c r="P328" s="3">
        <v>3913</v>
      </c>
      <c r="Q328" s="18">
        <f t="shared" si="13"/>
        <v>4806</v>
      </c>
    </row>
    <row r="329" spans="1:17" ht="18.75" customHeight="1">
      <c r="A329" s="6" t="s">
        <v>24</v>
      </c>
      <c r="B329" s="10">
        <v>44523</v>
      </c>
      <c r="C329" s="3">
        <v>1421</v>
      </c>
      <c r="D329" s="3">
        <v>1210</v>
      </c>
      <c r="E329" s="3">
        <v>1240</v>
      </c>
      <c r="F329" s="3">
        <v>448</v>
      </c>
      <c r="G329" s="3">
        <v>888</v>
      </c>
      <c r="H329" s="3">
        <v>0</v>
      </c>
      <c r="I329" s="3">
        <v>0</v>
      </c>
      <c r="J329" s="3">
        <v>0</v>
      </c>
      <c r="K329" s="3">
        <v>740</v>
      </c>
      <c r="L329" s="3">
        <v>5007</v>
      </c>
      <c r="M329" s="3">
        <v>0</v>
      </c>
      <c r="N329" s="3">
        <f t="shared" si="12"/>
        <v>10954</v>
      </c>
      <c r="O329" s="3">
        <v>2690</v>
      </c>
      <c r="P329" s="3">
        <v>3913</v>
      </c>
      <c r="Q329" s="18">
        <f t="shared" si="13"/>
        <v>4351</v>
      </c>
    </row>
    <row r="330" spans="1:17" ht="18.75" customHeight="1">
      <c r="A330" s="6" t="s">
        <v>21</v>
      </c>
      <c r="B330" s="10">
        <v>44524</v>
      </c>
      <c r="C330" s="3">
        <v>1338</v>
      </c>
      <c r="D330" s="3">
        <v>1625</v>
      </c>
      <c r="E330" s="3">
        <v>1020</v>
      </c>
      <c r="F330" s="3">
        <v>756</v>
      </c>
      <c r="G330" s="3">
        <v>385</v>
      </c>
      <c r="H330" s="3">
        <v>0</v>
      </c>
      <c r="I330" s="3">
        <v>0</v>
      </c>
      <c r="J330" s="3">
        <v>0</v>
      </c>
      <c r="K330" s="3">
        <v>680</v>
      </c>
      <c r="L330" s="3">
        <v>4525</v>
      </c>
      <c r="M330" s="3">
        <v>232</v>
      </c>
      <c r="N330" s="3">
        <f t="shared" si="12"/>
        <v>10561</v>
      </c>
      <c r="O330" s="3">
        <v>2210</v>
      </c>
      <c r="P330" s="3">
        <v>5787</v>
      </c>
      <c r="Q330" s="18">
        <f t="shared" si="13"/>
        <v>2564</v>
      </c>
    </row>
    <row r="331" spans="1:17" ht="18.75" customHeight="1">
      <c r="A331" s="6" t="s">
        <v>22</v>
      </c>
      <c r="B331" s="10">
        <v>44525</v>
      </c>
      <c r="C331" s="3">
        <v>750</v>
      </c>
      <c r="D331" s="3">
        <v>1960</v>
      </c>
      <c r="E331" s="3">
        <v>1350</v>
      </c>
      <c r="F331" s="3">
        <v>873</v>
      </c>
      <c r="G331" s="3">
        <v>338</v>
      </c>
      <c r="H331" s="3">
        <v>0</v>
      </c>
      <c r="I331" s="3">
        <v>0</v>
      </c>
      <c r="J331" s="3">
        <v>0</v>
      </c>
      <c r="K331" s="3">
        <v>886</v>
      </c>
      <c r="L331" s="3">
        <v>5002</v>
      </c>
      <c r="M331" s="3">
        <v>0</v>
      </c>
      <c r="N331" s="3">
        <f t="shared" si="12"/>
        <v>11159</v>
      </c>
      <c r="O331" s="3">
        <v>2580</v>
      </c>
      <c r="P331" s="3">
        <v>6390</v>
      </c>
      <c r="Q331" s="18">
        <f t="shared" si="13"/>
        <v>2189</v>
      </c>
    </row>
    <row r="332" spans="1:17" ht="18.75" customHeight="1">
      <c r="A332" s="6" t="s">
        <v>16</v>
      </c>
      <c r="B332" s="10">
        <v>44527</v>
      </c>
      <c r="C332" s="3">
        <v>1176</v>
      </c>
      <c r="D332" s="3">
        <v>1050</v>
      </c>
      <c r="E332" s="3">
        <v>1187</v>
      </c>
      <c r="F332" s="3">
        <v>285</v>
      </c>
      <c r="G332" s="3">
        <v>869</v>
      </c>
      <c r="H332" s="3">
        <v>0</v>
      </c>
      <c r="I332" s="3">
        <v>0</v>
      </c>
      <c r="J332" s="3">
        <v>0</v>
      </c>
      <c r="K332" s="3">
        <v>755</v>
      </c>
      <c r="L332" s="3">
        <v>6149</v>
      </c>
      <c r="M332" s="3">
        <v>961</v>
      </c>
      <c r="N332" s="3">
        <f t="shared" si="12"/>
        <v>12432</v>
      </c>
      <c r="O332" s="3">
        <v>2690</v>
      </c>
      <c r="P332" s="3">
        <v>4731</v>
      </c>
      <c r="Q332" s="18">
        <f t="shared" si="13"/>
        <v>5011</v>
      </c>
    </row>
    <row r="333" spans="1:17" ht="18.75" customHeight="1">
      <c r="A333" s="6" t="s">
        <v>17</v>
      </c>
      <c r="B333" s="10">
        <v>44528</v>
      </c>
      <c r="C333" s="3">
        <v>1460</v>
      </c>
      <c r="D333" s="3">
        <v>1090</v>
      </c>
      <c r="E333" s="3">
        <v>1023</v>
      </c>
      <c r="F333" s="3">
        <v>772</v>
      </c>
      <c r="G333" s="3">
        <v>414</v>
      </c>
      <c r="H333" s="3">
        <v>0</v>
      </c>
      <c r="I333" s="3">
        <v>0</v>
      </c>
      <c r="J333" s="3">
        <v>0</v>
      </c>
      <c r="K333" s="3">
        <v>880</v>
      </c>
      <c r="L333" s="3">
        <v>4495</v>
      </c>
      <c r="M333" s="3">
        <v>584</v>
      </c>
      <c r="N333" s="3">
        <f t="shared" si="12"/>
        <v>10718</v>
      </c>
      <c r="O333" s="3">
        <v>2250</v>
      </c>
      <c r="P333" s="3">
        <v>4348</v>
      </c>
      <c r="Q333" s="18">
        <f t="shared" si="13"/>
        <v>4120</v>
      </c>
    </row>
    <row r="334" spans="1:17" ht="18.75" customHeight="1">
      <c r="A334" s="6" t="s">
        <v>18</v>
      </c>
      <c r="B334" s="10">
        <v>44529</v>
      </c>
      <c r="C334" s="3">
        <v>1636</v>
      </c>
      <c r="D334" s="3">
        <v>1097</v>
      </c>
      <c r="E334" s="3">
        <v>982</v>
      </c>
      <c r="F334" s="3">
        <v>776</v>
      </c>
      <c r="G334" s="3">
        <v>360</v>
      </c>
      <c r="H334" s="3">
        <v>1400</v>
      </c>
      <c r="I334" s="3">
        <v>0</v>
      </c>
      <c r="J334" s="3">
        <v>237</v>
      </c>
      <c r="K334" s="3">
        <v>450</v>
      </c>
      <c r="L334" s="3">
        <v>6331</v>
      </c>
      <c r="M334" s="3">
        <v>345</v>
      </c>
      <c r="N334" s="3">
        <f t="shared" si="12"/>
        <v>13614</v>
      </c>
      <c r="O334" s="3">
        <v>2600</v>
      </c>
      <c r="P334" s="3">
        <v>7002.5</v>
      </c>
      <c r="Q334" s="18">
        <f t="shared" si="13"/>
        <v>4011.5</v>
      </c>
    </row>
    <row r="335" spans="1:17" ht="18.75" customHeight="1">
      <c r="A335" s="6" t="s">
        <v>19</v>
      </c>
      <c r="B335" s="10">
        <v>44530</v>
      </c>
      <c r="C335" s="3">
        <v>590</v>
      </c>
      <c r="D335" s="3">
        <v>940</v>
      </c>
      <c r="E335" s="3">
        <v>1498</v>
      </c>
      <c r="F335" s="3">
        <v>888</v>
      </c>
      <c r="G335" s="3">
        <v>640</v>
      </c>
      <c r="H335" s="3">
        <v>2000</v>
      </c>
      <c r="I335" s="3">
        <v>0</v>
      </c>
      <c r="J335" s="3">
        <v>0</v>
      </c>
      <c r="K335" s="3">
        <v>800</v>
      </c>
      <c r="L335" s="3">
        <v>3831</v>
      </c>
      <c r="M335" s="3">
        <v>344</v>
      </c>
      <c r="N335" s="3">
        <f t="shared" si="12"/>
        <v>11531</v>
      </c>
      <c r="O335" s="3">
        <v>2760</v>
      </c>
      <c r="P335" s="3">
        <v>5635</v>
      </c>
      <c r="Q335" s="18">
        <f t="shared" si="13"/>
        <v>3136</v>
      </c>
    </row>
    <row r="336" spans="1:17" ht="18.75" customHeight="1">
      <c r="A336" s="6" t="s">
        <v>24</v>
      </c>
      <c r="B336" s="10">
        <v>44531</v>
      </c>
      <c r="C336" s="3">
        <v>1690</v>
      </c>
      <c r="D336" s="3">
        <v>1325</v>
      </c>
      <c r="E336" s="3">
        <v>1206</v>
      </c>
      <c r="F336" s="3">
        <v>475</v>
      </c>
      <c r="G336" s="3">
        <v>566</v>
      </c>
      <c r="H336" s="3">
        <v>1546</v>
      </c>
      <c r="I336" s="3">
        <v>0</v>
      </c>
      <c r="J336" s="3">
        <v>0</v>
      </c>
      <c r="K336" s="3">
        <v>570</v>
      </c>
      <c r="L336" s="3">
        <v>6694</v>
      </c>
      <c r="M336" s="3">
        <v>257</v>
      </c>
      <c r="N336" s="3">
        <f t="shared" si="12"/>
        <v>14329</v>
      </c>
      <c r="O336" s="3">
        <v>3325</v>
      </c>
      <c r="P336" s="3">
        <v>5377</v>
      </c>
      <c r="Q336" s="18">
        <f t="shared" si="13"/>
        <v>5627</v>
      </c>
    </row>
    <row r="337" spans="1:17" ht="18.75" customHeight="1">
      <c r="A337" s="6" t="s">
        <v>21</v>
      </c>
      <c r="B337" s="10">
        <v>44532</v>
      </c>
      <c r="C337" s="3">
        <v>1365</v>
      </c>
      <c r="D337" s="3">
        <v>2625</v>
      </c>
      <c r="E337" s="3">
        <v>931</v>
      </c>
      <c r="F337" s="3">
        <v>430</v>
      </c>
      <c r="G337" s="3">
        <v>375</v>
      </c>
      <c r="H337" s="3">
        <v>1598</v>
      </c>
      <c r="I337" s="3">
        <v>0</v>
      </c>
      <c r="J337" s="3">
        <v>0</v>
      </c>
      <c r="K337" s="3">
        <v>600</v>
      </c>
      <c r="L337" s="3">
        <v>5231</v>
      </c>
      <c r="M337" s="3">
        <v>804</v>
      </c>
      <c r="N337" s="3">
        <f t="shared" si="12"/>
        <v>13959</v>
      </c>
      <c r="O337" s="3">
        <v>2825</v>
      </c>
      <c r="P337" s="3">
        <v>6857</v>
      </c>
      <c r="Q337" s="18">
        <f t="shared" si="13"/>
        <v>4277</v>
      </c>
    </row>
    <row r="338" spans="1:17" ht="18.75" customHeight="1">
      <c r="A338" s="6" t="s">
        <v>22</v>
      </c>
      <c r="B338" s="10">
        <v>44533</v>
      </c>
      <c r="C338" s="3">
        <v>2075</v>
      </c>
      <c r="D338" s="3">
        <v>2030</v>
      </c>
      <c r="E338" s="3">
        <v>1279</v>
      </c>
      <c r="F338" s="3">
        <v>1754</v>
      </c>
      <c r="G338" s="3">
        <v>830</v>
      </c>
      <c r="H338" s="3">
        <v>0</v>
      </c>
      <c r="I338" s="3">
        <v>0</v>
      </c>
      <c r="J338" s="3">
        <v>0</v>
      </c>
      <c r="K338" s="3">
        <v>600</v>
      </c>
      <c r="L338" s="3">
        <v>5561</v>
      </c>
      <c r="M338" s="3">
        <v>569</v>
      </c>
      <c r="N338" s="3">
        <f t="shared" si="12"/>
        <v>14698</v>
      </c>
      <c r="O338" s="3">
        <v>2840</v>
      </c>
      <c r="P338" s="3">
        <v>5849</v>
      </c>
      <c r="Q338" s="18">
        <f t="shared" si="13"/>
        <v>6009</v>
      </c>
    </row>
    <row r="339" spans="1:17" ht="18.75" customHeight="1">
      <c r="A339" s="6" t="s">
        <v>23</v>
      </c>
      <c r="B339" s="10">
        <v>44534</v>
      </c>
      <c r="C339" s="3">
        <v>2036</v>
      </c>
      <c r="D339" s="3">
        <v>1704</v>
      </c>
      <c r="E339" s="3">
        <v>625</v>
      </c>
      <c r="F339" s="3">
        <v>1014</v>
      </c>
      <c r="G339" s="3">
        <v>1445</v>
      </c>
      <c r="H339" s="3">
        <v>0</v>
      </c>
      <c r="I339" s="3">
        <v>0</v>
      </c>
      <c r="J339" s="3">
        <v>390</v>
      </c>
      <c r="K339" s="3">
        <v>220</v>
      </c>
      <c r="L339" s="3">
        <v>6982</v>
      </c>
      <c r="M339" s="3">
        <v>454</v>
      </c>
      <c r="N339" s="3">
        <f t="shared" si="12"/>
        <v>14870</v>
      </c>
      <c r="O339" s="3">
        <v>2655</v>
      </c>
      <c r="P339" s="3">
        <v>6337.5</v>
      </c>
      <c r="Q339" s="18">
        <f t="shared" si="13"/>
        <v>5877.5</v>
      </c>
    </row>
    <row r="340" spans="1:17" ht="18.75" customHeight="1">
      <c r="A340" s="6" t="s">
        <v>17</v>
      </c>
      <c r="B340" s="10">
        <v>44535</v>
      </c>
      <c r="C340" s="3">
        <v>2290</v>
      </c>
      <c r="D340" s="3">
        <v>1992</v>
      </c>
      <c r="E340" s="3">
        <v>1668</v>
      </c>
      <c r="F340" s="3">
        <v>1218</v>
      </c>
      <c r="G340" s="3">
        <v>1611</v>
      </c>
      <c r="H340" s="3">
        <v>0</v>
      </c>
      <c r="I340" s="3">
        <v>0</v>
      </c>
      <c r="J340" s="3">
        <v>0</v>
      </c>
      <c r="K340" s="3">
        <v>420</v>
      </c>
      <c r="L340" s="3">
        <v>7143</v>
      </c>
      <c r="M340" s="3">
        <v>456</v>
      </c>
      <c r="N340" s="3">
        <f t="shared" si="12"/>
        <v>16798</v>
      </c>
      <c r="O340" s="3">
        <v>2770</v>
      </c>
      <c r="P340" s="3">
        <v>4536</v>
      </c>
      <c r="Q340" s="18">
        <f t="shared" si="13"/>
        <v>9492</v>
      </c>
    </row>
    <row r="341" spans="1:17" ht="18.75" customHeight="1">
      <c r="A341" s="6" t="s">
        <v>18</v>
      </c>
      <c r="B341" s="10">
        <v>44536</v>
      </c>
      <c r="C341" s="3">
        <v>961</v>
      </c>
      <c r="D341" s="3">
        <v>1528</v>
      </c>
      <c r="E341" s="3">
        <v>1342</v>
      </c>
      <c r="F341" s="3">
        <v>788</v>
      </c>
      <c r="G341" s="3">
        <v>605</v>
      </c>
      <c r="H341" s="3">
        <v>0</v>
      </c>
      <c r="I341" s="3">
        <v>0</v>
      </c>
      <c r="J341" s="3">
        <v>0</v>
      </c>
      <c r="K341" s="3">
        <v>470</v>
      </c>
      <c r="L341" s="3">
        <v>6650</v>
      </c>
      <c r="M341" s="3">
        <v>846</v>
      </c>
      <c r="N341" s="3">
        <f t="shared" si="12"/>
        <v>13190</v>
      </c>
      <c r="O341" s="3">
        <v>2390</v>
      </c>
      <c r="P341" s="3">
        <v>5909</v>
      </c>
      <c r="Q341" s="18">
        <f t="shared" si="13"/>
        <v>4891</v>
      </c>
    </row>
    <row r="342" spans="1:17" ht="18.75" customHeight="1">
      <c r="A342" s="6" t="s">
        <v>19</v>
      </c>
      <c r="B342" s="10">
        <v>44537</v>
      </c>
      <c r="C342" s="3">
        <v>3049</v>
      </c>
      <c r="D342" s="3">
        <v>935</v>
      </c>
      <c r="E342" s="3">
        <v>1318</v>
      </c>
      <c r="F342" s="3">
        <v>922</v>
      </c>
      <c r="G342" s="3">
        <v>1055</v>
      </c>
      <c r="H342" s="3">
        <v>0</v>
      </c>
      <c r="I342" s="3">
        <v>0</v>
      </c>
      <c r="J342" s="3">
        <v>0</v>
      </c>
      <c r="K342" s="3">
        <v>1100</v>
      </c>
      <c r="L342" s="3">
        <v>5039</v>
      </c>
      <c r="M342" s="3">
        <v>533</v>
      </c>
      <c r="N342" s="3">
        <f t="shared" si="12"/>
        <v>13951</v>
      </c>
      <c r="O342" s="3">
        <v>2510</v>
      </c>
      <c r="P342" s="3">
        <v>4950</v>
      </c>
      <c r="Q342" s="18">
        <f t="shared" si="13"/>
        <v>6491</v>
      </c>
    </row>
    <row r="343" spans="1:17" ht="18.75" customHeight="1">
      <c r="A343" s="6" t="s">
        <v>20</v>
      </c>
      <c r="B343" s="10">
        <v>44538</v>
      </c>
      <c r="C343" s="3">
        <v>1711</v>
      </c>
      <c r="D343" s="3">
        <v>2313</v>
      </c>
      <c r="E343" s="3">
        <v>920</v>
      </c>
      <c r="F343" s="3">
        <v>900</v>
      </c>
      <c r="G343" s="3">
        <v>601</v>
      </c>
      <c r="H343" s="3">
        <v>0</v>
      </c>
      <c r="I343" s="3">
        <v>0</v>
      </c>
      <c r="J343" s="3">
        <v>0</v>
      </c>
      <c r="K343" s="3">
        <v>920</v>
      </c>
      <c r="L343" s="3">
        <v>3694</v>
      </c>
      <c r="M343" s="3">
        <v>1878</v>
      </c>
      <c r="N343" s="3">
        <f t="shared" si="12"/>
        <v>12937</v>
      </c>
      <c r="O343" s="3">
        <v>2760</v>
      </c>
      <c r="P343" s="3">
        <v>4294</v>
      </c>
      <c r="Q343" s="18">
        <f t="shared" si="13"/>
        <v>5883</v>
      </c>
    </row>
    <row r="344" spans="1:17" ht="18.75" customHeight="1">
      <c r="A344" s="6" t="s">
        <v>21</v>
      </c>
      <c r="B344" s="10">
        <v>44539</v>
      </c>
      <c r="C344" s="3">
        <v>1525</v>
      </c>
      <c r="D344" s="3">
        <v>1426</v>
      </c>
      <c r="E344" s="3">
        <v>1583</v>
      </c>
      <c r="F344" s="3">
        <v>1548</v>
      </c>
      <c r="G344" s="3">
        <v>560</v>
      </c>
      <c r="H344" s="3">
        <v>0</v>
      </c>
      <c r="I344" s="3">
        <v>0</v>
      </c>
      <c r="J344" s="3">
        <v>0</v>
      </c>
      <c r="K344" s="3">
        <v>820</v>
      </c>
      <c r="L344" s="3">
        <v>5540</v>
      </c>
      <c r="M344" s="3">
        <v>382</v>
      </c>
      <c r="N344" s="3">
        <f t="shared" si="12"/>
        <v>13384</v>
      </c>
      <c r="O344" s="3">
        <v>1330</v>
      </c>
      <c r="P344" s="3">
        <v>21674</v>
      </c>
      <c r="Q344" s="18">
        <f t="shared" si="13"/>
        <v>-9620</v>
      </c>
    </row>
    <row r="345" spans="1:17" ht="18.75" customHeight="1">
      <c r="A345" s="6" t="s">
        <v>22</v>
      </c>
      <c r="B345" s="10">
        <v>44540</v>
      </c>
      <c r="C345" s="3">
        <v>1873</v>
      </c>
      <c r="D345" s="3">
        <v>1856</v>
      </c>
      <c r="E345" s="3">
        <v>1710</v>
      </c>
      <c r="F345" s="3">
        <v>900</v>
      </c>
      <c r="G345" s="3">
        <v>886</v>
      </c>
      <c r="H345" s="3">
        <v>0</v>
      </c>
      <c r="I345" s="3">
        <v>0</v>
      </c>
      <c r="J345" s="3">
        <v>150</v>
      </c>
      <c r="K345" s="3">
        <v>682</v>
      </c>
      <c r="L345" s="3">
        <v>6041</v>
      </c>
      <c r="M345" s="3">
        <v>320</v>
      </c>
      <c r="N345" s="3">
        <f t="shared" si="12"/>
        <v>14418</v>
      </c>
      <c r="O345" s="3">
        <v>2635</v>
      </c>
      <c r="P345" s="3">
        <v>5709</v>
      </c>
      <c r="Q345" s="18">
        <f t="shared" si="13"/>
        <v>6074</v>
      </c>
    </row>
    <row r="346" spans="1:17" ht="18.75" customHeight="1">
      <c r="A346" s="6" t="s">
        <v>23</v>
      </c>
      <c r="B346" s="10">
        <v>44541</v>
      </c>
      <c r="C346" s="3">
        <v>1481</v>
      </c>
      <c r="D346" s="3">
        <v>1895</v>
      </c>
      <c r="E346" s="3">
        <v>1790</v>
      </c>
      <c r="F346" s="3">
        <v>908</v>
      </c>
      <c r="G346" s="3">
        <v>645</v>
      </c>
      <c r="H346" s="3">
        <v>0</v>
      </c>
      <c r="I346" s="3">
        <v>0</v>
      </c>
      <c r="J346" s="3">
        <v>0</v>
      </c>
      <c r="K346" s="3">
        <v>520</v>
      </c>
      <c r="L346" s="3">
        <v>6359</v>
      </c>
      <c r="M346" s="3">
        <v>565</v>
      </c>
      <c r="N346" s="3">
        <f t="shared" si="12"/>
        <v>14163</v>
      </c>
      <c r="O346" s="3">
        <v>2740</v>
      </c>
      <c r="P346" s="3">
        <v>6084</v>
      </c>
      <c r="Q346" s="18">
        <f t="shared" si="13"/>
        <v>5339</v>
      </c>
    </row>
    <row r="347" spans="1:17" ht="18.75" customHeight="1">
      <c r="A347" s="6" t="s">
        <v>17</v>
      </c>
      <c r="B347" s="10">
        <v>44542</v>
      </c>
      <c r="C347" s="3">
        <v>2531</v>
      </c>
      <c r="D347" s="3">
        <v>2540</v>
      </c>
      <c r="E347" s="3">
        <v>1645</v>
      </c>
      <c r="F347" s="3">
        <v>740</v>
      </c>
      <c r="G347" s="3">
        <v>0</v>
      </c>
      <c r="H347" s="3">
        <v>0</v>
      </c>
      <c r="I347" s="3">
        <v>0</v>
      </c>
      <c r="J347" s="3">
        <v>0</v>
      </c>
      <c r="K347" s="3">
        <v>900</v>
      </c>
      <c r="L347" s="3">
        <v>7287</v>
      </c>
      <c r="M347" s="3">
        <v>680</v>
      </c>
      <c r="N347" s="3">
        <f t="shared" si="12"/>
        <v>16323</v>
      </c>
      <c r="O347" s="3">
        <v>3010</v>
      </c>
      <c r="P347" s="3">
        <v>5362</v>
      </c>
      <c r="Q347" s="18">
        <f t="shared" si="13"/>
        <v>7951</v>
      </c>
    </row>
    <row r="348" spans="1:17" ht="18.75" customHeight="1">
      <c r="A348" s="6" t="s">
        <v>18</v>
      </c>
      <c r="B348" s="10">
        <v>44543</v>
      </c>
      <c r="C348" s="3">
        <v>2030</v>
      </c>
      <c r="D348" s="3">
        <v>1698</v>
      </c>
      <c r="E348" s="3">
        <v>1495</v>
      </c>
      <c r="F348" s="3">
        <v>810</v>
      </c>
      <c r="G348" s="3">
        <v>1298</v>
      </c>
      <c r="H348" s="3">
        <v>0</v>
      </c>
      <c r="I348" s="3">
        <v>0</v>
      </c>
      <c r="J348" s="3">
        <v>0</v>
      </c>
      <c r="K348" s="3">
        <v>640</v>
      </c>
      <c r="L348" s="3">
        <v>5451</v>
      </c>
      <c r="M348" s="3">
        <v>746</v>
      </c>
      <c r="N348" s="3">
        <f t="shared" ref="N348:N366" si="14">SUM(C348:M348)</f>
        <v>14168</v>
      </c>
      <c r="O348" s="3">
        <v>1750</v>
      </c>
      <c r="P348" s="3">
        <v>7597</v>
      </c>
      <c r="Q348" s="18">
        <f t="shared" si="13"/>
        <v>4821</v>
      </c>
    </row>
    <row r="349" spans="1:17" ht="18.75" customHeight="1">
      <c r="A349" s="6" t="s">
        <v>19</v>
      </c>
      <c r="B349" s="10">
        <v>44544</v>
      </c>
      <c r="C349" s="3">
        <v>1400</v>
      </c>
      <c r="D349" s="3">
        <v>2325</v>
      </c>
      <c r="E349" s="3">
        <v>945</v>
      </c>
      <c r="F349" s="3">
        <v>800</v>
      </c>
      <c r="G349" s="3">
        <v>1355</v>
      </c>
      <c r="H349" s="3">
        <v>910</v>
      </c>
      <c r="I349" s="3">
        <v>0</v>
      </c>
      <c r="J349" s="3">
        <v>0</v>
      </c>
      <c r="K349" s="3">
        <v>0</v>
      </c>
      <c r="L349" s="3">
        <v>6467</v>
      </c>
      <c r="M349" s="3">
        <v>295</v>
      </c>
      <c r="N349" s="3">
        <f t="shared" si="14"/>
        <v>14497</v>
      </c>
      <c r="O349" s="3">
        <v>2480</v>
      </c>
      <c r="P349" s="3">
        <v>4556</v>
      </c>
      <c r="Q349" s="18">
        <f t="shared" si="13"/>
        <v>7461</v>
      </c>
    </row>
    <row r="350" spans="1:17" ht="18.75" customHeight="1">
      <c r="A350" s="6" t="s">
        <v>20</v>
      </c>
      <c r="B350" s="10">
        <v>44545</v>
      </c>
      <c r="C350" s="3">
        <v>1013</v>
      </c>
      <c r="D350" s="3">
        <v>1960</v>
      </c>
      <c r="E350" s="3">
        <v>997</v>
      </c>
      <c r="F350" s="3">
        <v>830</v>
      </c>
      <c r="G350" s="3">
        <v>600</v>
      </c>
      <c r="H350" s="3">
        <v>0</v>
      </c>
      <c r="I350" s="3">
        <v>0</v>
      </c>
      <c r="J350" s="3">
        <v>0</v>
      </c>
      <c r="K350" s="3">
        <v>540</v>
      </c>
      <c r="L350" s="3">
        <v>4211</v>
      </c>
      <c r="M350" s="3">
        <v>898</v>
      </c>
      <c r="N350" s="3">
        <f t="shared" si="14"/>
        <v>11049</v>
      </c>
      <c r="O350" s="3">
        <v>2530</v>
      </c>
      <c r="P350" s="3">
        <v>5893</v>
      </c>
      <c r="Q350" s="18">
        <f t="shared" si="13"/>
        <v>2626</v>
      </c>
    </row>
    <row r="351" spans="1:17" ht="18.75" customHeight="1">
      <c r="A351" s="6" t="s">
        <v>21</v>
      </c>
      <c r="B351" s="10">
        <v>44546</v>
      </c>
      <c r="C351" s="3">
        <v>1155</v>
      </c>
      <c r="D351" s="3">
        <v>981</v>
      </c>
      <c r="E351" s="3">
        <v>2274</v>
      </c>
      <c r="F351" s="3">
        <v>1358</v>
      </c>
      <c r="G351" s="3">
        <v>525</v>
      </c>
      <c r="H351" s="3">
        <v>0</v>
      </c>
      <c r="I351" s="3">
        <v>0</v>
      </c>
      <c r="J351" s="3">
        <v>0</v>
      </c>
      <c r="K351" s="3">
        <v>700</v>
      </c>
      <c r="L351" s="3">
        <v>7047</v>
      </c>
      <c r="M351" s="3">
        <v>524</v>
      </c>
      <c r="N351" s="3">
        <f t="shared" si="14"/>
        <v>14564</v>
      </c>
      <c r="O351" s="3">
        <v>2500</v>
      </c>
      <c r="P351" s="3">
        <v>7265</v>
      </c>
      <c r="Q351" s="18">
        <f t="shared" si="13"/>
        <v>4799</v>
      </c>
    </row>
    <row r="352" spans="1:17" ht="18.75" customHeight="1">
      <c r="A352" s="6" t="s">
        <v>22</v>
      </c>
      <c r="B352" s="10">
        <v>44547</v>
      </c>
      <c r="C352" s="3">
        <v>1910</v>
      </c>
      <c r="D352" s="3">
        <v>1160</v>
      </c>
      <c r="E352" s="3">
        <v>2484</v>
      </c>
      <c r="F352" s="3">
        <v>776</v>
      </c>
      <c r="G352" s="3">
        <v>702</v>
      </c>
      <c r="H352" s="3">
        <v>0</v>
      </c>
      <c r="I352" s="3">
        <v>0</v>
      </c>
      <c r="J352" s="3">
        <v>0</v>
      </c>
      <c r="K352" s="3">
        <v>380</v>
      </c>
      <c r="L352" s="3">
        <v>6584</v>
      </c>
      <c r="M352" s="3">
        <v>0</v>
      </c>
      <c r="N352" s="3">
        <f t="shared" si="14"/>
        <v>13996</v>
      </c>
      <c r="O352" s="3">
        <v>2520</v>
      </c>
      <c r="P352" s="3">
        <v>5682</v>
      </c>
      <c r="Q352" s="18">
        <f t="shared" si="13"/>
        <v>5794</v>
      </c>
    </row>
    <row r="353" spans="1:17" ht="18.75" customHeight="1">
      <c r="A353" s="6" t="s">
        <v>23</v>
      </c>
      <c r="B353" s="10">
        <v>44548</v>
      </c>
      <c r="C353" s="3">
        <v>1310</v>
      </c>
      <c r="D353" s="3">
        <v>1180</v>
      </c>
      <c r="E353" s="3">
        <v>1194</v>
      </c>
      <c r="F353" s="3">
        <v>931.5</v>
      </c>
      <c r="G353" s="3">
        <v>1156</v>
      </c>
      <c r="H353" s="3">
        <v>0</v>
      </c>
      <c r="I353" s="3">
        <v>0</v>
      </c>
      <c r="J353" s="3">
        <v>0</v>
      </c>
      <c r="K353" s="3">
        <v>110</v>
      </c>
      <c r="L353" s="3">
        <v>7856</v>
      </c>
      <c r="M353" s="3">
        <v>659</v>
      </c>
      <c r="N353" s="3">
        <f t="shared" si="14"/>
        <v>14396.5</v>
      </c>
      <c r="O353" s="3">
        <v>2010</v>
      </c>
      <c r="P353" s="3">
        <v>5034</v>
      </c>
      <c r="Q353" s="18">
        <f t="shared" si="13"/>
        <v>7352.5</v>
      </c>
    </row>
    <row r="354" spans="1:17" ht="18.75" customHeight="1">
      <c r="A354" s="6" t="s">
        <v>17</v>
      </c>
      <c r="B354" s="10">
        <v>44549</v>
      </c>
      <c r="C354" s="3">
        <v>1460</v>
      </c>
      <c r="D354" s="3">
        <v>1810</v>
      </c>
      <c r="E354" s="3">
        <v>1034</v>
      </c>
      <c r="F354" s="3">
        <v>0</v>
      </c>
      <c r="G354" s="3">
        <v>0</v>
      </c>
      <c r="H354" s="3">
        <v>0</v>
      </c>
      <c r="I354" s="3">
        <v>0</v>
      </c>
      <c r="J354" s="3">
        <v>0</v>
      </c>
      <c r="K354" s="3">
        <v>760</v>
      </c>
      <c r="L354" s="3">
        <v>9168</v>
      </c>
      <c r="M354" s="3">
        <v>965</v>
      </c>
      <c r="N354" s="3">
        <f t="shared" si="14"/>
        <v>15197</v>
      </c>
      <c r="O354" s="3">
        <v>2500</v>
      </c>
      <c r="P354" s="3">
        <v>5117</v>
      </c>
      <c r="Q354" s="18">
        <f t="shared" si="13"/>
        <v>7580</v>
      </c>
    </row>
    <row r="355" spans="1:17" ht="18.75" customHeight="1">
      <c r="A355" s="6" t="s">
        <v>18</v>
      </c>
      <c r="B355" s="10">
        <v>44550</v>
      </c>
      <c r="C355" s="3">
        <v>2023</v>
      </c>
      <c r="D355" s="3">
        <v>800</v>
      </c>
      <c r="E355" s="3">
        <v>1721</v>
      </c>
      <c r="F355" s="3">
        <v>1130</v>
      </c>
      <c r="G355" s="3">
        <v>750</v>
      </c>
      <c r="H355" s="3">
        <v>0</v>
      </c>
      <c r="I355" s="3">
        <v>0</v>
      </c>
      <c r="J355" s="3">
        <v>0</v>
      </c>
      <c r="K355" s="3">
        <v>799</v>
      </c>
      <c r="L355" s="3">
        <v>5428</v>
      </c>
      <c r="M355" s="3">
        <v>212</v>
      </c>
      <c r="N355" s="3">
        <f t="shared" si="14"/>
        <v>12863</v>
      </c>
      <c r="O355" s="3">
        <v>2680</v>
      </c>
      <c r="P355" s="3">
        <v>5730</v>
      </c>
      <c r="Q355" s="18">
        <f t="shared" si="13"/>
        <v>4453</v>
      </c>
    </row>
    <row r="356" spans="1:17" ht="18.75" customHeight="1">
      <c r="A356" s="6" t="s">
        <v>19</v>
      </c>
      <c r="B356" s="10">
        <v>44551</v>
      </c>
      <c r="C356" s="3">
        <v>1820</v>
      </c>
      <c r="D356" s="3">
        <v>1528</v>
      </c>
      <c r="E356" s="3">
        <v>1283</v>
      </c>
      <c r="F356" s="3">
        <v>678</v>
      </c>
      <c r="G356" s="3">
        <v>416</v>
      </c>
      <c r="H356" s="3">
        <v>0</v>
      </c>
      <c r="I356" s="3">
        <v>0</v>
      </c>
      <c r="J356" s="3">
        <v>0</v>
      </c>
      <c r="K356" s="3">
        <v>668</v>
      </c>
      <c r="L356" s="3">
        <v>5108</v>
      </c>
      <c r="M356" s="3">
        <v>865</v>
      </c>
      <c r="N356" s="3">
        <f t="shared" si="14"/>
        <v>12366</v>
      </c>
      <c r="O356" s="3">
        <v>2480</v>
      </c>
      <c r="P356" s="3">
        <v>6623</v>
      </c>
      <c r="Q356" s="18">
        <f t="shared" si="13"/>
        <v>3263</v>
      </c>
    </row>
    <row r="357" spans="1:17" ht="18.75" customHeight="1">
      <c r="A357" s="6" t="s">
        <v>20</v>
      </c>
      <c r="B357" s="10">
        <v>44552</v>
      </c>
      <c r="C357" s="3">
        <v>1300</v>
      </c>
      <c r="D357" s="3">
        <v>1810</v>
      </c>
      <c r="E357" s="3">
        <v>2128</v>
      </c>
      <c r="F357" s="3">
        <v>724</v>
      </c>
      <c r="G357" s="3">
        <v>785</v>
      </c>
      <c r="H357" s="3">
        <v>1137</v>
      </c>
      <c r="I357" s="3">
        <v>0</v>
      </c>
      <c r="J357" s="3">
        <v>0</v>
      </c>
      <c r="K357" s="3">
        <v>0</v>
      </c>
      <c r="L357" s="3">
        <v>6537</v>
      </c>
      <c r="M357" s="3">
        <v>464</v>
      </c>
      <c r="N357" s="3">
        <f t="shared" si="14"/>
        <v>14885</v>
      </c>
      <c r="O357" s="3">
        <v>2500</v>
      </c>
      <c r="P357" s="3">
        <v>4299</v>
      </c>
      <c r="Q357" s="18">
        <f t="shared" si="13"/>
        <v>8086</v>
      </c>
    </row>
    <row r="358" spans="1:17" ht="18.75" customHeight="1">
      <c r="A358" s="6" t="s">
        <v>21</v>
      </c>
      <c r="B358" s="10">
        <v>44553</v>
      </c>
      <c r="C358" s="3">
        <v>1690</v>
      </c>
      <c r="D358" s="3">
        <v>2163</v>
      </c>
      <c r="E358" s="3">
        <v>2315</v>
      </c>
      <c r="F358" s="3">
        <v>994</v>
      </c>
      <c r="G358" s="3">
        <v>1360</v>
      </c>
      <c r="H358" s="3">
        <v>1160</v>
      </c>
      <c r="I358" s="3">
        <v>0</v>
      </c>
      <c r="J358" s="3">
        <v>0</v>
      </c>
      <c r="K358" s="3">
        <v>0</v>
      </c>
      <c r="L358" s="3">
        <v>8305</v>
      </c>
      <c r="M358" s="3">
        <v>520</v>
      </c>
      <c r="N358" s="3">
        <f t="shared" si="14"/>
        <v>18507</v>
      </c>
      <c r="O358" s="3">
        <v>2760</v>
      </c>
      <c r="P358" s="3">
        <v>8128</v>
      </c>
      <c r="Q358" s="18">
        <f t="shared" si="13"/>
        <v>7619</v>
      </c>
    </row>
    <row r="359" spans="1:17" ht="18.75" customHeight="1">
      <c r="A359" s="6" t="s">
        <v>22</v>
      </c>
      <c r="B359" s="10">
        <v>44554</v>
      </c>
      <c r="C359" s="3">
        <v>2300</v>
      </c>
      <c r="D359" s="3">
        <v>2600</v>
      </c>
      <c r="E359" s="3">
        <v>893</v>
      </c>
      <c r="F359" s="3">
        <v>1125</v>
      </c>
      <c r="G359" s="3">
        <v>860</v>
      </c>
      <c r="H359" s="3">
        <v>1123</v>
      </c>
      <c r="I359" s="3">
        <v>0</v>
      </c>
      <c r="J359" s="3">
        <v>0</v>
      </c>
      <c r="K359" s="3">
        <v>0</v>
      </c>
      <c r="L359" s="3">
        <v>8269</v>
      </c>
      <c r="M359" s="3">
        <v>846</v>
      </c>
      <c r="N359" s="3">
        <f t="shared" si="14"/>
        <v>18016</v>
      </c>
      <c r="O359" s="3">
        <v>2430</v>
      </c>
      <c r="P359" s="3">
        <v>8527</v>
      </c>
      <c r="Q359" s="18">
        <f t="shared" si="13"/>
        <v>7059</v>
      </c>
    </row>
    <row r="360" spans="1:17" ht="18.75" customHeight="1">
      <c r="A360" s="6" t="s">
        <v>23</v>
      </c>
      <c r="B360" s="10">
        <v>44555</v>
      </c>
      <c r="C360" s="3">
        <v>0</v>
      </c>
      <c r="D360" s="3">
        <v>0</v>
      </c>
      <c r="E360" s="3">
        <v>0</v>
      </c>
      <c r="F360" s="3">
        <v>0</v>
      </c>
      <c r="G360" s="3">
        <v>0</v>
      </c>
      <c r="H360" s="3">
        <v>0</v>
      </c>
      <c r="I360" s="3">
        <v>0</v>
      </c>
      <c r="J360" s="3">
        <v>0</v>
      </c>
      <c r="K360" s="3">
        <v>0</v>
      </c>
      <c r="L360" s="3">
        <v>0</v>
      </c>
      <c r="M360" s="3">
        <v>0</v>
      </c>
      <c r="N360" s="3">
        <f t="shared" si="14"/>
        <v>0</v>
      </c>
      <c r="O360" s="3">
        <v>0</v>
      </c>
      <c r="P360" s="3">
        <v>0</v>
      </c>
      <c r="Q360" s="18">
        <f t="shared" si="13"/>
        <v>0</v>
      </c>
    </row>
    <row r="361" spans="1:17" ht="18.75" customHeight="1">
      <c r="A361" s="6" t="s">
        <v>17</v>
      </c>
      <c r="B361" s="10">
        <v>44556</v>
      </c>
      <c r="C361" s="3">
        <v>2185</v>
      </c>
      <c r="D361" s="3">
        <v>1465</v>
      </c>
      <c r="E361" s="3">
        <v>2105</v>
      </c>
      <c r="F361" s="3">
        <v>1105</v>
      </c>
      <c r="G361" s="3">
        <v>188</v>
      </c>
      <c r="H361" s="3">
        <v>0</v>
      </c>
      <c r="I361" s="3">
        <v>0</v>
      </c>
      <c r="J361" s="3">
        <v>0</v>
      </c>
      <c r="K361" s="3">
        <v>85</v>
      </c>
      <c r="L361" s="3">
        <v>7065</v>
      </c>
      <c r="M361" s="3">
        <v>264</v>
      </c>
      <c r="N361" s="3">
        <f t="shared" si="14"/>
        <v>14462</v>
      </c>
      <c r="O361" s="3">
        <v>2570</v>
      </c>
      <c r="P361" s="3">
        <v>5394</v>
      </c>
      <c r="Q361" s="18">
        <f t="shared" si="13"/>
        <v>6498</v>
      </c>
    </row>
    <row r="362" spans="1:17" ht="18.75" customHeight="1">
      <c r="A362" s="6" t="s">
        <v>18</v>
      </c>
      <c r="B362" s="10">
        <v>44557</v>
      </c>
      <c r="C362" s="3">
        <v>1765</v>
      </c>
      <c r="D362" s="3">
        <v>2213</v>
      </c>
      <c r="E362" s="3">
        <v>1094</v>
      </c>
      <c r="F362" s="3">
        <v>889</v>
      </c>
      <c r="G362" s="3">
        <v>200</v>
      </c>
      <c r="H362" s="3">
        <v>0</v>
      </c>
      <c r="I362" s="3">
        <v>0</v>
      </c>
      <c r="J362" s="3">
        <v>0</v>
      </c>
      <c r="K362" s="3">
        <v>863</v>
      </c>
      <c r="L362" s="3">
        <v>7383</v>
      </c>
      <c r="M362" s="3">
        <v>0</v>
      </c>
      <c r="N362" s="3">
        <f t="shared" si="14"/>
        <v>14407</v>
      </c>
      <c r="O362" s="3">
        <v>2720</v>
      </c>
      <c r="P362" s="3">
        <v>6556</v>
      </c>
      <c r="Q362" s="18">
        <f t="shared" si="13"/>
        <v>5131</v>
      </c>
    </row>
    <row r="363" spans="1:17" ht="18.75" customHeight="1">
      <c r="A363" s="6" t="s">
        <v>19</v>
      </c>
      <c r="B363" s="10">
        <v>44558</v>
      </c>
      <c r="C363" s="3">
        <v>2060</v>
      </c>
      <c r="D363" s="3">
        <v>1689</v>
      </c>
      <c r="E363" s="3">
        <v>2006</v>
      </c>
      <c r="F363" s="3">
        <v>550</v>
      </c>
      <c r="G363" s="3">
        <v>865</v>
      </c>
      <c r="H363" s="3">
        <v>592</v>
      </c>
      <c r="I363" s="3">
        <v>0</v>
      </c>
      <c r="J363" s="3">
        <v>0</v>
      </c>
      <c r="K363" s="3">
        <v>0</v>
      </c>
      <c r="L363" s="3">
        <v>8061</v>
      </c>
      <c r="M363" s="3">
        <v>0</v>
      </c>
      <c r="N363" s="3">
        <f t="shared" si="14"/>
        <v>15823</v>
      </c>
      <c r="O363" s="3">
        <v>2430</v>
      </c>
      <c r="P363" s="3">
        <v>5121</v>
      </c>
      <c r="Q363" s="18">
        <f t="shared" si="13"/>
        <v>8272</v>
      </c>
    </row>
    <row r="364" spans="1:17" ht="18.75" customHeight="1">
      <c r="A364" s="6" t="s">
        <v>20</v>
      </c>
      <c r="B364" s="10">
        <v>44559</v>
      </c>
      <c r="C364" s="3">
        <v>1715</v>
      </c>
      <c r="D364" s="3">
        <v>1520</v>
      </c>
      <c r="E364" s="3">
        <v>966</v>
      </c>
      <c r="F364" s="3">
        <v>1229</v>
      </c>
      <c r="G364" s="3">
        <v>615</v>
      </c>
      <c r="H364" s="3">
        <v>0</v>
      </c>
      <c r="I364" s="3">
        <v>0</v>
      </c>
      <c r="J364" s="3">
        <v>0</v>
      </c>
      <c r="K364" s="3">
        <v>360</v>
      </c>
      <c r="L364" s="3">
        <v>12005</v>
      </c>
      <c r="M364" s="3">
        <v>881</v>
      </c>
      <c r="N364" s="3">
        <f t="shared" si="14"/>
        <v>19291</v>
      </c>
      <c r="O364" s="3">
        <v>3000</v>
      </c>
      <c r="P364" s="3">
        <v>6643</v>
      </c>
      <c r="Q364" s="18">
        <f t="shared" si="13"/>
        <v>9648</v>
      </c>
    </row>
    <row r="365" spans="1:17" ht="18.75" customHeight="1">
      <c r="A365" s="6" t="s">
        <v>21</v>
      </c>
      <c r="B365" s="10">
        <v>44560</v>
      </c>
      <c r="C365" s="3">
        <v>1402</v>
      </c>
      <c r="D365" s="3">
        <v>2165</v>
      </c>
      <c r="E365" s="3">
        <v>1482</v>
      </c>
      <c r="F365" s="3">
        <v>1540</v>
      </c>
      <c r="G365" s="3">
        <v>860</v>
      </c>
      <c r="H365" s="3">
        <v>0</v>
      </c>
      <c r="I365" s="3">
        <v>0</v>
      </c>
      <c r="J365" s="3">
        <v>0</v>
      </c>
      <c r="K365" s="3">
        <v>497</v>
      </c>
      <c r="L365" s="3">
        <v>9900</v>
      </c>
      <c r="M365" s="3">
        <v>601</v>
      </c>
      <c r="N365" s="3">
        <f t="shared" si="14"/>
        <v>18447</v>
      </c>
      <c r="O365" s="3">
        <v>2690</v>
      </c>
      <c r="P365" s="3">
        <v>11576</v>
      </c>
      <c r="Q365" s="18">
        <f t="shared" si="13"/>
        <v>4181</v>
      </c>
    </row>
    <row r="366" spans="1:17" ht="18.75" customHeight="1">
      <c r="A366" s="6" t="s">
        <v>22</v>
      </c>
      <c r="B366" s="10">
        <v>44561</v>
      </c>
      <c r="C366" s="3">
        <v>2198</v>
      </c>
      <c r="D366" s="3">
        <v>1585</v>
      </c>
      <c r="E366" s="3">
        <v>2074</v>
      </c>
      <c r="F366" s="3">
        <v>982</v>
      </c>
      <c r="G366" s="3">
        <v>545</v>
      </c>
      <c r="H366" s="3">
        <v>0</v>
      </c>
      <c r="I366" s="3">
        <v>0</v>
      </c>
      <c r="J366" s="3">
        <v>0</v>
      </c>
      <c r="K366" s="3">
        <v>860</v>
      </c>
      <c r="L366" s="3">
        <v>9151</v>
      </c>
      <c r="M366" s="3">
        <v>200</v>
      </c>
      <c r="N366" s="3">
        <f t="shared" si="14"/>
        <v>17595</v>
      </c>
      <c r="O366" s="3">
        <v>2740</v>
      </c>
      <c r="P366" s="3">
        <v>8416</v>
      </c>
      <c r="Q366" s="18">
        <f t="shared" si="13"/>
        <v>6439</v>
      </c>
    </row>
  </sheetData>
  <conditionalFormatting sqref="Q3:Q366">
    <cfRule type="cellIs" dxfId="6" priority="162" operator="lessThan">
      <formula>0</formula>
    </cfRule>
  </conditionalFormatting>
  <pageMargins left="0.7" right="0.7" top="0.75" bottom="0.75" header="0.3" footer="0.3"/>
  <pageSetup paperSize="9" orientation="portrait" horizontalDpi="360" verticalDpi="36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C366"/>
  <sheetViews>
    <sheetView zoomScale="60" zoomScaleNormal="60" workbookViewId="0">
      <pane ySplit="1" topLeftCell="A2" activePane="bottomLeft" state="frozen"/>
      <selection pane="bottomLeft" activeCell="O374" sqref="O374"/>
      <selection activeCell="D1" sqref="D1"/>
    </sheetView>
  </sheetViews>
  <sheetFormatPr defaultColWidth="11.42578125" defaultRowHeight="15"/>
  <cols>
    <col min="1" max="1" width="12.85546875" customWidth="1"/>
    <col min="2" max="2" width="16.42578125" style="11" customWidth="1"/>
    <col min="3" max="3" width="20.140625" customWidth="1"/>
    <col min="4" max="4" width="31.28515625" customWidth="1"/>
    <col min="5" max="6" width="21.140625" customWidth="1"/>
    <col min="7" max="7" width="21.85546875" customWidth="1"/>
    <col min="8" max="8" width="19" customWidth="1"/>
    <col min="9" max="10" width="21.28515625" customWidth="1"/>
    <col min="11" max="11" width="16.28515625" customWidth="1"/>
    <col min="12" max="12" width="20.5703125" customWidth="1"/>
    <col min="13" max="14" width="18.28515625" customWidth="1"/>
    <col min="15" max="15" width="24.140625" customWidth="1"/>
    <col min="16" max="16" width="18.42578125" customWidth="1"/>
    <col min="17" max="17" width="22.140625" customWidth="1"/>
    <col min="18" max="18" width="24.28515625" bestFit="1" customWidth="1"/>
    <col min="19" max="19" width="14.5703125" bestFit="1" customWidth="1"/>
    <col min="20" max="20" width="13.28515625" bestFit="1" customWidth="1"/>
    <col min="21" max="21" width="14.5703125" bestFit="1" customWidth="1"/>
    <col min="22" max="22" width="21.85546875" customWidth="1"/>
    <col min="26" max="29" width="14.5703125" bestFit="1" customWidth="1"/>
    <col min="31" max="31" width="20.5703125" customWidth="1"/>
    <col min="32" max="34" width="14.7109375" bestFit="1" customWidth="1"/>
    <col min="35" max="35" width="17.28515625" customWidth="1"/>
    <col min="36" max="36" width="14.42578125" customWidth="1"/>
    <col min="41" max="44" width="15.140625" bestFit="1" customWidth="1"/>
  </cols>
  <sheetData>
    <row r="1" spans="1:29" ht="18.75" customHeight="1">
      <c r="A1" s="1"/>
      <c r="B1" s="9" t="s">
        <v>0</v>
      </c>
      <c r="C1" s="21" t="s">
        <v>25</v>
      </c>
      <c r="D1" s="21" t="s">
        <v>26</v>
      </c>
      <c r="E1" s="21" t="s">
        <v>4</v>
      </c>
      <c r="F1" s="21" t="s">
        <v>27</v>
      </c>
      <c r="G1" s="21" t="s">
        <v>28</v>
      </c>
      <c r="H1" s="21" t="s">
        <v>29</v>
      </c>
      <c r="I1" s="21" t="s">
        <v>30</v>
      </c>
      <c r="J1" s="21" t="s">
        <v>31</v>
      </c>
      <c r="K1" s="21" t="s">
        <v>32</v>
      </c>
      <c r="L1" s="21" t="s">
        <v>33</v>
      </c>
      <c r="M1" s="21" t="s">
        <v>34</v>
      </c>
      <c r="N1" s="21" t="s">
        <v>35</v>
      </c>
      <c r="O1" s="21" t="s">
        <v>12</v>
      </c>
      <c r="P1" s="21" t="s">
        <v>13</v>
      </c>
      <c r="Q1" s="21" t="s">
        <v>14</v>
      </c>
      <c r="R1" s="21" t="s">
        <v>15</v>
      </c>
    </row>
    <row r="2" spans="1:29" ht="18.75" customHeight="1">
      <c r="A2" s="4" t="s">
        <v>16</v>
      </c>
      <c r="B2" s="10">
        <v>44562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3">
        <v>0</v>
      </c>
      <c r="P2" s="3">
        <v>0</v>
      </c>
      <c r="Q2" s="3">
        <v>0</v>
      </c>
      <c r="R2" s="5">
        <v>0</v>
      </c>
    </row>
    <row r="3" spans="1:29" ht="18.75" customHeight="1">
      <c r="A3" s="4" t="s">
        <v>17</v>
      </c>
      <c r="B3" s="10">
        <v>44563</v>
      </c>
      <c r="C3" s="2">
        <v>257</v>
      </c>
      <c r="D3" s="2">
        <v>389</v>
      </c>
      <c r="E3" s="2">
        <v>414</v>
      </c>
      <c r="F3" s="2">
        <v>2793</v>
      </c>
      <c r="G3" s="2">
        <v>0</v>
      </c>
      <c r="H3" s="2">
        <v>2835</v>
      </c>
      <c r="I3" s="2">
        <v>563</v>
      </c>
      <c r="J3" s="2">
        <v>0</v>
      </c>
      <c r="K3" s="2">
        <v>0</v>
      </c>
      <c r="L3" s="2">
        <v>7199</v>
      </c>
      <c r="M3" s="2">
        <v>761</v>
      </c>
      <c r="N3" s="2">
        <v>0</v>
      </c>
      <c r="O3" s="2">
        <f t="shared" ref="O3:O10" si="0">SUM(C3:M3)</f>
        <v>15211</v>
      </c>
      <c r="P3" s="2">
        <v>3070</v>
      </c>
      <c r="Q3" s="2">
        <v>2957</v>
      </c>
      <c r="R3" s="5">
        <f t="shared" ref="R3:R66" si="1">O3-P3-Q3</f>
        <v>9184</v>
      </c>
    </row>
    <row r="4" spans="1:29" ht="18.75" customHeight="1">
      <c r="A4" s="4" t="s">
        <v>18</v>
      </c>
      <c r="B4" s="10">
        <v>44564</v>
      </c>
      <c r="C4" s="2">
        <v>1326</v>
      </c>
      <c r="D4" s="2">
        <v>2878</v>
      </c>
      <c r="E4" s="2">
        <v>1678</v>
      </c>
      <c r="F4" s="2">
        <v>1993</v>
      </c>
      <c r="G4" s="2">
        <v>0</v>
      </c>
      <c r="H4" s="2">
        <v>1800</v>
      </c>
      <c r="I4" s="2">
        <v>585</v>
      </c>
      <c r="J4" s="2">
        <v>0</v>
      </c>
      <c r="K4" s="2">
        <v>0</v>
      </c>
      <c r="L4" s="2">
        <v>9916</v>
      </c>
      <c r="M4" s="2">
        <v>1238</v>
      </c>
      <c r="N4" s="2">
        <v>0</v>
      </c>
      <c r="O4" s="2">
        <f t="shared" si="0"/>
        <v>21414</v>
      </c>
      <c r="P4" s="2">
        <v>2790</v>
      </c>
      <c r="Q4" s="2">
        <v>6581</v>
      </c>
      <c r="R4" s="5">
        <f t="shared" si="1"/>
        <v>12043</v>
      </c>
    </row>
    <row r="5" spans="1:29" ht="18.75" customHeight="1">
      <c r="A5" s="4" t="s">
        <v>19</v>
      </c>
      <c r="B5" s="10">
        <v>44565</v>
      </c>
      <c r="C5" s="2">
        <v>1233</v>
      </c>
      <c r="D5" s="2">
        <v>1540</v>
      </c>
      <c r="E5" s="2">
        <v>731</v>
      </c>
      <c r="F5" s="2">
        <v>1809</v>
      </c>
      <c r="G5" s="2">
        <v>0</v>
      </c>
      <c r="H5" s="2">
        <v>1204</v>
      </c>
      <c r="I5" s="2">
        <v>1171</v>
      </c>
      <c r="J5" s="2">
        <v>0</v>
      </c>
      <c r="K5" s="2">
        <v>0</v>
      </c>
      <c r="L5" s="2">
        <v>4483</v>
      </c>
      <c r="M5" s="2">
        <v>130</v>
      </c>
      <c r="N5" s="2">
        <v>0</v>
      </c>
      <c r="O5" s="2">
        <f t="shared" si="0"/>
        <v>12301</v>
      </c>
      <c r="P5" s="2">
        <v>2710</v>
      </c>
      <c r="Q5" s="2">
        <v>7285</v>
      </c>
      <c r="R5" s="5">
        <f t="shared" si="1"/>
        <v>2306</v>
      </c>
    </row>
    <row r="6" spans="1:29" ht="18.75" customHeight="1">
      <c r="A6" s="4" t="s">
        <v>20</v>
      </c>
      <c r="B6" s="10">
        <v>44566</v>
      </c>
      <c r="C6" s="2">
        <v>1092</v>
      </c>
      <c r="D6" s="2">
        <v>1462</v>
      </c>
      <c r="E6" s="2">
        <v>1500</v>
      </c>
      <c r="F6" s="2">
        <v>890</v>
      </c>
      <c r="G6" s="2">
        <v>0</v>
      </c>
      <c r="H6" s="2">
        <v>1010</v>
      </c>
      <c r="I6" s="2">
        <v>1834</v>
      </c>
      <c r="J6" s="2">
        <v>0</v>
      </c>
      <c r="K6" s="2">
        <v>784</v>
      </c>
      <c r="L6" s="2">
        <v>5673</v>
      </c>
      <c r="M6" s="2">
        <v>563</v>
      </c>
      <c r="N6" s="2">
        <v>0</v>
      </c>
      <c r="O6" s="2">
        <f t="shared" si="0"/>
        <v>14808</v>
      </c>
      <c r="P6" s="2">
        <v>2620</v>
      </c>
      <c r="Q6" s="2">
        <v>4103</v>
      </c>
      <c r="R6" s="5">
        <f t="shared" si="1"/>
        <v>8085</v>
      </c>
      <c r="S6" s="1"/>
      <c r="T6" s="1"/>
      <c r="U6" s="1"/>
      <c r="V6" s="1"/>
      <c r="W6" s="1"/>
      <c r="X6" s="1"/>
      <c r="Y6" s="1"/>
      <c r="Z6" s="1"/>
      <c r="AA6" s="1"/>
      <c r="AB6" s="1"/>
      <c r="AC6" s="1"/>
    </row>
    <row r="7" spans="1:29" ht="18.75" customHeight="1">
      <c r="A7" s="4" t="s">
        <v>21</v>
      </c>
      <c r="B7" s="10">
        <v>44567</v>
      </c>
      <c r="C7" s="2">
        <v>0</v>
      </c>
      <c r="D7" s="2">
        <v>1486</v>
      </c>
      <c r="E7" s="2">
        <v>595</v>
      </c>
      <c r="F7" s="2">
        <v>1256</v>
      </c>
      <c r="G7" s="2">
        <v>0</v>
      </c>
      <c r="H7" s="2">
        <v>2030</v>
      </c>
      <c r="I7" s="2">
        <v>967</v>
      </c>
      <c r="J7" s="2">
        <v>0</v>
      </c>
      <c r="K7" s="2">
        <v>1697</v>
      </c>
      <c r="L7" s="2">
        <v>6417</v>
      </c>
      <c r="M7" s="2">
        <v>629</v>
      </c>
      <c r="N7" s="2">
        <v>0</v>
      </c>
      <c r="O7" s="2">
        <f t="shared" si="0"/>
        <v>15077</v>
      </c>
      <c r="P7" s="2">
        <v>2640</v>
      </c>
      <c r="Q7" s="2">
        <v>6532</v>
      </c>
      <c r="R7" s="5">
        <f t="shared" si="1"/>
        <v>5905</v>
      </c>
      <c r="S7" s="1"/>
      <c r="T7" s="1"/>
      <c r="U7" s="1"/>
      <c r="V7" s="1"/>
      <c r="W7" s="1"/>
      <c r="X7" s="1"/>
      <c r="Y7" s="1"/>
      <c r="Z7" s="1"/>
      <c r="AA7" s="1"/>
      <c r="AB7" s="1"/>
      <c r="AC7" s="1"/>
    </row>
    <row r="8" spans="1:29" ht="18.75" customHeight="1">
      <c r="A8" s="4" t="s">
        <v>22</v>
      </c>
      <c r="B8" s="10">
        <v>44568</v>
      </c>
      <c r="C8" s="2">
        <v>0</v>
      </c>
      <c r="D8" s="2">
        <v>761</v>
      </c>
      <c r="E8" s="2">
        <v>650</v>
      </c>
      <c r="F8" s="2">
        <v>1120</v>
      </c>
      <c r="G8" s="2">
        <v>0</v>
      </c>
      <c r="H8" s="2">
        <v>2125</v>
      </c>
      <c r="I8" s="2">
        <v>855</v>
      </c>
      <c r="J8" s="2">
        <v>0</v>
      </c>
      <c r="K8" s="2">
        <v>1701</v>
      </c>
      <c r="L8" s="2">
        <v>5115</v>
      </c>
      <c r="M8" s="2">
        <v>0</v>
      </c>
      <c r="N8" s="2">
        <v>0</v>
      </c>
      <c r="O8" s="2">
        <f t="shared" si="0"/>
        <v>12327</v>
      </c>
      <c r="P8" s="2">
        <v>2760</v>
      </c>
      <c r="Q8" s="2">
        <v>5160</v>
      </c>
      <c r="R8" s="5">
        <f t="shared" si="1"/>
        <v>4407</v>
      </c>
      <c r="S8" s="1"/>
      <c r="T8" s="1"/>
      <c r="U8" s="1"/>
      <c r="V8" s="1"/>
      <c r="W8" s="1"/>
      <c r="X8" s="1"/>
      <c r="Y8" s="1"/>
      <c r="Z8" s="1"/>
      <c r="AA8" s="1"/>
      <c r="AB8" s="1"/>
      <c r="AC8" s="1"/>
    </row>
    <row r="9" spans="1:29" ht="18.75" customHeight="1">
      <c r="A9" s="4" t="s">
        <v>23</v>
      </c>
      <c r="B9" s="10">
        <v>44569</v>
      </c>
      <c r="C9" s="2">
        <v>310</v>
      </c>
      <c r="D9" s="2">
        <v>3019</v>
      </c>
      <c r="E9" s="2">
        <v>270</v>
      </c>
      <c r="F9" s="2">
        <v>1044</v>
      </c>
      <c r="G9" s="2">
        <v>0</v>
      </c>
      <c r="H9" s="2">
        <v>1840</v>
      </c>
      <c r="I9" s="2">
        <v>1046</v>
      </c>
      <c r="J9" s="2">
        <v>0</v>
      </c>
      <c r="K9" s="2">
        <v>0</v>
      </c>
      <c r="L9" s="2">
        <v>6834</v>
      </c>
      <c r="M9" s="2">
        <v>559</v>
      </c>
      <c r="N9" s="2">
        <v>0</v>
      </c>
      <c r="O9" s="2">
        <f t="shared" si="0"/>
        <v>14922</v>
      </c>
      <c r="P9" s="2">
        <v>2580</v>
      </c>
      <c r="Q9" s="2">
        <v>5813</v>
      </c>
      <c r="R9" s="5">
        <f t="shared" si="1"/>
        <v>6529</v>
      </c>
      <c r="S9" s="1"/>
      <c r="T9" s="1"/>
      <c r="U9" s="1"/>
      <c r="V9" s="1"/>
      <c r="W9" s="1"/>
      <c r="X9" s="1"/>
      <c r="Y9" s="1"/>
      <c r="Z9" s="1"/>
      <c r="AA9" s="1"/>
      <c r="AB9" s="1"/>
      <c r="AC9" s="1"/>
    </row>
    <row r="10" spans="1:29" ht="18.75" customHeight="1">
      <c r="A10" s="4" t="s">
        <v>17</v>
      </c>
      <c r="B10" s="10">
        <v>44570</v>
      </c>
      <c r="C10" s="2">
        <v>0</v>
      </c>
      <c r="D10" s="2">
        <v>1270</v>
      </c>
      <c r="E10" s="2">
        <v>150</v>
      </c>
      <c r="F10" s="2">
        <v>908</v>
      </c>
      <c r="G10" s="2">
        <v>0</v>
      </c>
      <c r="H10" s="2">
        <v>2110</v>
      </c>
      <c r="I10" s="2">
        <v>0</v>
      </c>
      <c r="J10" s="2">
        <v>0</v>
      </c>
      <c r="K10" s="2">
        <v>0</v>
      </c>
      <c r="L10" s="2">
        <v>9298</v>
      </c>
      <c r="M10" s="2">
        <v>542</v>
      </c>
      <c r="N10" s="2">
        <v>0</v>
      </c>
      <c r="O10" s="2">
        <f t="shared" si="0"/>
        <v>14278</v>
      </c>
      <c r="P10" s="2">
        <v>3465</v>
      </c>
      <c r="Q10" s="2">
        <v>4264</v>
      </c>
      <c r="R10" s="5">
        <f t="shared" si="1"/>
        <v>6549</v>
      </c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</row>
    <row r="11" spans="1:29" ht="18.75" customHeight="1">
      <c r="A11" s="4" t="s">
        <v>18</v>
      </c>
      <c r="B11" s="10">
        <v>44571</v>
      </c>
      <c r="C11" s="2">
        <v>820</v>
      </c>
      <c r="D11" s="2">
        <v>2220</v>
      </c>
      <c r="E11" s="2">
        <v>0</v>
      </c>
      <c r="F11" s="2">
        <v>1788</v>
      </c>
      <c r="G11" s="2">
        <v>0</v>
      </c>
      <c r="H11" s="2">
        <v>2275</v>
      </c>
      <c r="I11" s="2">
        <v>0</v>
      </c>
      <c r="J11" s="2">
        <v>0</v>
      </c>
      <c r="K11" s="2">
        <v>0</v>
      </c>
      <c r="L11" s="2">
        <v>4769</v>
      </c>
      <c r="M11" s="2">
        <v>52</v>
      </c>
      <c r="N11" s="2">
        <v>473</v>
      </c>
      <c r="O11" s="2">
        <f t="shared" ref="O11:O42" si="2">SUM(C11:N11)</f>
        <v>12397</v>
      </c>
      <c r="P11" s="2">
        <v>2240</v>
      </c>
      <c r="Q11" s="2">
        <v>6601</v>
      </c>
      <c r="R11" s="5">
        <f t="shared" si="1"/>
        <v>3556</v>
      </c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</row>
    <row r="12" spans="1:29" ht="18.75" customHeight="1">
      <c r="A12" s="4" t="s">
        <v>19</v>
      </c>
      <c r="B12" s="10">
        <v>44572</v>
      </c>
      <c r="C12" s="2">
        <v>720</v>
      </c>
      <c r="D12" s="2">
        <v>1053</v>
      </c>
      <c r="E12" s="2">
        <v>812</v>
      </c>
      <c r="F12" s="2">
        <v>1237</v>
      </c>
      <c r="G12" s="2">
        <v>0</v>
      </c>
      <c r="H12" s="2">
        <v>1660</v>
      </c>
      <c r="I12" s="2">
        <v>290</v>
      </c>
      <c r="J12" s="2">
        <v>0</v>
      </c>
      <c r="K12" s="2">
        <v>0</v>
      </c>
      <c r="L12" s="2">
        <v>3784</v>
      </c>
      <c r="M12" s="2">
        <v>0</v>
      </c>
      <c r="N12" s="2">
        <v>95</v>
      </c>
      <c r="O12" s="2">
        <f t="shared" si="2"/>
        <v>9651</v>
      </c>
      <c r="P12" s="2">
        <v>2480</v>
      </c>
      <c r="Q12" s="2">
        <v>5261</v>
      </c>
      <c r="R12" s="5">
        <f t="shared" si="1"/>
        <v>1910</v>
      </c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</row>
    <row r="13" spans="1:29" ht="18.75" customHeight="1">
      <c r="A13" s="4" t="s">
        <v>20</v>
      </c>
      <c r="B13" s="10">
        <v>44573</v>
      </c>
      <c r="C13" s="2">
        <v>310</v>
      </c>
      <c r="D13" s="2">
        <v>2698</v>
      </c>
      <c r="E13" s="2">
        <v>880</v>
      </c>
      <c r="F13" s="2">
        <v>728</v>
      </c>
      <c r="G13" s="2">
        <v>0</v>
      </c>
      <c r="H13" s="2">
        <v>1450</v>
      </c>
      <c r="I13" s="2">
        <v>475</v>
      </c>
      <c r="J13" s="2">
        <v>0</v>
      </c>
      <c r="K13" s="2">
        <v>0</v>
      </c>
      <c r="L13" s="2">
        <v>4938</v>
      </c>
      <c r="M13" s="2">
        <v>78</v>
      </c>
      <c r="N13" s="2">
        <v>0</v>
      </c>
      <c r="O13" s="2">
        <f t="shared" si="2"/>
        <v>11557</v>
      </c>
      <c r="P13" s="2">
        <v>3270</v>
      </c>
      <c r="Q13" s="2">
        <v>3507</v>
      </c>
      <c r="R13" s="5">
        <f t="shared" si="1"/>
        <v>4780</v>
      </c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</row>
    <row r="14" spans="1:29" ht="18.75" customHeight="1">
      <c r="A14" s="4" t="s">
        <v>21</v>
      </c>
      <c r="B14" s="10">
        <v>44574</v>
      </c>
      <c r="C14" s="2">
        <v>330</v>
      </c>
      <c r="D14" s="2">
        <v>1655</v>
      </c>
      <c r="E14" s="2">
        <v>1348</v>
      </c>
      <c r="F14" s="2">
        <v>1068</v>
      </c>
      <c r="G14" s="2">
        <v>0</v>
      </c>
      <c r="H14" s="2">
        <v>1320</v>
      </c>
      <c r="I14" s="2">
        <v>850</v>
      </c>
      <c r="J14" s="2">
        <v>0</v>
      </c>
      <c r="K14" s="2">
        <v>0</v>
      </c>
      <c r="L14" s="2">
        <v>2701</v>
      </c>
      <c r="M14" s="2">
        <v>264</v>
      </c>
      <c r="N14" s="2">
        <v>0</v>
      </c>
      <c r="O14" s="2">
        <f t="shared" si="2"/>
        <v>9536</v>
      </c>
      <c r="P14" s="2">
        <v>2410</v>
      </c>
      <c r="Q14" s="2">
        <v>5354</v>
      </c>
      <c r="R14" s="5">
        <f t="shared" si="1"/>
        <v>1772</v>
      </c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</row>
    <row r="15" spans="1:29" ht="18.75" customHeight="1">
      <c r="A15" s="4" t="s">
        <v>22</v>
      </c>
      <c r="B15" s="10">
        <v>44575</v>
      </c>
      <c r="C15" s="2">
        <v>640</v>
      </c>
      <c r="D15" s="2">
        <v>1018</v>
      </c>
      <c r="E15" s="2">
        <v>717</v>
      </c>
      <c r="F15" s="2">
        <v>1458</v>
      </c>
      <c r="G15" s="2">
        <v>0</v>
      </c>
      <c r="H15" s="2">
        <v>640</v>
      </c>
      <c r="I15" s="2">
        <v>565</v>
      </c>
      <c r="J15" s="2">
        <v>0</v>
      </c>
      <c r="K15" s="2">
        <v>0</v>
      </c>
      <c r="L15" s="2">
        <v>3169</v>
      </c>
      <c r="M15" s="2">
        <v>174</v>
      </c>
      <c r="N15" s="2">
        <v>110</v>
      </c>
      <c r="O15" s="2">
        <f t="shared" si="2"/>
        <v>8491</v>
      </c>
      <c r="P15" s="2">
        <v>2320</v>
      </c>
      <c r="Q15" s="2">
        <v>4650</v>
      </c>
      <c r="R15" s="5">
        <f t="shared" si="1"/>
        <v>1521</v>
      </c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</row>
    <row r="16" spans="1:29" ht="18.75" customHeight="1">
      <c r="A16" s="4" t="s">
        <v>23</v>
      </c>
      <c r="B16" s="10">
        <v>44576</v>
      </c>
      <c r="C16" s="2">
        <v>555</v>
      </c>
      <c r="D16" s="2">
        <v>1675</v>
      </c>
      <c r="E16" s="2">
        <v>255</v>
      </c>
      <c r="F16" s="2">
        <v>590</v>
      </c>
      <c r="G16" s="2">
        <v>0</v>
      </c>
      <c r="H16" s="2">
        <v>1075</v>
      </c>
      <c r="I16" s="2">
        <v>1218</v>
      </c>
      <c r="J16" s="2">
        <v>0</v>
      </c>
      <c r="K16" s="2">
        <v>0</v>
      </c>
      <c r="L16" s="2">
        <v>6514</v>
      </c>
      <c r="M16" s="2">
        <v>519</v>
      </c>
      <c r="N16" s="2">
        <v>431</v>
      </c>
      <c r="O16" s="2">
        <f t="shared" si="2"/>
        <v>12832</v>
      </c>
      <c r="P16" s="2">
        <v>2290</v>
      </c>
      <c r="Q16" s="2">
        <v>5518</v>
      </c>
      <c r="R16" s="5">
        <f t="shared" si="1"/>
        <v>5024</v>
      </c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</row>
    <row r="17" spans="1:29" ht="18.75" customHeight="1">
      <c r="A17" s="4" t="s">
        <v>17</v>
      </c>
      <c r="B17" s="10">
        <v>44577</v>
      </c>
      <c r="C17" s="2">
        <v>685</v>
      </c>
      <c r="D17" s="2">
        <v>783</v>
      </c>
      <c r="E17" s="2">
        <v>345</v>
      </c>
      <c r="F17" s="2">
        <v>0</v>
      </c>
      <c r="G17" s="2">
        <v>0</v>
      </c>
      <c r="H17" s="2">
        <v>1207</v>
      </c>
      <c r="I17" s="2">
        <v>502</v>
      </c>
      <c r="J17" s="2">
        <v>0</v>
      </c>
      <c r="K17" s="2">
        <v>0</v>
      </c>
      <c r="L17" s="2">
        <v>6220</v>
      </c>
      <c r="M17" s="2">
        <v>0</v>
      </c>
      <c r="N17" s="2">
        <v>155</v>
      </c>
      <c r="O17" s="2">
        <f t="shared" si="2"/>
        <v>9897</v>
      </c>
      <c r="P17" s="2">
        <v>3790</v>
      </c>
      <c r="Q17" s="2">
        <v>3031</v>
      </c>
      <c r="R17" s="5">
        <f t="shared" si="1"/>
        <v>3076</v>
      </c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</row>
    <row r="18" spans="1:29" ht="18.75" customHeight="1">
      <c r="A18" s="4" t="s">
        <v>18</v>
      </c>
      <c r="B18" s="10">
        <v>44578</v>
      </c>
      <c r="C18" s="2">
        <v>685</v>
      </c>
      <c r="D18" s="2">
        <v>1118</v>
      </c>
      <c r="E18" s="2">
        <v>1592</v>
      </c>
      <c r="F18" s="2">
        <v>1318</v>
      </c>
      <c r="G18" s="2">
        <v>0</v>
      </c>
      <c r="H18" s="2">
        <v>2235</v>
      </c>
      <c r="I18" s="2">
        <v>535</v>
      </c>
      <c r="J18" s="2">
        <v>0</v>
      </c>
      <c r="K18" s="2">
        <v>1379</v>
      </c>
      <c r="L18" s="2">
        <v>5144</v>
      </c>
      <c r="M18" s="2">
        <v>653</v>
      </c>
      <c r="N18" s="2">
        <v>130</v>
      </c>
      <c r="O18" s="2">
        <f t="shared" si="2"/>
        <v>14789</v>
      </c>
      <c r="P18" s="2">
        <v>2420</v>
      </c>
      <c r="Q18" s="2">
        <v>6978</v>
      </c>
      <c r="R18" s="5">
        <f t="shared" si="1"/>
        <v>5391</v>
      </c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</row>
    <row r="19" spans="1:29" ht="18.75" customHeight="1">
      <c r="A19" s="4" t="s">
        <v>19</v>
      </c>
      <c r="B19" s="10">
        <v>44579</v>
      </c>
      <c r="C19" s="2">
        <v>567</v>
      </c>
      <c r="D19" s="2">
        <v>2160</v>
      </c>
      <c r="E19" s="2">
        <v>715</v>
      </c>
      <c r="F19" s="2">
        <v>1200</v>
      </c>
      <c r="G19" s="2">
        <v>0</v>
      </c>
      <c r="H19" s="2">
        <v>2014</v>
      </c>
      <c r="I19" s="2">
        <v>1000</v>
      </c>
      <c r="J19" s="2">
        <v>0</v>
      </c>
      <c r="K19" s="2">
        <v>914</v>
      </c>
      <c r="L19" s="2">
        <v>7114</v>
      </c>
      <c r="M19" s="2">
        <v>212</v>
      </c>
      <c r="N19" s="2">
        <v>0</v>
      </c>
      <c r="O19" s="2">
        <f t="shared" si="2"/>
        <v>15896</v>
      </c>
      <c r="P19" s="2">
        <v>2790</v>
      </c>
      <c r="Q19" s="2">
        <v>5582</v>
      </c>
      <c r="R19" s="5">
        <f t="shared" si="1"/>
        <v>7524</v>
      </c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</row>
    <row r="20" spans="1:29" ht="18.75" customHeight="1">
      <c r="A20" s="4" t="s">
        <v>20</v>
      </c>
      <c r="B20" s="10">
        <v>44580</v>
      </c>
      <c r="C20" s="2">
        <v>630</v>
      </c>
      <c r="D20" s="2">
        <v>1557</v>
      </c>
      <c r="E20" s="2">
        <v>1103</v>
      </c>
      <c r="F20" s="2">
        <v>1077</v>
      </c>
      <c r="G20" s="2">
        <v>0</v>
      </c>
      <c r="H20" s="2">
        <v>1620</v>
      </c>
      <c r="I20" s="2">
        <v>200</v>
      </c>
      <c r="J20" s="2">
        <v>0</v>
      </c>
      <c r="K20" s="2">
        <v>1722</v>
      </c>
      <c r="L20" s="2">
        <v>4964</v>
      </c>
      <c r="M20" s="2">
        <v>0</v>
      </c>
      <c r="N20" s="2">
        <v>446</v>
      </c>
      <c r="O20" s="2">
        <f t="shared" si="2"/>
        <v>13319</v>
      </c>
      <c r="P20" s="2">
        <v>2760</v>
      </c>
      <c r="Q20" s="2">
        <v>4409.5</v>
      </c>
      <c r="R20" s="5">
        <f t="shared" si="1"/>
        <v>6149.5</v>
      </c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</row>
    <row r="21" spans="1:29" ht="18.75" customHeight="1">
      <c r="A21" s="4" t="s">
        <v>21</v>
      </c>
      <c r="B21" s="10">
        <v>44581</v>
      </c>
      <c r="C21" s="2">
        <v>300</v>
      </c>
      <c r="D21" s="2">
        <v>1430</v>
      </c>
      <c r="E21" s="2">
        <v>1060</v>
      </c>
      <c r="F21" s="2">
        <v>944</v>
      </c>
      <c r="G21" s="2">
        <v>0</v>
      </c>
      <c r="H21" s="2">
        <v>1150</v>
      </c>
      <c r="I21" s="2">
        <v>1500</v>
      </c>
      <c r="J21" s="2">
        <v>0</v>
      </c>
      <c r="K21" s="2">
        <v>1410</v>
      </c>
      <c r="L21" s="2">
        <v>6731</v>
      </c>
      <c r="M21" s="2">
        <v>0</v>
      </c>
      <c r="N21" s="2">
        <v>0</v>
      </c>
      <c r="O21" s="2">
        <f t="shared" si="2"/>
        <v>14525</v>
      </c>
      <c r="P21" s="2">
        <v>2640</v>
      </c>
      <c r="Q21" s="2">
        <v>5406</v>
      </c>
      <c r="R21" s="5">
        <f t="shared" si="1"/>
        <v>6479</v>
      </c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</row>
    <row r="22" spans="1:29" ht="18.75" customHeight="1">
      <c r="A22" s="4" t="s">
        <v>22</v>
      </c>
      <c r="B22" s="10">
        <v>44582</v>
      </c>
      <c r="C22" s="2">
        <v>620</v>
      </c>
      <c r="D22" s="2">
        <v>1854</v>
      </c>
      <c r="E22" s="2">
        <v>820</v>
      </c>
      <c r="F22" s="2">
        <v>1074</v>
      </c>
      <c r="G22" s="2">
        <v>0</v>
      </c>
      <c r="H22" s="2">
        <v>1026</v>
      </c>
      <c r="I22" s="2">
        <v>755</v>
      </c>
      <c r="J22" s="2">
        <v>0</v>
      </c>
      <c r="K22" s="2">
        <v>992</v>
      </c>
      <c r="L22" s="2">
        <v>3120</v>
      </c>
      <c r="M22" s="2">
        <v>225</v>
      </c>
      <c r="N22" s="2">
        <v>718</v>
      </c>
      <c r="O22" s="2">
        <f t="shared" si="2"/>
        <v>11204</v>
      </c>
      <c r="P22" s="2">
        <v>2500</v>
      </c>
      <c r="Q22" s="2">
        <v>4576</v>
      </c>
      <c r="R22" s="5">
        <f t="shared" si="1"/>
        <v>4128</v>
      </c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</row>
    <row r="23" spans="1:29" ht="18.75" customHeight="1">
      <c r="A23" s="4" t="s">
        <v>23</v>
      </c>
      <c r="B23" s="10">
        <v>44583</v>
      </c>
      <c r="C23" s="2">
        <v>414</v>
      </c>
      <c r="D23" s="2">
        <v>0</v>
      </c>
      <c r="E23" s="2">
        <v>654</v>
      </c>
      <c r="F23" s="2">
        <v>815</v>
      </c>
      <c r="G23" s="2">
        <v>0</v>
      </c>
      <c r="H23" s="2">
        <v>1820</v>
      </c>
      <c r="I23" s="2">
        <v>114</v>
      </c>
      <c r="J23" s="2">
        <v>0</v>
      </c>
      <c r="K23" s="2">
        <v>0</v>
      </c>
      <c r="L23" s="2">
        <v>4237</v>
      </c>
      <c r="M23" s="2">
        <v>362</v>
      </c>
      <c r="N23" s="2">
        <v>0</v>
      </c>
      <c r="O23" s="2">
        <f t="shared" si="2"/>
        <v>8416</v>
      </c>
      <c r="P23" s="2">
        <v>2210</v>
      </c>
      <c r="Q23" s="2">
        <v>2906.5</v>
      </c>
      <c r="R23" s="5">
        <f t="shared" si="1"/>
        <v>3299.5</v>
      </c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</row>
    <row r="24" spans="1:29" ht="18.75" customHeight="1">
      <c r="A24" s="4" t="s">
        <v>17</v>
      </c>
      <c r="B24" s="10">
        <v>44584</v>
      </c>
      <c r="C24" s="2">
        <v>0</v>
      </c>
      <c r="D24" s="2">
        <v>880</v>
      </c>
      <c r="E24" s="2">
        <v>0</v>
      </c>
      <c r="F24" s="2">
        <v>826</v>
      </c>
      <c r="G24" s="2">
        <v>0</v>
      </c>
      <c r="H24" s="2">
        <v>1725</v>
      </c>
      <c r="I24" s="2">
        <v>0</v>
      </c>
      <c r="J24" s="2">
        <v>0</v>
      </c>
      <c r="K24" s="2">
        <v>1349</v>
      </c>
      <c r="L24" s="2">
        <v>6199</v>
      </c>
      <c r="M24" s="2">
        <v>68</v>
      </c>
      <c r="N24" s="2">
        <v>619</v>
      </c>
      <c r="O24" s="2">
        <f t="shared" si="2"/>
        <v>11666</v>
      </c>
      <c r="P24" s="2">
        <v>4370</v>
      </c>
      <c r="Q24" s="2">
        <v>3097</v>
      </c>
      <c r="R24" s="5">
        <f t="shared" si="1"/>
        <v>4199</v>
      </c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</row>
    <row r="25" spans="1:29" ht="18.75" customHeight="1">
      <c r="A25" s="4" t="s">
        <v>18</v>
      </c>
      <c r="B25" s="10">
        <v>44585</v>
      </c>
      <c r="C25" s="2">
        <v>590</v>
      </c>
      <c r="D25" s="2">
        <v>1557</v>
      </c>
      <c r="E25" s="2">
        <v>930</v>
      </c>
      <c r="F25" s="2">
        <v>912</v>
      </c>
      <c r="G25" s="2">
        <v>0</v>
      </c>
      <c r="H25" s="2">
        <v>680</v>
      </c>
      <c r="I25" s="2">
        <v>1064</v>
      </c>
      <c r="J25" s="2">
        <v>0</v>
      </c>
      <c r="K25" s="2">
        <v>0</v>
      </c>
      <c r="L25" s="2">
        <v>3372</v>
      </c>
      <c r="M25" s="2">
        <v>163</v>
      </c>
      <c r="N25" s="2">
        <v>589</v>
      </c>
      <c r="O25" s="2">
        <f t="shared" si="2"/>
        <v>9857</v>
      </c>
      <c r="P25" s="2">
        <v>2185</v>
      </c>
      <c r="Q25" s="2">
        <v>5732</v>
      </c>
      <c r="R25" s="5">
        <f t="shared" si="1"/>
        <v>1940</v>
      </c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</row>
    <row r="26" spans="1:29" ht="18.75" customHeight="1">
      <c r="A26" s="4" t="s">
        <v>19</v>
      </c>
      <c r="B26" s="10">
        <v>44586</v>
      </c>
      <c r="C26" s="2">
        <v>420</v>
      </c>
      <c r="D26" s="2">
        <v>1031</v>
      </c>
      <c r="E26" s="2">
        <v>1281</v>
      </c>
      <c r="F26" s="2">
        <v>1130</v>
      </c>
      <c r="G26" s="2">
        <v>0</v>
      </c>
      <c r="H26" s="2">
        <v>0</v>
      </c>
      <c r="I26" s="2">
        <v>805</v>
      </c>
      <c r="J26" s="2">
        <v>0</v>
      </c>
      <c r="K26" s="2">
        <v>890</v>
      </c>
      <c r="L26" s="2">
        <v>3027</v>
      </c>
      <c r="M26" s="2">
        <v>193</v>
      </c>
      <c r="N26" s="2">
        <v>835</v>
      </c>
      <c r="O26" s="2">
        <f t="shared" si="2"/>
        <v>9612</v>
      </c>
      <c r="P26" s="2">
        <v>2305</v>
      </c>
      <c r="Q26" s="2">
        <v>3225</v>
      </c>
      <c r="R26" s="5">
        <f t="shared" si="1"/>
        <v>4082</v>
      </c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</row>
    <row r="27" spans="1:29" ht="18.75" customHeight="1">
      <c r="A27" s="4" t="s">
        <v>20</v>
      </c>
      <c r="B27" s="10">
        <v>44587</v>
      </c>
      <c r="C27" s="2">
        <v>700</v>
      </c>
      <c r="D27" s="2">
        <v>868</v>
      </c>
      <c r="E27" s="2">
        <v>445</v>
      </c>
      <c r="F27" s="2">
        <v>562</v>
      </c>
      <c r="G27" s="2">
        <v>0</v>
      </c>
      <c r="H27" s="2">
        <v>1145</v>
      </c>
      <c r="I27" s="2">
        <v>678</v>
      </c>
      <c r="J27" s="2">
        <v>0</v>
      </c>
      <c r="K27" s="2">
        <v>0</v>
      </c>
      <c r="L27" s="2">
        <v>5482</v>
      </c>
      <c r="M27" s="2">
        <v>0</v>
      </c>
      <c r="N27" s="2">
        <v>0</v>
      </c>
      <c r="O27" s="2">
        <f t="shared" si="2"/>
        <v>9880</v>
      </c>
      <c r="P27" s="2">
        <v>2170</v>
      </c>
      <c r="Q27" s="2">
        <v>3546</v>
      </c>
      <c r="R27" s="5">
        <f t="shared" si="1"/>
        <v>4164</v>
      </c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</row>
    <row r="28" spans="1:29" ht="18.75" customHeight="1">
      <c r="A28" s="4" t="s">
        <v>21</v>
      </c>
      <c r="B28" s="10">
        <v>44588</v>
      </c>
      <c r="C28" s="2">
        <v>1050</v>
      </c>
      <c r="D28" s="2">
        <v>1221</v>
      </c>
      <c r="E28" s="2">
        <v>680</v>
      </c>
      <c r="F28" s="2">
        <v>1132</v>
      </c>
      <c r="G28" s="2">
        <v>0</v>
      </c>
      <c r="H28" s="2">
        <v>700</v>
      </c>
      <c r="I28" s="2">
        <v>410</v>
      </c>
      <c r="J28" s="2">
        <v>0</v>
      </c>
      <c r="K28" s="2">
        <v>0</v>
      </c>
      <c r="L28" s="2">
        <v>2801</v>
      </c>
      <c r="M28" s="2">
        <v>89</v>
      </c>
      <c r="N28" s="2">
        <v>205</v>
      </c>
      <c r="O28" s="2">
        <f t="shared" si="2"/>
        <v>8288</v>
      </c>
      <c r="P28" s="2">
        <v>2070</v>
      </c>
      <c r="Q28" s="2">
        <v>4285</v>
      </c>
      <c r="R28" s="5">
        <f t="shared" si="1"/>
        <v>1933</v>
      </c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</row>
    <row r="29" spans="1:29" ht="18.75" customHeight="1">
      <c r="A29" s="4" t="s">
        <v>22</v>
      </c>
      <c r="B29" s="10">
        <v>44589</v>
      </c>
      <c r="C29" s="2">
        <v>550</v>
      </c>
      <c r="D29" s="2">
        <v>1070</v>
      </c>
      <c r="E29" s="2">
        <v>615</v>
      </c>
      <c r="F29" s="2">
        <v>1142</v>
      </c>
      <c r="G29" s="2">
        <v>0</v>
      </c>
      <c r="H29" s="2">
        <v>1759</v>
      </c>
      <c r="I29" s="2">
        <v>505</v>
      </c>
      <c r="J29" s="2">
        <v>0</v>
      </c>
      <c r="K29" s="2">
        <v>0</v>
      </c>
      <c r="L29" s="2">
        <v>6245</v>
      </c>
      <c r="M29" s="2">
        <v>1183</v>
      </c>
      <c r="N29" s="2">
        <v>150</v>
      </c>
      <c r="O29" s="2">
        <f t="shared" si="2"/>
        <v>13219</v>
      </c>
      <c r="P29" s="2">
        <v>2110</v>
      </c>
      <c r="Q29" s="2">
        <v>4538</v>
      </c>
      <c r="R29" s="5">
        <f t="shared" si="1"/>
        <v>6571</v>
      </c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</row>
    <row r="30" spans="1:29" ht="18.75" customHeight="1">
      <c r="A30" s="4" t="s">
        <v>23</v>
      </c>
      <c r="B30" s="10">
        <v>44590</v>
      </c>
      <c r="C30" s="2">
        <v>760</v>
      </c>
      <c r="D30" s="2">
        <v>1335</v>
      </c>
      <c r="E30" s="2">
        <v>114</v>
      </c>
      <c r="F30" s="2">
        <v>1129</v>
      </c>
      <c r="G30" s="2">
        <v>0</v>
      </c>
      <c r="H30" s="2">
        <v>2200</v>
      </c>
      <c r="I30" s="2">
        <v>0</v>
      </c>
      <c r="J30" s="2">
        <v>0</v>
      </c>
      <c r="K30" s="2">
        <v>0</v>
      </c>
      <c r="L30" s="2">
        <v>5503</v>
      </c>
      <c r="M30" s="2">
        <v>378</v>
      </c>
      <c r="N30" s="2">
        <v>0</v>
      </c>
      <c r="O30" s="2">
        <f t="shared" si="2"/>
        <v>11419</v>
      </c>
      <c r="P30" s="2">
        <v>2132</v>
      </c>
      <c r="Q30" s="2">
        <v>5794</v>
      </c>
      <c r="R30" s="5">
        <f t="shared" si="1"/>
        <v>3493</v>
      </c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</row>
    <row r="31" spans="1:29" ht="19.149999999999999" customHeight="1">
      <c r="A31" s="4" t="s">
        <v>17</v>
      </c>
      <c r="B31" s="10">
        <v>44591</v>
      </c>
      <c r="C31" s="2">
        <v>500</v>
      </c>
      <c r="D31" s="2">
        <v>150</v>
      </c>
      <c r="E31" s="2">
        <v>414</v>
      </c>
      <c r="F31" s="2">
        <v>1160</v>
      </c>
      <c r="G31" s="2">
        <v>0</v>
      </c>
      <c r="H31" s="2">
        <v>0</v>
      </c>
      <c r="I31" s="2">
        <v>865</v>
      </c>
      <c r="J31" s="2">
        <v>0</v>
      </c>
      <c r="K31" s="2">
        <v>865</v>
      </c>
      <c r="L31" s="2">
        <v>5772</v>
      </c>
      <c r="M31" s="2">
        <v>0</v>
      </c>
      <c r="N31" s="2">
        <v>0</v>
      </c>
      <c r="O31" s="2">
        <f t="shared" si="2"/>
        <v>9726</v>
      </c>
      <c r="P31" s="2">
        <v>2200</v>
      </c>
      <c r="Q31" s="2">
        <v>3437</v>
      </c>
      <c r="R31" s="5">
        <f t="shared" si="1"/>
        <v>4089</v>
      </c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</row>
    <row r="32" spans="1:29" ht="19.149999999999999" customHeight="1">
      <c r="A32" s="4" t="s">
        <v>18</v>
      </c>
      <c r="B32" s="10">
        <v>44592</v>
      </c>
      <c r="C32" s="2">
        <v>700</v>
      </c>
      <c r="D32" s="2">
        <v>1359</v>
      </c>
      <c r="E32" s="2">
        <v>320</v>
      </c>
      <c r="F32" s="2">
        <v>464</v>
      </c>
      <c r="G32" s="2">
        <v>0</v>
      </c>
      <c r="H32" s="2">
        <v>1175</v>
      </c>
      <c r="I32" s="2">
        <v>944</v>
      </c>
      <c r="J32" s="2">
        <v>0</v>
      </c>
      <c r="K32" s="2">
        <v>0</v>
      </c>
      <c r="L32" s="2">
        <v>3306</v>
      </c>
      <c r="M32" s="2">
        <v>0</v>
      </c>
      <c r="N32" s="2">
        <v>125</v>
      </c>
      <c r="O32" s="2">
        <f t="shared" si="2"/>
        <v>8393</v>
      </c>
      <c r="P32" s="2">
        <v>2205</v>
      </c>
      <c r="Q32" s="2">
        <v>5139</v>
      </c>
      <c r="R32" s="5">
        <f t="shared" si="1"/>
        <v>1049</v>
      </c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</row>
    <row r="33" spans="1:18" ht="18.75" customHeight="1">
      <c r="A33" s="6" t="s">
        <v>19</v>
      </c>
      <c r="B33" s="10">
        <v>44593</v>
      </c>
      <c r="C33" s="2">
        <v>710</v>
      </c>
      <c r="D33" s="2">
        <v>1610</v>
      </c>
      <c r="E33" s="2">
        <v>885</v>
      </c>
      <c r="F33" s="2">
        <v>1055</v>
      </c>
      <c r="G33" s="2">
        <v>0</v>
      </c>
      <c r="H33" s="2">
        <v>1504</v>
      </c>
      <c r="I33" s="2">
        <v>710</v>
      </c>
      <c r="J33" s="2">
        <v>0</v>
      </c>
      <c r="K33" s="2">
        <v>0</v>
      </c>
      <c r="L33" s="2">
        <v>3274</v>
      </c>
      <c r="M33" s="2">
        <v>0</v>
      </c>
      <c r="N33" s="2">
        <v>130</v>
      </c>
      <c r="O33" s="2">
        <f t="shared" si="2"/>
        <v>9878</v>
      </c>
      <c r="P33" s="2">
        <v>2080</v>
      </c>
      <c r="Q33" s="2">
        <v>3518</v>
      </c>
      <c r="R33" s="5">
        <f t="shared" si="1"/>
        <v>4280</v>
      </c>
    </row>
    <row r="34" spans="1:18" ht="18.75" customHeight="1">
      <c r="A34" s="6" t="s">
        <v>24</v>
      </c>
      <c r="B34" s="10">
        <v>44594</v>
      </c>
      <c r="C34" s="2">
        <v>940</v>
      </c>
      <c r="D34" s="2">
        <v>728</v>
      </c>
      <c r="E34" s="2">
        <v>375</v>
      </c>
      <c r="F34" s="2">
        <v>842</v>
      </c>
      <c r="G34" s="2">
        <v>0</v>
      </c>
      <c r="H34" s="2">
        <v>1549</v>
      </c>
      <c r="I34" s="2">
        <v>900</v>
      </c>
      <c r="J34" s="2">
        <v>0</v>
      </c>
      <c r="K34" s="2">
        <v>0</v>
      </c>
      <c r="L34" s="2">
        <v>3771</v>
      </c>
      <c r="M34" s="2">
        <v>0</v>
      </c>
      <c r="N34" s="2">
        <v>101</v>
      </c>
      <c r="O34" s="2">
        <f t="shared" si="2"/>
        <v>9206</v>
      </c>
      <c r="P34" s="2">
        <v>2035</v>
      </c>
      <c r="Q34" s="2">
        <v>4093</v>
      </c>
      <c r="R34" s="5">
        <f t="shared" si="1"/>
        <v>3078</v>
      </c>
    </row>
    <row r="35" spans="1:18" ht="18.75" customHeight="1">
      <c r="A35" s="6" t="s">
        <v>21</v>
      </c>
      <c r="B35" s="10">
        <v>44595</v>
      </c>
      <c r="C35" s="2">
        <v>610</v>
      </c>
      <c r="D35" s="2">
        <v>735</v>
      </c>
      <c r="E35" s="2">
        <v>448</v>
      </c>
      <c r="F35" s="2">
        <v>985</v>
      </c>
      <c r="G35" s="2">
        <v>0</v>
      </c>
      <c r="H35" s="2">
        <v>1010</v>
      </c>
      <c r="I35" s="2">
        <v>860</v>
      </c>
      <c r="J35" s="2">
        <v>0</v>
      </c>
      <c r="K35" s="2">
        <v>0</v>
      </c>
      <c r="L35" s="2">
        <v>2862</v>
      </c>
      <c r="M35" s="2">
        <v>0</v>
      </c>
      <c r="N35" s="2">
        <v>224</v>
      </c>
      <c r="O35" s="2">
        <f t="shared" si="2"/>
        <v>7734</v>
      </c>
      <c r="P35" s="2">
        <v>1960</v>
      </c>
      <c r="Q35" s="2">
        <v>3352</v>
      </c>
      <c r="R35" s="5">
        <f t="shared" si="1"/>
        <v>2422</v>
      </c>
    </row>
    <row r="36" spans="1:18" ht="18.75" customHeight="1">
      <c r="A36" s="6" t="s">
        <v>22</v>
      </c>
      <c r="B36" s="10">
        <v>44596</v>
      </c>
      <c r="C36" s="2">
        <v>650</v>
      </c>
      <c r="D36" s="2">
        <v>420</v>
      </c>
      <c r="E36" s="2">
        <v>1106</v>
      </c>
      <c r="F36" s="2">
        <v>976</v>
      </c>
      <c r="G36" s="2">
        <v>0</v>
      </c>
      <c r="H36" s="2">
        <v>1885</v>
      </c>
      <c r="I36" s="2">
        <v>1006</v>
      </c>
      <c r="J36" s="2">
        <v>0</v>
      </c>
      <c r="K36" s="2">
        <v>0</v>
      </c>
      <c r="L36" s="2">
        <v>5077</v>
      </c>
      <c r="M36" s="2">
        <v>292</v>
      </c>
      <c r="N36" s="2">
        <v>341</v>
      </c>
      <c r="O36" s="2">
        <f t="shared" si="2"/>
        <v>11753</v>
      </c>
      <c r="P36" s="2">
        <v>2260</v>
      </c>
      <c r="Q36" s="2">
        <v>5981</v>
      </c>
      <c r="R36" s="5">
        <f t="shared" si="1"/>
        <v>3512</v>
      </c>
    </row>
    <row r="37" spans="1:18" ht="18.75" customHeight="1">
      <c r="A37" s="6" t="s">
        <v>23</v>
      </c>
      <c r="B37" s="10">
        <v>44597</v>
      </c>
      <c r="C37" s="2">
        <v>320</v>
      </c>
      <c r="D37" s="2">
        <v>405</v>
      </c>
      <c r="E37" s="2">
        <v>790</v>
      </c>
      <c r="F37" s="2">
        <v>1440</v>
      </c>
      <c r="G37" s="2">
        <v>0</v>
      </c>
      <c r="H37" s="2">
        <v>2010</v>
      </c>
      <c r="I37" s="2">
        <v>827</v>
      </c>
      <c r="J37" s="2">
        <v>0</v>
      </c>
      <c r="K37" s="2">
        <v>0</v>
      </c>
      <c r="L37" s="2">
        <v>5437</v>
      </c>
      <c r="M37" s="2">
        <v>234</v>
      </c>
      <c r="N37" s="2">
        <v>0</v>
      </c>
      <c r="O37" s="2">
        <f t="shared" si="2"/>
        <v>11463</v>
      </c>
      <c r="P37" s="2">
        <v>2610</v>
      </c>
      <c r="Q37" s="2">
        <v>5623</v>
      </c>
      <c r="R37" s="5">
        <f t="shared" si="1"/>
        <v>3230</v>
      </c>
    </row>
    <row r="38" spans="1:18" ht="18.75" customHeight="1">
      <c r="A38" s="6" t="s">
        <v>17</v>
      </c>
      <c r="B38" s="10">
        <v>44598</v>
      </c>
      <c r="C38" s="2">
        <v>900</v>
      </c>
      <c r="D38" s="2">
        <v>584</v>
      </c>
      <c r="E38" s="2">
        <v>284</v>
      </c>
      <c r="F38" s="2">
        <v>1358</v>
      </c>
      <c r="G38" s="2">
        <v>0</v>
      </c>
      <c r="H38" s="2">
        <v>1668</v>
      </c>
      <c r="I38" s="2">
        <v>0</v>
      </c>
      <c r="J38" s="2">
        <v>0</v>
      </c>
      <c r="K38" s="2">
        <v>0</v>
      </c>
      <c r="L38" s="2">
        <v>4744</v>
      </c>
      <c r="M38" s="2">
        <v>0</v>
      </c>
      <c r="N38" s="2">
        <v>238</v>
      </c>
      <c r="O38" s="2">
        <f t="shared" si="2"/>
        <v>9776</v>
      </c>
      <c r="P38" s="2">
        <v>3980</v>
      </c>
      <c r="Q38" s="2">
        <v>2755</v>
      </c>
      <c r="R38" s="5">
        <f t="shared" si="1"/>
        <v>3041</v>
      </c>
    </row>
    <row r="39" spans="1:18" ht="18.75" customHeight="1">
      <c r="A39" s="6" t="s">
        <v>18</v>
      </c>
      <c r="B39" s="10">
        <v>44599</v>
      </c>
      <c r="C39" s="2">
        <v>600</v>
      </c>
      <c r="D39" s="2">
        <v>1789</v>
      </c>
      <c r="E39" s="2">
        <v>641</v>
      </c>
      <c r="F39" s="2">
        <v>402</v>
      </c>
      <c r="G39" s="2">
        <v>0</v>
      </c>
      <c r="H39" s="2">
        <v>1415</v>
      </c>
      <c r="I39" s="2">
        <v>0</v>
      </c>
      <c r="J39" s="2">
        <v>0</v>
      </c>
      <c r="K39" s="2">
        <v>0</v>
      </c>
      <c r="L39" s="2">
        <v>6031</v>
      </c>
      <c r="M39" s="2">
        <v>221</v>
      </c>
      <c r="N39" s="2">
        <v>438</v>
      </c>
      <c r="O39" s="2">
        <f t="shared" si="2"/>
        <v>11537</v>
      </c>
      <c r="P39" s="2">
        <v>2080</v>
      </c>
      <c r="Q39" s="2">
        <v>4294</v>
      </c>
      <c r="R39" s="5">
        <f t="shared" si="1"/>
        <v>5163</v>
      </c>
    </row>
    <row r="40" spans="1:18" ht="18.75" customHeight="1">
      <c r="A40" s="6" t="s">
        <v>19</v>
      </c>
      <c r="B40" s="10">
        <v>44600</v>
      </c>
      <c r="C40" s="2">
        <v>780</v>
      </c>
      <c r="D40" s="2">
        <v>364</v>
      </c>
      <c r="E40" s="2">
        <v>2295</v>
      </c>
      <c r="F40" s="2">
        <v>839</v>
      </c>
      <c r="G40" s="2">
        <v>0</v>
      </c>
      <c r="H40" s="2">
        <v>1200</v>
      </c>
      <c r="I40" s="2">
        <v>410</v>
      </c>
      <c r="J40" s="2">
        <v>0</v>
      </c>
      <c r="K40" s="2">
        <v>0</v>
      </c>
      <c r="L40" s="2">
        <v>4546</v>
      </c>
      <c r="M40" s="2">
        <v>204</v>
      </c>
      <c r="N40" s="2">
        <v>0</v>
      </c>
      <c r="O40" s="2">
        <f t="shared" si="2"/>
        <v>10638</v>
      </c>
      <c r="P40" s="2">
        <v>2290</v>
      </c>
      <c r="Q40" s="2">
        <v>3908</v>
      </c>
      <c r="R40" s="5">
        <f t="shared" si="1"/>
        <v>4440</v>
      </c>
    </row>
    <row r="41" spans="1:18" ht="18.75" customHeight="1">
      <c r="A41" s="6" t="s">
        <v>20</v>
      </c>
      <c r="B41" s="10">
        <v>44601</v>
      </c>
      <c r="C41" s="2">
        <v>1090</v>
      </c>
      <c r="D41" s="2">
        <v>1782</v>
      </c>
      <c r="E41" s="2">
        <v>624</v>
      </c>
      <c r="F41" s="2">
        <v>802</v>
      </c>
      <c r="G41" s="2">
        <v>0</v>
      </c>
      <c r="H41" s="2">
        <v>1043</v>
      </c>
      <c r="I41" s="2">
        <v>600</v>
      </c>
      <c r="J41" s="2">
        <v>0</v>
      </c>
      <c r="K41" s="2">
        <v>0</v>
      </c>
      <c r="L41" s="2">
        <v>4212</v>
      </c>
      <c r="M41" s="2">
        <v>141</v>
      </c>
      <c r="N41" s="2">
        <v>0</v>
      </c>
      <c r="O41" s="2">
        <f t="shared" si="2"/>
        <v>10294</v>
      </c>
      <c r="P41" s="2">
        <v>2760</v>
      </c>
      <c r="Q41" s="2">
        <v>4772</v>
      </c>
      <c r="R41" s="5">
        <f t="shared" si="1"/>
        <v>2762</v>
      </c>
    </row>
    <row r="42" spans="1:18" ht="18.75" customHeight="1">
      <c r="A42" s="6" t="s">
        <v>21</v>
      </c>
      <c r="B42" s="10">
        <v>44602</v>
      </c>
      <c r="C42" s="2">
        <v>800</v>
      </c>
      <c r="D42" s="2">
        <v>1422</v>
      </c>
      <c r="E42" s="2">
        <v>502</v>
      </c>
      <c r="F42" s="2">
        <v>1738</v>
      </c>
      <c r="G42" s="2">
        <v>0</v>
      </c>
      <c r="H42" s="2">
        <v>720</v>
      </c>
      <c r="I42" s="2">
        <v>950</v>
      </c>
      <c r="J42" s="2">
        <v>0</v>
      </c>
      <c r="K42" s="2">
        <v>0</v>
      </c>
      <c r="L42" s="2">
        <v>5890</v>
      </c>
      <c r="M42" s="2">
        <v>0</v>
      </c>
      <c r="N42" s="2">
        <v>0</v>
      </c>
      <c r="O42" s="2">
        <f t="shared" si="2"/>
        <v>12022</v>
      </c>
      <c r="P42" s="2">
        <v>2540</v>
      </c>
      <c r="Q42" s="2">
        <v>5616</v>
      </c>
      <c r="R42" s="5">
        <f t="shared" si="1"/>
        <v>3866</v>
      </c>
    </row>
    <row r="43" spans="1:18" ht="18.75" customHeight="1">
      <c r="A43" s="6" t="s">
        <v>22</v>
      </c>
      <c r="B43" s="10">
        <v>44603</v>
      </c>
      <c r="C43" s="2">
        <v>580</v>
      </c>
      <c r="D43" s="2">
        <v>440</v>
      </c>
      <c r="E43" s="2">
        <v>1816</v>
      </c>
      <c r="F43" s="2">
        <v>1935</v>
      </c>
      <c r="G43" s="2">
        <v>0</v>
      </c>
      <c r="H43" s="2">
        <v>1080</v>
      </c>
      <c r="I43" s="2">
        <v>857</v>
      </c>
      <c r="J43" s="2">
        <v>0</v>
      </c>
      <c r="K43" s="2">
        <v>0</v>
      </c>
      <c r="L43" s="2">
        <v>2986</v>
      </c>
      <c r="M43" s="2">
        <v>207</v>
      </c>
      <c r="N43" s="2">
        <v>302</v>
      </c>
      <c r="O43" s="2">
        <f t="shared" ref="O43:O60" si="3">SUM(C43:N43)</f>
        <v>10203</v>
      </c>
      <c r="P43" s="2">
        <v>2110</v>
      </c>
      <c r="Q43" s="2">
        <v>4209</v>
      </c>
      <c r="R43" s="5">
        <f t="shared" si="1"/>
        <v>3884</v>
      </c>
    </row>
    <row r="44" spans="1:18" ht="18.75" customHeight="1">
      <c r="A44" s="6" t="s">
        <v>23</v>
      </c>
      <c r="B44" s="10">
        <v>44604</v>
      </c>
      <c r="C44" s="2">
        <v>690</v>
      </c>
      <c r="D44" s="2">
        <v>1170</v>
      </c>
      <c r="E44" s="2">
        <v>452</v>
      </c>
      <c r="F44" s="2">
        <v>1806</v>
      </c>
      <c r="G44" s="2">
        <v>0</v>
      </c>
      <c r="H44" s="2">
        <v>500</v>
      </c>
      <c r="I44" s="2">
        <v>360</v>
      </c>
      <c r="J44" s="2">
        <v>0</v>
      </c>
      <c r="K44" s="2">
        <v>0</v>
      </c>
      <c r="L44" s="2">
        <v>6384</v>
      </c>
      <c r="M44" s="2">
        <v>0</v>
      </c>
      <c r="N44" s="2">
        <v>0</v>
      </c>
      <c r="O44" s="2">
        <f t="shared" si="3"/>
        <v>11362</v>
      </c>
      <c r="P44" s="2">
        <v>2240</v>
      </c>
      <c r="Q44" s="2">
        <v>5264</v>
      </c>
      <c r="R44" s="5">
        <f t="shared" si="1"/>
        <v>3858</v>
      </c>
    </row>
    <row r="45" spans="1:18" ht="18.75" customHeight="1">
      <c r="A45" s="6" t="s">
        <v>17</v>
      </c>
      <c r="B45" s="10">
        <v>44605</v>
      </c>
      <c r="C45" s="2">
        <v>840</v>
      </c>
      <c r="D45" s="2">
        <v>742</v>
      </c>
      <c r="E45" s="2">
        <v>0</v>
      </c>
      <c r="F45" s="2">
        <v>1086</v>
      </c>
      <c r="G45" s="2">
        <v>0</v>
      </c>
      <c r="H45" s="2">
        <v>1428</v>
      </c>
      <c r="I45" s="2">
        <v>444</v>
      </c>
      <c r="J45" s="2">
        <v>0</v>
      </c>
      <c r="K45" s="2">
        <v>0</v>
      </c>
      <c r="L45" s="2">
        <v>4585</v>
      </c>
      <c r="M45" s="2">
        <v>0</v>
      </c>
      <c r="N45" s="2">
        <v>0</v>
      </c>
      <c r="O45" s="2">
        <f t="shared" si="3"/>
        <v>9125</v>
      </c>
      <c r="P45" s="2">
        <v>3930</v>
      </c>
      <c r="Q45" s="2">
        <v>1892</v>
      </c>
      <c r="R45" s="5">
        <f t="shared" si="1"/>
        <v>3303</v>
      </c>
    </row>
    <row r="46" spans="1:18" ht="18.75" customHeight="1">
      <c r="A46" s="6" t="s">
        <v>18</v>
      </c>
      <c r="B46" s="10">
        <v>44606</v>
      </c>
      <c r="C46" s="2">
        <v>430</v>
      </c>
      <c r="D46" s="2">
        <v>1426</v>
      </c>
      <c r="E46" s="2">
        <v>957</v>
      </c>
      <c r="F46" s="2">
        <v>650</v>
      </c>
      <c r="G46" s="2">
        <v>0</v>
      </c>
      <c r="H46" s="2">
        <v>1505</v>
      </c>
      <c r="I46" s="2">
        <v>710</v>
      </c>
      <c r="J46" s="2">
        <v>0</v>
      </c>
      <c r="K46" s="2">
        <v>0</v>
      </c>
      <c r="L46" s="2">
        <v>4537</v>
      </c>
      <c r="M46" s="2">
        <v>654</v>
      </c>
      <c r="N46" s="2">
        <v>415</v>
      </c>
      <c r="O46" s="2">
        <f t="shared" si="3"/>
        <v>11284</v>
      </c>
      <c r="P46" s="2">
        <v>1980</v>
      </c>
      <c r="Q46" s="2">
        <v>7276</v>
      </c>
      <c r="R46" s="5">
        <f t="shared" si="1"/>
        <v>2028</v>
      </c>
    </row>
    <row r="47" spans="1:18" ht="18.75" customHeight="1">
      <c r="A47" s="6" t="s">
        <v>19</v>
      </c>
      <c r="B47" s="10">
        <v>44607</v>
      </c>
      <c r="C47" s="2">
        <v>600</v>
      </c>
      <c r="D47" s="2">
        <v>2183</v>
      </c>
      <c r="E47" s="2">
        <v>820</v>
      </c>
      <c r="F47" s="2">
        <v>1068</v>
      </c>
      <c r="G47" s="2">
        <v>0</v>
      </c>
      <c r="H47" s="2">
        <v>1720</v>
      </c>
      <c r="I47" s="2">
        <v>660</v>
      </c>
      <c r="J47" s="2">
        <v>0</v>
      </c>
      <c r="K47" s="2">
        <v>0</v>
      </c>
      <c r="L47" s="2">
        <v>2820</v>
      </c>
      <c r="M47" s="2">
        <v>605</v>
      </c>
      <c r="N47" s="2">
        <v>0</v>
      </c>
      <c r="O47" s="2">
        <f t="shared" si="3"/>
        <v>10476</v>
      </c>
      <c r="P47" s="2">
        <v>2310</v>
      </c>
      <c r="Q47" s="2">
        <v>3811</v>
      </c>
      <c r="R47" s="5">
        <f t="shared" si="1"/>
        <v>4355</v>
      </c>
    </row>
    <row r="48" spans="1:18" ht="18.75" customHeight="1">
      <c r="A48" s="6" t="s">
        <v>20</v>
      </c>
      <c r="B48" s="10">
        <v>44608</v>
      </c>
      <c r="C48" s="2">
        <v>580</v>
      </c>
      <c r="D48" s="2">
        <v>1229</v>
      </c>
      <c r="E48" s="2">
        <v>866</v>
      </c>
      <c r="F48" s="2">
        <v>1203</v>
      </c>
      <c r="G48" s="2">
        <v>0</v>
      </c>
      <c r="H48" s="2">
        <v>1383</v>
      </c>
      <c r="I48" s="2">
        <v>885</v>
      </c>
      <c r="J48" s="2">
        <v>0</v>
      </c>
      <c r="K48" s="2">
        <v>0</v>
      </c>
      <c r="L48" s="2">
        <v>2609</v>
      </c>
      <c r="M48" s="2">
        <v>1100</v>
      </c>
      <c r="N48" s="2">
        <v>279</v>
      </c>
      <c r="O48" s="2">
        <f t="shared" si="3"/>
        <v>10134</v>
      </c>
      <c r="P48" s="2">
        <v>2425</v>
      </c>
      <c r="Q48" s="2">
        <v>4284</v>
      </c>
      <c r="R48" s="5">
        <f t="shared" si="1"/>
        <v>3425</v>
      </c>
    </row>
    <row r="49" spans="1:18" ht="18.75" customHeight="1">
      <c r="A49" s="6" t="s">
        <v>21</v>
      </c>
      <c r="B49" s="10">
        <v>44609</v>
      </c>
      <c r="C49" s="2">
        <v>590</v>
      </c>
      <c r="D49" s="2">
        <v>1985</v>
      </c>
      <c r="E49" s="2">
        <v>1118</v>
      </c>
      <c r="F49" s="2">
        <v>1246</v>
      </c>
      <c r="G49" s="2">
        <v>0</v>
      </c>
      <c r="H49" s="2">
        <v>1775</v>
      </c>
      <c r="I49" s="2">
        <v>595</v>
      </c>
      <c r="J49" s="2">
        <v>0</v>
      </c>
      <c r="K49" s="2">
        <v>0</v>
      </c>
      <c r="L49" s="2">
        <v>4553</v>
      </c>
      <c r="M49" s="2">
        <v>220</v>
      </c>
      <c r="N49" s="2">
        <v>0</v>
      </c>
      <c r="O49" s="2">
        <f t="shared" si="3"/>
        <v>12082</v>
      </c>
      <c r="P49" s="2">
        <v>2170</v>
      </c>
      <c r="Q49" s="2">
        <v>4808</v>
      </c>
      <c r="R49" s="5">
        <f t="shared" si="1"/>
        <v>5104</v>
      </c>
    </row>
    <row r="50" spans="1:18" ht="18.75" customHeight="1">
      <c r="A50" s="6" t="s">
        <v>22</v>
      </c>
      <c r="B50" s="10">
        <v>44610</v>
      </c>
      <c r="C50" s="2">
        <v>900</v>
      </c>
      <c r="D50" s="2">
        <v>3119</v>
      </c>
      <c r="E50" s="2">
        <v>916</v>
      </c>
      <c r="F50" s="2">
        <v>1182</v>
      </c>
      <c r="G50" s="2">
        <v>0</v>
      </c>
      <c r="H50" s="2">
        <v>2045</v>
      </c>
      <c r="I50" s="2">
        <v>615</v>
      </c>
      <c r="J50" s="2">
        <v>0</v>
      </c>
      <c r="K50" s="2">
        <v>0</v>
      </c>
      <c r="L50" s="2">
        <v>4730</v>
      </c>
      <c r="M50" s="2">
        <v>692</v>
      </c>
      <c r="N50" s="2">
        <v>238</v>
      </c>
      <c r="O50" s="2">
        <f t="shared" si="3"/>
        <v>14437</v>
      </c>
      <c r="P50" s="2">
        <v>2270</v>
      </c>
      <c r="Q50" s="2">
        <v>5619</v>
      </c>
      <c r="R50" s="5">
        <f t="shared" si="1"/>
        <v>6548</v>
      </c>
    </row>
    <row r="51" spans="1:18" ht="18.75" customHeight="1">
      <c r="A51" s="6" t="s">
        <v>23</v>
      </c>
      <c r="B51" s="10">
        <v>44611</v>
      </c>
      <c r="C51" s="2">
        <v>430</v>
      </c>
      <c r="D51" s="2">
        <v>1463</v>
      </c>
      <c r="E51" s="2">
        <v>650</v>
      </c>
      <c r="F51" s="2">
        <v>390</v>
      </c>
      <c r="G51" s="2">
        <v>0</v>
      </c>
      <c r="H51" s="2">
        <v>1760</v>
      </c>
      <c r="I51" s="2">
        <v>580</v>
      </c>
      <c r="J51" s="2">
        <v>0</v>
      </c>
      <c r="K51" s="2">
        <v>0</v>
      </c>
      <c r="L51" s="2">
        <v>5706</v>
      </c>
      <c r="M51" s="2">
        <v>122</v>
      </c>
      <c r="N51" s="2">
        <v>207</v>
      </c>
      <c r="O51" s="2">
        <f t="shared" si="3"/>
        <v>11308</v>
      </c>
      <c r="P51" s="2">
        <v>2320</v>
      </c>
      <c r="Q51" s="2">
        <v>5502</v>
      </c>
      <c r="R51" s="5">
        <f t="shared" si="1"/>
        <v>3486</v>
      </c>
    </row>
    <row r="52" spans="1:18" ht="18.75" customHeight="1">
      <c r="A52" s="6" t="s">
        <v>17</v>
      </c>
      <c r="B52" s="10">
        <v>44612</v>
      </c>
      <c r="C52" s="2">
        <v>0</v>
      </c>
      <c r="D52" s="2">
        <v>1195</v>
      </c>
      <c r="E52" s="2">
        <v>815</v>
      </c>
      <c r="F52" s="2">
        <v>712</v>
      </c>
      <c r="G52" s="2">
        <v>0</v>
      </c>
      <c r="H52" s="2">
        <v>1005</v>
      </c>
      <c r="I52" s="2">
        <v>0</v>
      </c>
      <c r="J52" s="2">
        <v>0</v>
      </c>
      <c r="K52" s="2">
        <v>0</v>
      </c>
      <c r="L52" s="2">
        <v>9193</v>
      </c>
      <c r="M52" s="2">
        <v>511</v>
      </c>
      <c r="N52" s="2">
        <v>412</v>
      </c>
      <c r="O52" s="2">
        <f t="shared" si="3"/>
        <v>13843</v>
      </c>
      <c r="P52" s="2">
        <v>3400</v>
      </c>
      <c r="Q52" s="2">
        <v>4357</v>
      </c>
      <c r="R52" s="5">
        <f t="shared" si="1"/>
        <v>6086</v>
      </c>
    </row>
    <row r="53" spans="1:18" ht="18.75" customHeight="1">
      <c r="A53" s="6" t="s">
        <v>18</v>
      </c>
      <c r="B53" s="10">
        <v>44613</v>
      </c>
      <c r="C53" s="2">
        <v>600</v>
      </c>
      <c r="D53" s="2">
        <v>882</v>
      </c>
      <c r="E53" s="2">
        <v>325</v>
      </c>
      <c r="F53" s="2">
        <v>1320</v>
      </c>
      <c r="G53" s="2">
        <v>418</v>
      </c>
      <c r="H53" s="2">
        <v>1245</v>
      </c>
      <c r="I53" s="2">
        <v>1787</v>
      </c>
      <c r="J53" s="2">
        <v>0</v>
      </c>
      <c r="K53" s="2">
        <v>178</v>
      </c>
      <c r="L53" s="2">
        <v>4797</v>
      </c>
      <c r="M53" s="2">
        <v>167</v>
      </c>
      <c r="N53" s="2">
        <v>481</v>
      </c>
      <c r="O53" s="2">
        <f t="shared" si="3"/>
        <v>12200</v>
      </c>
      <c r="P53" s="2">
        <v>2140</v>
      </c>
      <c r="Q53" s="2">
        <v>5457</v>
      </c>
      <c r="R53" s="5">
        <f t="shared" si="1"/>
        <v>4603</v>
      </c>
    </row>
    <row r="54" spans="1:18" ht="18.75" customHeight="1">
      <c r="A54" s="6" t="s">
        <v>19</v>
      </c>
      <c r="B54" s="10">
        <v>44614</v>
      </c>
      <c r="C54" s="2">
        <v>790</v>
      </c>
      <c r="D54" s="2">
        <v>845</v>
      </c>
      <c r="E54" s="2">
        <v>566</v>
      </c>
      <c r="F54" s="2">
        <v>1356</v>
      </c>
      <c r="G54" s="2">
        <v>0</v>
      </c>
      <c r="H54" s="2">
        <v>1448</v>
      </c>
      <c r="I54" s="2">
        <v>330</v>
      </c>
      <c r="J54" s="2">
        <v>0</v>
      </c>
      <c r="K54" s="2">
        <v>800</v>
      </c>
      <c r="L54" s="2">
        <v>4578</v>
      </c>
      <c r="M54" s="2">
        <v>0</v>
      </c>
      <c r="N54" s="2">
        <v>80</v>
      </c>
      <c r="O54" s="2">
        <f t="shared" si="3"/>
        <v>10793</v>
      </c>
      <c r="P54" s="2">
        <v>2560</v>
      </c>
      <c r="Q54" s="2">
        <v>4146</v>
      </c>
      <c r="R54" s="5">
        <f t="shared" si="1"/>
        <v>4087</v>
      </c>
    </row>
    <row r="55" spans="1:18" ht="18.75" customHeight="1">
      <c r="A55" s="6" t="s">
        <v>20</v>
      </c>
      <c r="B55" s="10">
        <v>44615</v>
      </c>
      <c r="C55" s="2">
        <v>380</v>
      </c>
      <c r="D55" s="2">
        <v>1988</v>
      </c>
      <c r="E55" s="2">
        <v>614</v>
      </c>
      <c r="F55" s="2">
        <v>880</v>
      </c>
      <c r="G55" s="2">
        <v>0</v>
      </c>
      <c r="H55" s="2">
        <v>1345</v>
      </c>
      <c r="I55" s="2">
        <v>915</v>
      </c>
      <c r="J55" s="2">
        <v>0</v>
      </c>
      <c r="K55" s="2">
        <v>0</v>
      </c>
      <c r="L55" s="2">
        <v>4672</v>
      </c>
      <c r="M55" s="2">
        <v>0</v>
      </c>
      <c r="N55" s="2">
        <v>456</v>
      </c>
      <c r="O55" s="2">
        <f t="shared" si="3"/>
        <v>11250</v>
      </c>
      <c r="P55" s="2">
        <v>2331</v>
      </c>
      <c r="Q55" s="2">
        <v>4890</v>
      </c>
      <c r="R55" s="5">
        <f t="shared" si="1"/>
        <v>4029</v>
      </c>
    </row>
    <row r="56" spans="1:18" ht="18.75" customHeight="1">
      <c r="A56" s="6" t="s">
        <v>21</v>
      </c>
      <c r="B56" s="10">
        <v>44616</v>
      </c>
      <c r="C56" s="2">
        <v>500</v>
      </c>
      <c r="D56" s="2">
        <v>2102</v>
      </c>
      <c r="E56" s="2">
        <v>550</v>
      </c>
      <c r="F56" s="2">
        <v>1144</v>
      </c>
      <c r="G56" s="2">
        <v>0</v>
      </c>
      <c r="H56" s="2">
        <v>1290</v>
      </c>
      <c r="I56" s="2">
        <v>510</v>
      </c>
      <c r="J56" s="2">
        <v>0</v>
      </c>
      <c r="K56" s="2">
        <v>0</v>
      </c>
      <c r="L56" s="2">
        <v>5686</v>
      </c>
      <c r="M56" s="2">
        <v>0</v>
      </c>
      <c r="N56" s="2">
        <v>0</v>
      </c>
      <c r="O56" s="2">
        <f t="shared" si="3"/>
        <v>11782</v>
      </c>
      <c r="P56" s="2">
        <v>2410</v>
      </c>
      <c r="Q56" s="2">
        <v>6395</v>
      </c>
      <c r="R56" s="5">
        <f t="shared" si="1"/>
        <v>2977</v>
      </c>
    </row>
    <row r="57" spans="1:18" ht="18.75" customHeight="1">
      <c r="A57" s="6" t="s">
        <v>22</v>
      </c>
      <c r="B57" s="10">
        <v>44617</v>
      </c>
      <c r="C57" s="2">
        <v>590</v>
      </c>
      <c r="D57" s="2">
        <v>881</v>
      </c>
      <c r="E57" s="2">
        <v>651</v>
      </c>
      <c r="F57" s="2">
        <v>1878</v>
      </c>
      <c r="G57" s="2">
        <v>0</v>
      </c>
      <c r="H57" s="2">
        <v>1890</v>
      </c>
      <c r="I57" s="2">
        <v>1380</v>
      </c>
      <c r="J57" s="2">
        <v>0</v>
      </c>
      <c r="K57" s="2">
        <v>0</v>
      </c>
      <c r="L57" s="2">
        <v>6459</v>
      </c>
      <c r="M57" s="2">
        <v>208</v>
      </c>
      <c r="N57" s="2">
        <v>90</v>
      </c>
      <c r="O57" s="2">
        <f t="shared" si="3"/>
        <v>14027</v>
      </c>
      <c r="P57" s="2">
        <v>2170</v>
      </c>
      <c r="Q57" s="2">
        <v>5403</v>
      </c>
      <c r="R57" s="5">
        <f t="shared" si="1"/>
        <v>6454</v>
      </c>
    </row>
    <row r="58" spans="1:18" ht="18.75" customHeight="1">
      <c r="A58" s="6" t="s">
        <v>23</v>
      </c>
      <c r="B58" s="10">
        <v>44618</v>
      </c>
      <c r="C58" s="2">
        <v>762</v>
      </c>
      <c r="D58" s="2">
        <v>735</v>
      </c>
      <c r="E58" s="2">
        <v>397</v>
      </c>
      <c r="F58" s="2">
        <v>935</v>
      </c>
      <c r="G58" s="2">
        <v>0</v>
      </c>
      <c r="H58" s="2">
        <v>1037</v>
      </c>
      <c r="I58" s="2">
        <v>0</v>
      </c>
      <c r="J58" s="2">
        <v>0</v>
      </c>
      <c r="K58" s="2">
        <v>0</v>
      </c>
      <c r="L58" s="2">
        <v>6497</v>
      </c>
      <c r="M58" s="2">
        <v>0</v>
      </c>
      <c r="N58" s="2">
        <v>245</v>
      </c>
      <c r="O58" s="2">
        <f t="shared" si="3"/>
        <v>10608</v>
      </c>
      <c r="P58" s="2">
        <v>3900</v>
      </c>
      <c r="Q58" s="2">
        <v>5240</v>
      </c>
      <c r="R58" s="5">
        <f t="shared" si="1"/>
        <v>1468</v>
      </c>
    </row>
    <row r="59" spans="1:18" ht="18.75" customHeight="1">
      <c r="A59" s="6" t="s">
        <v>17</v>
      </c>
      <c r="B59" s="10">
        <v>44619</v>
      </c>
      <c r="C59" s="2">
        <v>250</v>
      </c>
      <c r="D59" s="2">
        <v>900</v>
      </c>
      <c r="E59" s="2">
        <v>875</v>
      </c>
      <c r="F59" s="2">
        <v>1225</v>
      </c>
      <c r="G59" s="2">
        <v>0</v>
      </c>
      <c r="H59" s="2">
        <v>1000</v>
      </c>
      <c r="I59" s="2">
        <v>0</v>
      </c>
      <c r="J59" s="2">
        <v>0</v>
      </c>
      <c r="K59" s="2">
        <v>0</v>
      </c>
      <c r="L59" s="2">
        <v>7697</v>
      </c>
      <c r="M59" s="2">
        <v>562</v>
      </c>
      <c r="N59" s="2">
        <v>0</v>
      </c>
      <c r="O59" s="2">
        <f t="shared" si="3"/>
        <v>12509</v>
      </c>
      <c r="P59" s="2">
        <v>2485</v>
      </c>
      <c r="Q59" s="2">
        <v>5211</v>
      </c>
      <c r="R59" s="5">
        <f t="shared" si="1"/>
        <v>4813</v>
      </c>
    </row>
    <row r="60" spans="1:18" ht="18.75" customHeight="1">
      <c r="A60" s="6" t="s">
        <v>18</v>
      </c>
      <c r="B60" s="10">
        <v>44620</v>
      </c>
      <c r="C60" s="2">
        <v>880</v>
      </c>
      <c r="D60" s="2">
        <v>898</v>
      </c>
      <c r="E60" s="2">
        <v>404</v>
      </c>
      <c r="F60" s="2">
        <v>1396</v>
      </c>
      <c r="G60" s="2">
        <v>0</v>
      </c>
      <c r="H60" s="2">
        <v>1250</v>
      </c>
      <c r="I60" s="2">
        <v>890</v>
      </c>
      <c r="J60" s="2">
        <v>0</v>
      </c>
      <c r="K60" s="2">
        <v>0</v>
      </c>
      <c r="L60" s="2">
        <v>2717</v>
      </c>
      <c r="M60" s="2">
        <v>119</v>
      </c>
      <c r="N60" s="2">
        <v>103</v>
      </c>
      <c r="O60" s="2">
        <f t="shared" si="3"/>
        <v>8657</v>
      </c>
      <c r="P60" s="2">
        <v>2075</v>
      </c>
      <c r="Q60" s="2">
        <v>7493</v>
      </c>
      <c r="R60" s="5">
        <f t="shared" si="1"/>
        <v>-911</v>
      </c>
    </row>
    <row r="61" spans="1:18" ht="18.75" customHeight="1">
      <c r="A61" s="6" t="s">
        <v>19</v>
      </c>
      <c r="B61" s="20">
        <v>44621</v>
      </c>
      <c r="C61" s="2">
        <v>390</v>
      </c>
      <c r="D61" s="2">
        <v>575</v>
      </c>
      <c r="E61" s="2">
        <v>643</v>
      </c>
      <c r="F61" s="2">
        <v>1122</v>
      </c>
      <c r="G61" s="2">
        <v>0</v>
      </c>
      <c r="H61" s="2">
        <v>1218</v>
      </c>
      <c r="I61" s="2">
        <v>850</v>
      </c>
      <c r="J61" s="2">
        <v>0</v>
      </c>
      <c r="K61" s="2">
        <v>0</v>
      </c>
      <c r="L61" s="2">
        <v>4572</v>
      </c>
      <c r="M61" s="2">
        <v>335</v>
      </c>
      <c r="N61" s="2">
        <v>581</v>
      </c>
      <c r="O61" s="2">
        <f>O93</f>
        <v>18994</v>
      </c>
      <c r="P61" s="2">
        <v>2180</v>
      </c>
      <c r="Q61" s="2">
        <v>5103</v>
      </c>
      <c r="R61" s="5">
        <f t="shared" si="1"/>
        <v>11711</v>
      </c>
    </row>
    <row r="62" spans="1:18" ht="18.75" customHeight="1">
      <c r="A62" s="6" t="s">
        <v>24</v>
      </c>
      <c r="B62" s="20">
        <v>44622</v>
      </c>
      <c r="C62" s="2">
        <v>830</v>
      </c>
      <c r="D62" s="2">
        <v>1198</v>
      </c>
      <c r="E62" s="2">
        <v>514</v>
      </c>
      <c r="F62" s="2">
        <v>528</v>
      </c>
      <c r="G62" s="2">
        <v>0</v>
      </c>
      <c r="H62" s="2">
        <v>1225</v>
      </c>
      <c r="I62" s="2">
        <v>460</v>
      </c>
      <c r="J62" s="2">
        <v>0</v>
      </c>
      <c r="K62" s="2">
        <v>0</v>
      </c>
      <c r="L62" s="2">
        <v>6263</v>
      </c>
      <c r="M62" s="2">
        <v>46</v>
      </c>
      <c r="N62" s="2">
        <v>293</v>
      </c>
      <c r="O62" s="2">
        <f t="shared" ref="O62:O93" si="4">SUM(C62:N62)</f>
        <v>11357</v>
      </c>
      <c r="P62" s="2">
        <v>3140</v>
      </c>
      <c r="Q62" s="2">
        <v>5169</v>
      </c>
      <c r="R62" s="5">
        <f t="shared" si="1"/>
        <v>3048</v>
      </c>
    </row>
    <row r="63" spans="1:18" ht="18.75" customHeight="1">
      <c r="A63" s="6" t="s">
        <v>21</v>
      </c>
      <c r="B63" s="20">
        <v>44623</v>
      </c>
      <c r="C63" s="2">
        <v>867</v>
      </c>
      <c r="D63" s="2">
        <v>1379</v>
      </c>
      <c r="E63" s="2">
        <v>320</v>
      </c>
      <c r="F63" s="2">
        <v>892</v>
      </c>
      <c r="G63" s="2">
        <v>0</v>
      </c>
      <c r="H63" s="2">
        <v>1255</v>
      </c>
      <c r="I63" s="2">
        <v>1350</v>
      </c>
      <c r="J63" s="2">
        <v>0</v>
      </c>
      <c r="K63" s="2">
        <v>0</v>
      </c>
      <c r="L63" s="2">
        <v>3859</v>
      </c>
      <c r="M63" s="2">
        <v>48</v>
      </c>
      <c r="N63" s="2">
        <v>0</v>
      </c>
      <c r="O63" s="2">
        <f t="shared" si="4"/>
        <v>9970</v>
      </c>
      <c r="P63" s="2">
        <v>2215</v>
      </c>
      <c r="Q63" s="2">
        <v>6844</v>
      </c>
      <c r="R63" s="5">
        <f t="shared" si="1"/>
        <v>911</v>
      </c>
    </row>
    <row r="64" spans="1:18" ht="18.75" customHeight="1">
      <c r="A64" s="6" t="s">
        <v>22</v>
      </c>
      <c r="B64" s="20">
        <v>44624</v>
      </c>
      <c r="C64" s="2">
        <v>390</v>
      </c>
      <c r="D64" s="2">
        <v>1295</v>
      </c>
      <c r="E64" s="2">
        <v>380</v>
      </c>
      <c r="F64" s="2">
        <v>657</v>
      </c>
      <c r="G64" s="2">
        <v>0</v>
      </c>
      <c r="H64" s="2">
        <v>1090</v>
      </c>
      <c r="I64" s="2">
        <v>722</v>
      </c>
      <c r="J64" s="2">
        <v>0</v>
      </c>
      <c r="K64" s="2">
        <v>0</v>
      </c>
      <c r="L64" s="2">
        <v>4862</v>
      </c>
      <c r="M64" s="2">
        <v>609</v>
      </c>
      <c r="N64" s="2">
        <v>0</v>
      </c>
      <c r="O64" s="2">
        <f t="shared" si="4"/>
        <v>10005</v>
      </c>
      <c r="P64" s="2">
        <v>2280</v>
      </c>
      <c r="Q64" s="2">
        <v>4900</v>
      </c>
      <c r="R64" s="5">
        <f t="shared" si="1"/>
        <v>2825</v>
      </c>
    </row>
    <row r="65" spans="1:18" ht="18.75" customHeight="1">
      <c r="A65" s="6" t="s">
        <v>23</v>
      </c>
      <c r="B65" s="20">
        <v>44625</v>
      </c>
      <c r="C65" s="2">
        <v>560</v>
      </c>
      <c r="D65" s="2">
        <v>1734</v>
      </c>
      <c r="E65" s="2">
        <v>878</v>
      </c>
      <c r="F65" s="2">
        <v>954</v>
      </c>
      <c r="G65" s="2">
        <v>0</v>
      </c>
      <c r="H65" s="2">
        <v>1160</v>
      </c>
      <c r="I65" s="2">
        <v>485</v>
      </c>
      <c r="J65" s="2">
        <v>0</v>
      </c>
      <c r="K65" s="2">
        <v>0</v>
      </c>
      <c r="L65" s="2">
        <v>5571</v>
      </c>
      <c r="M65" s="2">
        <v>0</v>
      </c>
      <c r="N65" s="2">
        <v>123</v>
      </c>
      <c r="O65" s="2">
        <f t="shared" si="4"/>
        <v>11465</v>
      </c>
      <c r="P65" s="2">
        <v>2230</v>
      </c>
      <c r="Q65" s="2">
        <v>3122</v>
      </c>
      <c r="R65" s="5">
        <f t="shared" si="1"/>
        <v>6113</v>
      </c>
    </row>
    <row r="66" spans="1:18" ht="18.75" customHeight="1">
      <c r="A66" s="6" t="s">
        <v>17</v>
      </c>
      <c r="B66" s="20">
        <v>44626</v>
      </c>
      <c r="C66" s="2">
        <v>390</v>
      </c>
      <c r="D66" s="2">
        <v>1144</v>
      </c>
      <c r="E66" s="2">
        <v>0</v>
      </c>
      <c r="F66" s="2">
        <v>2234</v>
      </c>
      <c r="G66" s="2">
        <v>0</v>
      </c>
      <c r="H66" s="2">
        <v>2695</v>
      </c>
      <c r="I66" s="2">
        <v>0</v>
      </c>
      <c r="J66" s="2">
        <v>0</v>
      </c>
      <c r="K66" s="2">
        <v>0</v>
      </c>
      <c r="L66" s="2">
        <v>5838</v>
      </c>
      <c r="M66" s="2">
        <v>0</v>
      </c>
      <c r="N66" s="2">
        <v>0</v>
      </c>
      <c r="O66" s="2">
        <f t="shared" si="4"/>
        <v>12301</v>
      </c>
      <c r="P66" s="2">
        <v>3160</v>
      </c>
      <c r="Q66" s="2">
        <v>5967</v>
      </c>
      <c r="R66" s="5">
        <f t="shared" si="1"/>
        <v>3174</v>
      </c>
    </row>
    <row r="67" spans="1:18" ht="18.75" customHeight="1">
      <c r="A67" s="6" t="s">
        <v>18</v>
      </c>
      <c r="B67" s="20">
        <v>44627</v>
      </c>
      <c r="C67" s="2">
        <v>570</v>
      </c>
      <c r="D67" s="2">
        <v>510</v>
      </c>
      <c r="E67" s="2">
        <v>1418</v>
      </c>
      <c r="F67" s="2">
        <v>1383</v>
      </c>
      <c r="G67" s="2">
        <v>0</v>
      </c>
      <c r="H67" s="2">
        <v>1286</v>
      </c>
      <c r="I67" s="2">
        <v>560</v>
      </c>
      <c r="J67" s="2">
        <v>0</v>
      </c>
      <c r="K67" s="2">
        <v>0</v>
      </c>
      <c r="L67" s="2">
        <v>3868</v>
      </c>
      <c r="M67" s="2">
        <v>46</v>
      </c>
      <c r="N67" s="2">
        <v>50</v>
      </c>
      <c r="O67" s="2">
        <f t="shared" si="4"/>
        <v>9691</v>
      </c>
      <c r="P67" s="2">
        <v>2290</v>
      </c>
      <c r="Q67" s="2">
        <v>6055</v>
      </c>
      <c r="R67" s="5">
        <f t="shared" ref="R67:R130" si="5">O67-P67-Q67</f>
        <v>1346</v>
      </c>
    </row>
    <row r="68" spans="1:18" ht="18.75" customHeight="1">
      <c r="A68" s="6" t="s">
        <v>19</v>
      </c>
      <c r="B68" s="20">
        <v>44628</v>
      </c>
      <c r="C68" s="2">
        <v>465</v>
      </c>
      <c r="D68" s="2">
        <v>1752</v>
      </c>
      <c r="E68" s="2">
        <v>355</v>
      </c>
      <c r="F68" s="2">
        <v>896</v>
      </c>
      <c r="G68" s="2">
        <v>0</v>
      </c>
      <c r="H68" s="2">
        <v>1194</v>
      </c>
      <c r="I68" s="2">
        <v>735</v>
      </c>
      <c r="J68" s="2">
        <v>0</v>
      </c>
      <c r="K68" s="2">
        <v>0</v>
      </c>
      <c r="L68" s="2">
        <v>3492</v>
      </c>
      <c r="M68" s="2">
        <v>151</v>
      </c>
      <c r="N68" s="2">
        <v>444</v>
      </c>
      <c r="O68" s="2">
        <f t="shared" si="4"/>
        <v>9484</v>
      </c>
      <c r="P68" s="2">
        <v>2478</v>
      </c>
      <c r="Q68" s="2">
        <v>4984</v>
      </c>
      <c r="R68" s="5">
        <f t="shared" si="5"/>
        <v>2022</v>
      </c>
    </row>
    <row r="69" spans="1:18" ht="18.75" customHeight="1">
      <c r="A69" s="6" t="s">
        <v>20</v>
      </c>
      <c r="B69" s="20">
        <v>44629</v>
      </c>
      <c r="C69" s="2">
        <v>450</v>
      </c>
      <c r="D69" s="2">
        <v>860</v>
      </c>
      <c r="E69" s="2">
        <v>766</v>
      </c>
      <c r="F69" s="2">
        <v>804</v>
      </c>
      <c r="G69" s="2">
        <v>0</v>
      </c>
      <c r="H69" s="2">
        <v>1705</v>
      </c>
      <c r="I69" s="2">
        <v>1090</v>
      </c>
      <c r="J69" s="2">
        <v>0</v>
      </c>
      <c r="K69" s="2">
        <v>0</v>
      </c>
      <c r="L69" s="2">
        <v>3107</v>
      </c>
      <c r="M69" s="2">
        <v>344</v>
      </c>
      <c r="N69" s="2">
        <v>460</v>
      </c>
      <c r="O69" s="2">
        <f t="shared" si="4"/>
        <v>9586</v>
      </c>
      <c r="P69" s="2">
        <v>2485</v>
      </c>
      <c r="Q69" s="2">
        <v>3492</v>
      </c>
      <c r="R69" s="5">
        <f t="shared" si="5"/>
        <v>3609</v>
      </c>
    </row>
    <row r="70" spans="1:18" ht="18.75" customHeight="1">
      <c r="A70" s="6" t="s">
        <v>21</v>
      </c>
      <c r="B70" s="20">
        <v>44630</v>
      </c>
      <c r="C70" s="2">
        <v>660</v>
      </c>
      <c r="D70" s="2">
        <v>510</v>
      </c>
      <c r="E70" s="2">
        <v>640</v>
      </c>
      <c r="F70" s="2">
        <v>1268</v>
      </c>
      <c r="G70" s="2">
        <v>0</v>
      </c>
      <c r="H70" s="2">
        <v>1188</v>
      </c>
      <c r="I70" s="2">
        <v>1102</v>
      </c>
      <c r="J70" s="2">
        <v>0</v>
      </c>
      <c r="K70" s="2">
        <v>0</v>
      </c>
      <c r="L70" s="2">
        <v>3083</v>
      </c>
      <c r="M70" s="2">
        <v>83</v>
      </c>
      <c r="N70" s="2">
        <v>78</v>
      </c>
      <c r="O70" s="2">
        <f t="shared" si="4"/>
        <v>8612</v>
      </c>
      <c r="P70" s="2">
        <v>2555</v>
      </c>
      <c r="Q70" s="2">
        <v>5673</v>
      </c>
      <c r="R70" s="5">
        <f t="shared" si="5"/>
        <v>384</v>
      </c>
    </row>
    <row r="71" spans="1:18" ht="18.75" customHeight="1">
      <c r="A71" s="6" t="s">
        <v>22</v>
      </c>
      <c r="B71" s="20">
        <v>44631</v>
      </c>
      <c r="C71" s="2">
        <v>450</v>
      </c>
      <c r="D71" s="2">
        <v>715</v>
      </c>
      <c r="E71" s="2">
        <v>126</v>
      </c>
      <c r="F71" s="2">
        <v>1484</v>
      </c>
      <c r="G71" s="2">
        <v>849</v>
      </c>
      <c r="H71" s="2">
        <v>1384</v>
      </c>
      <c r="I71" s="2">
        <v>840</v>
      </c>
      <c r="J71" s="2">
        <v>0</v>
      </c>
      <c r="K71" s="2">
        <v>0</v>
      </c>
      <c r="L71" s="2">
        <v>2937</v>
      </c>
      <c r="M71" s="2">
        <v>281</v>
      </c>
      <c r="N71" s="2">
        <v>0</v>
      </c>
      <c r="O71" s="2">
        <f t="shared" si="4"/>
        <v>9066</v>
      </c>
      <c r="P71" s="2">
        <v>2235</v>
      </c>
      <c r="Q71" s="2">
        <v>4562</v>
      </c>
      <c r="R71" s="5">
        <f t="shared" si="5"/>
        <v>2269</v>
      </c>
    </row>
    <row r="72" spans="1:18" ht="18.75" customHeight="1">
      <c r="A72" s="6" t="s">
        <v>23</v>
      </c>
      <c r="B72" s="20">
        <v>44632</v>
      </c>
      <c r="C72" s="2">
        <v>500</v>
      </c>
      <c r="D72" s="2">
        <v>0</v>
      </c>
      <c r="E72" s="2">
        <v>0</v>
      </c>
      <c r="F72" s="2">
        <v>1447</v>
      </c>
      <c r="G72" s="2">
        <v>0</v>
      </c>
      <c r="H72" s="2">
        <v>1400</v>
      </c>
      <c r="I72" s="2">
        <v>1470</v>
      </c>
      <c r="J72" s="2">
        <v>0</v>
      </c>
      <c r="K72" s="2">
        <v>0</v>
      </c>
      <c r="L72" s="2">
        <v>4553</v>
      </c>
      <c r="M72" s="2">
        <v>546</v>
      </c>
      <c r="N72" s="2">
        <v>0</v>
      </c>
      <c r="O72" s="2">
        <f t="shared" si="4"/>
        <v>9916</v>
      </c>
      <c r="P72" s="2">
        <v>3390</v>
      </c>
      <c r="Q72" s="2">
        <v>5291</v>
      </c>
      <c r="R72" s="5">
        <f t="shared" si="5"/>
        <v>1235</v>
      </c>
    </row>
    <row r="73" spans="1:18" ht="18.75" customHeight="1">
      <c r="A73" s="6" t="s">
        <v>17</v>
      </c>
      <c r="B73" s="20">
        <v>44633</v>
      </c>
      <c r="C73" s="2">
        <v>400</v>
      </c>
      <c r="D73" s="2">
        <v>578</v>
      </c>
      <c r="E73" s="2">
        <v>0</v>
      </c>
      <c r="F73" s="2">
        <v>1674</v>
      </c>
      <c r="G73" s="2">
        <v>0</v>
      </c>
      <c r="H73" s="2">
        <v>0</v>
      </c>
      <c r="I73" s="2">
        <v>995</v>
      </c>
      <c r="J73" s="2">
        <v>0</v>
      </c>
      <c r="K73" s="2">
        <v>0</v>
      </c>
      <c r="L73" s="2">
        <v>4457</v>
      </c>
      <c r="M73" s="2">
        <v>0</v>
      </c>
      <c r="N73" s="2">
        <v>0</v>
      </c>
      <c r="O73" s="2">
        <f t="shared" si="4"/>
        <v>8104</v>
      </c>
      <c r="P73" s="2">
        <v>3690</v>
      </c>
      <c r="Q73" s="2">
        <v>1989</v>
      </c>
      <c r="R73" s="5">
        <f t="shared" si="5"/>
        <v>2425</v>
      </c>
    </row>
    <row r="74" spans="1:18" ht="18.75" customHeight="1">
      <c r="A74" s="6" t="s">
        <v>18</v>
      </c>
      <c r="B74" s="20">
        <v>44634</v>
      </c>
      <c r="C74" s="2">
        <v>340</v>
      </c>
      <c r="D74" s="2">
        <v>1225</v>
      </c>
      <c r="E74" s="2">
        <v>820</v>
      </c>
      <c r="F74" s="2">
        <v>1268</v>
      </c>
      <c r="G74" s="2">
        <v>0</v>
      </c>
      <c r="H74" s="2">
        <v>841</v>
      </c>
      <c r="I74" s="2">
        <v>715</v>
      </c>
      <c r="J74" s="2">
        <v>0</v>
      </c>
      <c r="K74" s="2">
        <v>0</v>
      </c>
      <c r="L74" s="2">
        <v>4300</v>
      </c>
      <c r="M74" s="2">
        <v>92</v>
      </c>
      <c r="N74" s="2">
        <v>0</v>
      </c>
      <c r="O74" s="2">
        <f t="shared" si="4"/>
        <v>9601</v>
      </c>
      <c r="P74" s="2">
        <v>2460</v>
      </c>
      <c r="Q74" s="2">
        <v>5881</v>
      </c>
      <c r="R74" s="5">
        <f t="shared" si="5"/>
        <v>1260</v>
      </c>
    </row>
    <row r="75" spans="1:18" ht="18.75" customHeight="1">
      <c r="A75" s="6" t="s">
        <v>19</v>
      </c>
      <c r="B75" s="20">
        <v>44635</v>
      </c>
      <c r="C75" s="2">
        <v>560</v>
      </c>
      <c r="D75" s="2">
        <v>750</v>
      </c>
      <c r="E75" s="2">
        <v>1378</v>
      </c>
      <c r="F75" s="2">
        <v>1539</v>
      </c>
      <c r="G75" s="2">
        <v>0</v>
      </c>
      <c r="H75" s="2">
        <v>1256</v>
      </c>
      <c r="I75" s="2">
        <v>925</v>
      </c>
      <c r="J75" s="2">
        <v>0</v>
      </c>
      <c r="K75" s="2">
        <v>0</v>
      </c>
      <c r="L75" s="2">
        <v>3442</v>
      </c>
      <c r="M75" s="2">
        <v>69</v>
      </c>
      <c r="N75" s="2">
        <v>0</v>
      </c>
      <c r="O75" s="2">
        <f t="shared" si="4"/>
        <v>9919</v>
      </c>
      <c r="P75" s="2">
        <v>2341</v>
      </c>
      <c r="Q75" s="2">
        <v>4509</v>
      </c>
      <c r="R75" s="5">
        <f t="shared" si="5"/>
        <v>3069</v>
      </c>
    </row>
    <row r="76" spans="1:18" ht="18.75" customHeight="1">
      <c r="A76" s="6" t="s">
        <v>20</v>
      </c>
      <c r="B76" s="20">
        <v>44636</v>
      </c>
      <c r="C76" s="2">
        <v>360</v>
      </c>
      <c r="D76" s="2">
        <v>630</v>
      </c>
      <c r="E76" s="2">
        <v>792</v>
      </c>
      <c r="F76" s="2">
        <v>1101</v>
      </c>
      <c r="G76" s="2">
        <v>0</v>
      </c>
      <c r="H76" s="2">
        <v>745</v>
      </c>
      <c r="I76" s="2">
        <v>885</v>
      </c>
      <c r="J76" s="2">
        <v>0</v>
      </c>
      <c r="K76" s="2">
        <v>0</v>
      </c>
      <c r="L76" s="2">
        <v>3610</v>
      </c>
      <c r="M76" s="2">
        <v>396</v>
      </c>
      <c r="N76" s="2">
        <v>0</v>
      </c>
      <c r="O76" s="2">
        <f t="shared" si="4"/>
        <v>8519</v>
      </c>
      <c r="P76" s="2">
        <v>2340</v>
      </c>
      <c r="Q76" s="2">
        <v>3861</v>
      </c>
      <c r="R76" s="5">
        <f t="shared" si="5"/>
        <v>2318</v>
      </c>
    </row>
    <row r="77" spans="1:18" ht="18.75" customHeight="1">
      <c r="A77" s="6" t="s">
        <v>21</v>
      </c>
      <c r="B77" s="20">
        <v>44637</v>
      </c>
      <c r="C77" s="2">
        <v>690</v>
      </c>
      <c r="D77" s="2">
        <v>1254</v>
      </c>
      <c r="E77" s="2">
        <v>670</v>
      </c>
      <c r="F77" s="2">
        <v>1133</v>
      </c>
      <c r="G77" s="2">
        <v>0</v>
      </c>
      <c r="H77" s="2">
        <v>1285</v>
      </c>
      <c r="I77" s="2">
        <v>1361</v>
      </c>
      <c r="J77" s="2">
        <v>0</v>
      </c>
      <c r="K77" s="2">
        <v>0</v>
      </c>
      <c r="L77" s="2">
        <v>4959</v>
      </c>
      <c r="M77" s="2">
        <v>214</v>
      </c>
      <c r="N77" s="2">
        <v>0</v>
      </c>
      <c r="O77" s="2">
        <f t="shared" si="4"/>
        <v>11566</v>
      </c>
      <c r="P77" s="2">
        <v>2115</v>
      </c>
      <c r="Q77" s="2">
        <v>3833</v>
      </c>
      <c r="R77" s="5">
        <f t="shared" si="5"/>
        <v>5618</v>
      </c>
    </row>
    <row r="78" spans="1:18" ht="18.75" customHeight="1">
      <c r="A78" s="6" t="s">
        <v>22</v>
      </c>
      <c r="B78" s="20">
        <v>44638</v>
      </c>
      <c r="C78" s="2">
        <v>490</v>
      </c>
      <c r="D78" s="2">
        <v>940</v>
      </c>
      <c r="E78" s="2">
        <v>185</v>
      </c>
      <c r="F78" s="2">
        <v>906</v>
      </c>
      <c r="G78" s="2">
        <v>0</v>
      </c>
      <c r="H78" s="2">
        <v>1082</v>
      </c>
      <c r="I78" s="2">
        <v>710</v>
      </c>
      <c r="J78" s="2">
        <v>0</v>
      </c>
      <c r="K78" s="2">
        <v>0</v>
      </c>
      <c r="L78" s="2">
        <v>2901</v>
      </c>
      <c r="M78" s="2">
        <v>101</v>
      </c>
      <c r="N78" s="2">
        <v>649</v>
      </c>
      <c r="O78" s="2">
        <f t="shared" si="4"/>
        <v>7964</v>
      </c>
      <c r="P78" s="2">
        <v>2280</v>
      </c>
      <c r="Q78" s="2">
        <v>5736</v>
      </c>
      <c r="R78" s="5">
        <f t="shared" si="5"/>
        <v>-52</v>
      </c>
    </row>
    <row r="79" spans="1:18" ht="18.75" customHeight="1">
      <c r="A79" s="6" t="s">
        <v>23</v>
      </c>
      <c r="B79" s="20">
        <v>44639</v>
      </c>
      <c r="C79" s="2">
        <v>700</v>
      </c>
      <c r="D79" s="2">
        <v>1895</v>
      </c>
      <c r="E79" s="2">
        <v>516</v>
      </c>
      <c r="F79" s="2">
        <v>1672</v>
      </c>
      <c r="G79" s="2">
        <v>0</v>
      </c>
      <c r="H79" s="2">
        <v>1480</v>
      </c>
      <c r="I79" s="2">
        <v>808</v>
      </c>
      <c r="J79" s="2">
        <v>0</v>
      </c>
      <c r="K79" s="2">
        <v>0</v>
      </c>
      <c r="L79" s="2">
        <v>5440</v>
      </c>
      <c r="M79" s="2">
        <v>0</v>
      </c>
      <c r="N79" s="2">
        <v>524</v>
      </c>
      <c r="O79" s="2">
        <f t="shared" si="4"/>
        <v>13035</v>
      </c>
      <c r="P79" s="2">
        <v>2480</v>
      </c>
      <c r="Q79" s="2">
        <v>5102</v>
      </c>
      <c r="R79" s="5">
        <f t="shared" si="5"/>
        <v>5453</v>
      </c>
    </row>
    <row r="80" spans="1:18" ht="18.75" customHeight="1">
      <c r="A80" s="6" t="s">
        <v>17</v>
      </c>
      <c r="B80" s="20">
        <v>44640</v>
      </c>
      <c r="C80" s="2">
        <v>670</v>
      </c>
      <c r="D80" s="2">
        <v>500</v>
      </c>
      <c r="E80" s="2">
        <v>664</v>
      </c>
      <c r="F80" s="2">
        <v>1962</v>
      </c>
      <c r="G80" s="2">
        <v>0</v>
      </c>
      <c r="H80" s="2">
        <v>1220</v>
      </c>
      <c r="I80" s="2">
        <v>288</v>
      </c>
      <c r="J80" s="2">
        <v>0</v>
      </c>
      <c r="K80" s="2">
        <v>0</v>
      </c>
      <c r="L80" s="2">
        <v>9299</v>
      </c>
      <c r="M80" s="2">
        <v>1663</v>
      </c>
      <c r="N80" s="2">
        <v>961</v>
      </c>
      <c r="O80" s="2">
        <f t="shared" si="4"/>
        <v>17227</v>
      </c>
      <c r="P80" s="2">
        <v>4280</v>
      </c>
      <c r="Q80" s="2">
        <v>3115</v>
      </c>
      <c r="R80" s="5">
        <f t="shared" si="5"/>
        <v>9832</v>
      </c>
    </row>
    <row r="81" spans="1:18" ht="18.75" customHeight="1">
      <c r="A81" s="6" t="s">
        <v>18</v>
      </c>
      <c r="B81" s="20">
        <v>44641</v>
      </c>
      <c r="C81" s="2">
        <v>711</v>
      </c>
      <c r="D81" s="2">
        <v>750</v>
      </c>
      <c r="E81" s="2">
        <v>1123</v>
      </c>
      <c r="F81" s="2">
        <v>2073</v>
      </c>
      <c r="G81" s="2">
        <v>0</v>
      </c>
      <c r="H81" s="2">
        <v>1545</v>
      </c>
      <c r="I81" s="2">
        <v>500</v>
      </c>
      <c r="J81" s="2">
        <v>0</v>
      </c>
      <c r="K81" s="2">
        <v>0</v>
      </c>
      <c r="L81" s="2">
        <v>10304</v>
      </c>
      <c r="M81" s="2">
        <v>257</v>
      </c>
      <c r="N81" s="2">
        <v>145</v>
      </c>
      <c r="O81" s="2">
        <f t="shared" si="4"/>
        <v>17408</v>
      </c>
      <c r="P81" s="2">
        <v>2730</v>
      </c>
      <c r="Q81" s="2">
        <v>8941</v>
      </c>
      <c r="R81" s="5">
        <f t="shared" si="5"/>
        <v>5737</v>
      </c>
    </row>
    <row r="82" spans="1:18" ht="18.75" customHeight="1">
      <c r="A82" s="6" t="s">
        <v>19</v>
      </c>
      <c r="B82" s="20">
        <v>44642</v>
      </c>
      <c r="C82" s="2">
        <v>990</v>
      </c>
      <c r="D82" s="2">
        <v>1530</v>
      </c>
      <c r="E82" s="2">
        <v>514</v>
      </c>
      <c r="F82" s="2">
        <v>1710</v>
      </c>
      <c r="G82" s="2">
        <v>0</v>
      </c>
      <c r="H82" s="2">
        <v>1280</v>
      </c>
      <c r="I82" s="2">
        <v>525</v>
      </c>
      <c r="J82" s="2">
        <v>0</v>
      </c>
      <c r="K82" s="2">
        <v>0</v>
      </c>
      <c r="L82" s="2">
        <v>4021</v>
      </c>
      <c r="M82" s="2">
        <v>0</v>
      </c>
      <c r="N82" s="2">
        <v>160</v>
      </c>
      <c r="O82" s="2">
        <f t="shared" si="4"/>
        <v>10730</v>
      </c>
      <c r="P82" s="2">
        <v>2505</v>
      </c>
      <c r="Q82" s="2">
        <v>4337</v>
      </c>
      <c r="R82" s="5">
        <f t="shared" si="5"/>
        <v>3888</v>
      </c>
    </row>
    <row r="83" spans="1:18" ht="18.75" customHeight="1">
      <c r="A83" s="6" t="s">
        <v>20</v>
      </c>
      <c r="B83" s="20">
        <v>44643</v>
      </c>
      <c r="C83" s="2">
        <v>1024</v>
      </c>
      <c r="D83" s="2">
        <v>1040</v>
      </c>
      <c r="E83" s="2">
        <v>954</v>
      </c>
      <c r="F83" s="2">
        <v>1418</v>
      </c>
      <c r="G83" s="2">
        <v>0</v>
      </c>
      <c r="H83" s="2">
        <v>1240</v>
      </c>
      <c r="I83" s="2">
        <v>593</v>
      </c>
      <c r="J83" s="2">
        <v>0</v>
      </c>
      <c r="K83" s="2">
        <v>0</v>
      </c>
      <c r="L83" s="2">
        <v>4449</v>
      </c>
      <c r="M83" s="2">
        <v>0</v>
      </c>
      <c r="N83" s="2">
        <v>0</v>
      </c>
      <c r="O83" s="2">
        <f t="shared" si="4"/>
        <v>10718</v>
      </c>
      <c r="P83" s="2">
        <v>2530</v>
      </c>
      <c r="Q83" s="2">
        <v>4472</v>
      </c>
      <c r="R83" s="5">
        <f t="shared" si="5"/>
        <v>3716</v>
      </c>
    </row>
    <row r="84" spans="1:18" ht="18.75" customHeight="1">
      <c r="A84" s="6" t="s">
        <v>21</v>
      </c>
      <c r="B84" s="20">
        <v>44644</v>
      </c>
      <c r="C84" s="2">
        <v>650</v>
      </c>
      <c r="D84" s="2">
        <v>665</v>
      </c>
      <c r="E84" s="2">
        <v>514</v>
      </c>
      <c r="F84" s="2">
        <v>1146</v>
      </c>
      <c r="G84" s="2">
        <v>740</v>
      </c>
      <c r="H84" s="2">
        <v>815</v>
      </c>
      <c r="I84" s="2">
        <v>270</v>
      </c>
      <c r="J84" s="2">
        <v>0</v>
      </c>
      <c r="K84" s="2">
        <v>0</v>
      </c>
      <c r="L84" s="2">
        <v>5292</v>
      </c>
      <c r="M84" s="2">
        <v>0</v>
      </c>
      <c r="N84" s="2">
        <v>80</v>
      </c>
      <c r="O84" s="2">
        <f t="shared" si="4"/>
        <v>10172</v>
      </c>
      <c r="P84" s="2">
        <v>2400</v>
      </c>
      <c r="Q84" s="2">
        <v>5387</v>
      </c>
      <c r="R84" s="5">
        <f t="shared" si="5"/>
        <v>2385</v>
      </c>
    </row>
    <row r="85" spans="1:18" ht="18.75" customHeight="1">
      <c r="A85" s="6" t="s">
        <v>22</v>
      </c>
      <c r="B85" s="20">
        <v>44645</v>
      </c>
      <c r="C85" s="2">
        <v>575</v>
      </c>
      <c r="D85" s="2">
        <v>1300</v>
      </c>
      <c r="E85" s="2">
        <v>690</v>
      </c>
      <c r="F85" s="2">
        <v>840</v>
      </c>
      <c r="G85" s="2">
        <v>980</v>
      </c>
      <c r="H85" s="2">
        <v>605</v>
      </c>
      <c r="I85" s="2">
        <v>183</v>
      </c>
      <c r="J85" s="2">
        <v>0</v>
      </c>
      <c r="K85" s="2">
        <v>1396</v>
      </c>
      <c r="L85" s="2">
        <v>5637</v>
      </c>
      <c r="M85" s="2">
        <v>0</v>
      </c>
      <c r="N85" s="2">
        <v>0</v>
      </c>
      <c r="O85" s="2">
        <f t="shared" si="4"/>
        <v>12206</v>
      </c>
      <c r="P85" s="2">
        <v>2590</v>
      </c>
      <c r="Q85" s="2">
        <v>5497.5</v>
      </c>
      <c r="R85" s="5">
        <f t="shared" si="5"/>
        <v>4118.5</v>
      </c>
    </row>
    <row r="86" spans="1:18" ht="18.75" customHeight="1">
      <c r="A86" s="6" t="s">
        <v>23</v>
      </c>
      <c r="B86" s="20">
        <v>44646</v>
      </c>
      <c r="C86" s="2">
        <v>778</v>
      </c>
      <c r="D86" s="2">
        <v>805</v>
      </c>
      <c r="E86" s="2">
        <v>704</v>
      </c>
      <c r="F86" s="2">
        <v>1330</v>
      </c>
      <c r="G86" s="2">
        <v>880</v>
      </c>
      <c r="H86" s="2">
        <v>645</v>
      </c>
      <c r="I86" s="2">
        <v>1134</v>
      </c>
      <c r="J86" s="2">
        <v>0</v>
      </c>
      <c r="K86" s="2">
        <v>0</v>
      </c>
      <c r="L86" s="2">
        <v>7526</v>
      </c>
      <c r="M86" s="2">
        <v>0</v>
      </c>
      <c r="N86" s="2">
        <v>0</v>
      </c>
      <c r="O86" s="2">
        <f t="shared" si="4"/>
        <v>13802</v>
      </c>
      <c r="P86" s="2">
        <v>2475</v>
      </c>
      <c r="Q86" s="2">
        <v>5211.5</v>
      </c>
      <c r="R86" s="5">
        <f t="shared" si="5"/>
        <v>6115.5</v>
      </c>
    </row>
    <row r="87" spans="1:18" ht="18.75" customHeight="1">
      <c r="A87" s="6" t="s">
        <v>17</v>
      </c>
      <c r="B87" s="20">
        <v>44647</v>
      </c>
      <c r="C87" s="2">
        <v>1155</v>
      </c>
      <c r="D87" s="2">
        <v>367</v>
      </c>
      <c r="E87" s="2">
        <v>835</v>
      </c>
      <c r="F87" s="2">
        <v>1478</v>
      </c>
      <c r="G87" s="2">
        <v>920</v>
      </c>
      <c r="H87" s="2">
        <v>2752</v>
      </c>
      <c r="I87" s="2">
        <v>1120</v>
      </c>
      <c r="J87" s="2">
        <v>0</v>
      </c>
      <c r="K87" s="2">
        <v>0</v>
      </c>
      <c r="L87" s="2">
        <v>9492</v>
      </c>
      <c r="M87" s="2">
        <v>0</v>
      </c>
      <c r="N87" s="2">
        <v>0</v>
      </c>
      <c r="O87" s="2">
        <f t="shared" si="4"/>
        <v>18119</v>
      </c>
      <c r="P87" s="2">
        <v>4370</v>
      </c>
      <c r="Q87" s="2">
        <v>7730</v>
      </c>
      <c r="R87" s="5">
        <f t="shared" si="5"/>
        <v>6019</v>
      </c>
    </row>
    <row r="88" spans="1:18" ht="18.75" customHeight="1">
      <c r="A88" s="6" t="s">
        <v>18</v>
      </c>
      <c r="B88" s="20">
        <v>44648</v>
      </c>
      <c r="C88" s="2">
        <v>1000</v>
      </c>
      <c r="D88" s="2">
        <v>837</v>
      </c>
      <c r="E88" s="2">
        <v>530</v>
      </c>
      <c r="F88" s="2">
        <v>1284</v>
      </c>
      <c r="G88" s="2">
        <v>994</v>
      </c>
      <c r="H88" s="2">
        <v>1300</v>
      </c>
      <c r="I88" s="2">
        <v>478</v>
      </c>
      <c r="J88" s="2">
        <v>0</v>
      </c>
      <c r="K88" s="2">
        <v>1379</v>
      </c>
      <c r="L88" s="2">
        <v>2614</v>
      </c>
      <c r="M88" s="2">
        <v>0</v>
      </c>
      <c r="N88" s="2">
        <v>0</v>
      </c>
      <c r="O88" s="2">
        <f t="shared" si="4"/>
        <v>10416</v>
      </c>
      <c r="P88" s="2">
        <v>2655</v>
      </c>
      <c r="Q88" s="2">
        <v>5292</v>
      </c>
      <c r="R88" s="5">
        <f t="shared" si="5"/>
        <v>2469</v>
      </c>
    </row>
    <row r="89" spans="1:18" ht="18.75" customHeight="1">
      <c r="A89" s="6" t="s">
        <v>19</v>
      </c>
      <c r="B89" s="20">
        <v>44649</v>
      </c>
      <c r="C89" s="2">
        <v>680</v>
      </c>
      <c r="D89" s="2">
        <v>1142</v>
      </c>
      <c r="E89" s="2">
        <v>1025</v>
      </c>
      <c r="F89" s="2">
        <v>1672</v>
      </c>
      <c r="G89" s="2">
        <v>647</v>
      </c>
      <c r="H89" s="2">
        <v>331</v>
      </c>
      <c r="I89" s="2">
        <v>1530</v>
      </c>
      <c r="J89" s="2">
        <v>0</v>
      </c>
      <c r="K89" s="2">
        <v>658</v>
      </c>
      <c r="L89" s="2">
        <v>3629</v>
      </c>
      <c r="M89" s="2">
        <v>0</v>
      </c>
      <c r="N89" s="2">
        <v>0</v>
      </c>
      <c r="O89" s="2">
        <f t="shared" si="4"/>
        <v>11314</v>
      </c>
      <c r="P89" s="2">
        <v>2835</v>
      </c>
      <c r="Q89" s="2">
        <v>5107</v>
      </c>
      <c r="R89" s="5">
        <f t="shared" si="5"/>
        <v>3372</v>
      </c>
    </row>
    <row r="90" spans="1:18" ht="18.75" customHeight="1">
      <c r="A90" s="6" t="s">
        <v>20</v>
      </c>
      <c r="B90" s="20">
        <v>44650</v>
      </c>
      <c r="C90" s="2">
        <v>550</v>
      </c>
      <c r="D90" s="2">
        <v>711</v>
      </c>
      <c r="E90" s="2">
        <v>378</v>
      </c>
      <c r="F90" s="2">
        <v>760</v>
      </c>
      <c r="G90" s="2">
        <v>1285</v>
      </c>
      <c r="H90" s="2">
        <v>1270</v>
      </c>
      <c r="I90" s="2">
        <v>1410</v>
      </c>
      <c r="J90" s="2">
        <v>0</v>
      </c>
      <c r="K90" s="2">
        <v>0</v>
      </c>
      <c r="L90" s="2">
        <v>6613</v>
      </c>
      <c r="M90" s="2">
        <v>0</v>
      </c>
      <c r="N90" s="2">
        <v>0</v>
      </c>
      <c r="O90" s="2">
        <f t="shared" si="4"/>
        <v>12977</v>
      </c>
      <c r="P90" s="2">
        <v>2575</v>
      </c>
      <c r="Q90" s="2">
        <v>5004</v>
      </c>
      <c r="R90" s="5">
        <f t="shared" si="5"/>
        <v>5398</v>
      </c>
    </row>
    <row r="91" spans="1:18" ht="18.75" customHeight="1">
      <c r="A91" s="6" t="s">
        <v>21</v>
      </c>
      <c r="B91" s="20">
        <v>44651</v>
      </c>
      <c r="C91" s="2">
        <v>905</v>
      </c>
      <c r="D91" s="2">
        <v>1024</v>
      </c>
      <c r="E91" s="2">
        <v>865</v>
      </c>
      <c r="F91" s="2">
        <v>1869</v>
      </c>
      <c r="G91" s="2">
        <v>1620</v>
      </c>
      <c r="H91" s="2">
        <v>780</v>
      </c>
      <c r="I91" s="2">
        <v>460</v>
      </c>
      <c r="J91" s="2">
        <v>0</v>
      </c>
      <c r="K91" s="2">
        <v>0</v>
      </c>
      <c r="L91" s="2">
        <v>4862</v>
      </c>
      <c r="M91" s="2">
        <v>0</v>
      </c>
      <c r="N91" s="2">
        <v>0</v>
      </c>
      <c r="O91" s="2">
        <f t="shared" si="4"/>
        <v>12385</v>
      </c>
      <c r="P91" s="2">
        <v>3625</v>
      </c>
      <c r="Q91" s="2">
        <v>8119</v>
      </c>
      <c r="R91" s="5">
        <f t="shared" si="5"/>
        <v>641</v>
      </c>
    </row>
    <row r="92" spans="1:18" ht="18.75" customHeight="1">
      <c r="A92" s="6" t="s">
        <v>22</v>
      </c>
      <c r="B92" s="20">
        <v>44652</v>
      </c>
      <c r="C92" s="2">
        <v>1018</v>
      </c>
      <c r="D92" s="2">
        <v>820</v>
      </c>
      <c r="E92" s="2">
        <v>2050</v>
      </c>
      <c r="F92" s="2">
        <v>600</v>
      </c>
      <c r="G92" s="2">
        <v>0</v>
      </c>
      <c r="H92" s="2">
        <v>668</v>
      </c>
      <c r="I92" s="2">
        <v>560</v>
      </c>
      <c r="J92" s="2">
        <v>0</v>
      </c>
      <c r="K92" s="2">
        <v>0</v>
      </c>
      <c r="L92" s="2">
        <v>8095</v>
      </c>
      <c r="M92" s="2">
        <v>0</v>
      </c>
      <c r="N92" s="2">
        <v>0</v>
      </c>
      <c r="O92" s="2">
        <f t="shared" si="4"/>
        <v>13811</v>
      </c>
      <c r="P92" s="2">
        <v>3305</v>
      </c>
      <c r="Q92" s="2">
        <v>4239.5</v>
      </c>
      <c r="R92" s="5">
        <f t="shared" si="5"/>
        <v>6266.5</v>
      </c>
    </row>
    <row r="93" spans="1:18" ht="18.75" customHeight="1">
      <c r="A93" s="6" t="s">
        <v>16</v>
      </c>
      <c r="B93" s="20">
        <v>44653</v>
      </c>
      <c r="C93" s="2">
        <v>1850</v>
      </c>
      <c r="D93" s="2">
        <v>1296</v>
      </c>
      <c r="E93" s="2">
        <v>756</v>
      </c>
      <c r="F93" s="2">
        <v>1445</v>
      </c>
      <c r="G93" s="2">
        <v>2123</v>
      </c>
      <c r="H93" s="2">
        <v>0</v>
      </c>
      <c r="I93" s="2">
        <v>935</v>
      </c>
      <c r="J93" s="2">
        <v>0</v>
      </c>
      <c r="K93" s="2">
        <v>720</v>
      </c>
      <c r="L93" s="2">
        <v>9869</v>
      </c>
      <c r="M93" s="2">
        <v>0</v>
      </c>
      <c r="N93" s="2">
        <v>0</v>
      </c>
      <c r="O93" s="2">
        <f t="shared" si="4"/>
        <v>18994</v>
      </c>
      <c r="P93" s="2">
        <v>3490</v>
      </c>
      <c r="Q93" s="2">
        <v>7129</v>
      </c>
      <c r="R93" s="5">
        <f t="shared" si="5"/>
        <v>8375</v>
      </c>
    </row>
    <row r="94" spans="1:18" ht="18.75" customHeight="1">
      <c r="A94" s="6" t="s">
        <v>17</v>
      </c>
      <c r="B94" s="20">
        <v>44654</v>
      </c>
      <c r="C94" s="2">
        <v>1826</v>
      </c>
      <c r="D94" s="2">
        <v>1405</v>
      </c>
      <c r="E94" s="2">
        <v>380</v>
      </c>
      <c r="F94" s="2">
        <v>1430</v>
      </c>
      <c r="G94" s="2">
        <v>2394</v>
      </c>
      <c r="H94" s="2">
        <v>0</v>
      </c>
      <c r="I94" s="2">
        <v>1082</v>
      </c>
      <c r="J94" s="2">
        <v>0</v>
      </c>
      <c r="K94" s="2">
        <v>1100</v>
      </c>
      <c r="L94" s="2">
        <v>10349</v>
      </c>
      <c r="M94" s="2">
        <v>0</v>
      </c>
      <c r="N94" s="2">
        <v>0</v>
      </c>
      <c r="O94" s="2">
        <f t="shared" ref="O94:O121" si="6">SUM(C94:N94)</f>
        <v>19966</v>
      </c>
      <c r="P94" s="2">
        <v>5125</v>
      </c>
      <c r="Q94" s="2">
        <v>5704.5</v>
      </c>
      <c r="R94" s="5">
        <f t="shared" si="5"/>
        <v>9136.5</v>
      </c>
    </row>
    <row r="95" spans="1:18" ht="18.75" customHeight="1">
      <c r="A95" s="6" t="s">
        <v>18</v>
      </c>
      <c r="B95" s="20">
        <v>44655</v>
      </c>
      <c r="C95" s="2">
        <v>691</v>
      </c>
      <c r="D95" s="2">
        <v>1000</v>
      </c>
      <c r="E95" s="2">
        <v>630</v>
      </c>
      <c r="F95" s="2">
        <v>1170</v>
      </c>
      <c r="G95" s="2">
        <v>1170</v>
      </c>
      <c r="H95" s="2">
        <v>0</v>
      </c>
      <c r="I95" s="2">
        <v>1150</v>
      </c>
      <c r="J95" s="2">
        <v>0</v>
      </c>
      <c r="K95" s="2">
        <v>435</v>
      </c>
      <c r="L95" s="2">
        <v>8165</v>
      </c>
      <c r="M95" s="2">
        <v>0</v>
      </c>
      <c r="N95" s="2">
        <v>0</v>
      </c>
      <c r="O95" s="2">
        <f t="shared" si="6"/>
        <v>14411</v>
      </c>
      <c r="P95" s="2">
        <v>3080</v>
      </c>
      <c r="Q95" s="2">
        <v>8962</v>
      </c>
      <c r="R95" s="5">
        <f t="shared" si="5"/>
        <v>2369</v>
      </c>
    </row>
    <row r="96" spans="1:18" ht="18.75" customHeight="1">
      <c r="A96" s="6" t="s">
        <v>19</v>
      </c>
      <c r="B96" s="20">
        <v>44656</v>
      </c>
      <c r="C96" s="2">
        <v>440</v>
      </c>
      <c r="D96" s="2">
        <v>1376</v>
      </c>
      <c r="E96" s="2">
        <v>720</v>
      </c>
      <c r="F96" s="2">
        <v>728</v>
      </c>
      <c r="G96" s="2">
        <v>1478</v>
      </c>
      <c r="H96" s="2">
        <v>516</v>
      </c>
      <c r="I96" s="2">
        <v>1245</v>
      </c>
      <c r="J96" s="2">
        <v>0</v>
      </c>
      <c r="K96" s="2">
        <v>0</v>
      </c>
      <c r="L96" s="2">
        <v>8253</v>
      </c>
      <c r="M96" s="2">
        <v>0</v>
      </c>
      <c r="N96" s="2">
        <v>0</v>
      </c>
      <c r="O96" s="2">
        <f t="shared" si="6"/>
        <v>14756</v>
      </c>
      <c r="P96" s="2">
        <v>2780</v>
      </c>
      <c r="Q96" s="2">
        <v>4927</v>
      </c>
      <c r="R96" s="5">
        <f t="shared" si="5"/>
        <v>7049</v>
      </c>
    </row>
    <row r="97" spans="1:18" ht="18.75" customHeight="1">
      <c r="A97" s="6" t="s">
        <v>20</v>
      </c>
      <c r="B97" s="20">
        <v>44657</v>
      </c>
      <c r="C97" s="2">
        <v>1413</v>
      </c>
      <c r="D97" s="2">
        <v>400</v>
      </c>
      <c r="E97" s="2">
        <v>1465</v>
      </c>
      <c r="F97" s="2">
        <v>1056</v>
      </c>
      <c r="G97" s="2">
        <v>880</v>
      </c>
      <c r="H97" s="2">
        <v>450</v>
      </c>
      <c r="I97" s="2">
        <v>1765</v>
      </c>
      <c r="J97" s="2">
        <v>0</v>
      </c>
      <c r="K97" s="2">
        <v>0</v>
      </c>
      <c r="L97" s="2">
        <v>5446</v>
      </c>
      <c r="M97" s="2">
        <v>0</v>
      </c>
      <c r="N97" s="2">
        <v>0</v>
      </c>
      <c r="O97" s="2">
        <f t="shared" si="6"/>
        <v>12875</v>
      </c>
      <c r="P97" s="2">
        <v>2885</v>
      </c>
      <c r="Q97" s="2">
        <v>5124</v>
      </c>
      <c r="R97" s="5">
        <f t="shared" si="5"/>
        <v>4866</v>
      </c>
    </row>
    <row r="98" spans="1:18" ht="18.75" customHeight="1">
      <c r="A98" s="6" t="s">
        <v>21</v>
      </c>
      <c r="B98" s="20">
        <v>44658</v>
      </c>
      <c r="C98" s="2">
        <v>420</v>
      </c>
      <c r="D98" s="2">
        <v>900</v>
      </c>
      <c r="E98" s="2">
        <v>1670</v>
      </c>
      <c r="F98" s="2">
        <v>326</v>
      </c>
      <c r="G98" s="2">
        <v>1524</v>
      </c>
      <c r="H98" s="2">
        <v>578</v>
      </c>
      <c r="I98" s="2">
        <v>890</v>
      </c>
      <c r="J98" s="2">
        <v>0</v>
      </c>
      <c r="K98" s="2">
        <v>0</v>
      </c>
      <c r="L98" s="2">
        <v>7536</v>
      </c>
      <c r="M98" s="2">
        <v>0</v>
      </c>
      <c r="N98" s="2">
        <v>0</v>
      </c>
      <c r="O98" s="2">
        <f t="shared" si="6"/>
        <v>13844</v>
      </c>
      <c r="P98" s="2">
        <v>2995</v>
      </c>
      <c r="Q98" s="2">
        <v>8312</v>
      </c>
      <c r="R98" s="5">
        <f t="shared" si="5"/>
        <v>2537</v>
      </c>
    </row>
    <row r="99" spans="1:18" ht="18.75" customHeight="1">
      <c r="A99" s="6" t="s">
        <v>22</v>
      </c>
      <c r="B99" s="20">
        <v>44659</v>
      </c>
      <c r="C99" s="2">
        <v>330</v>
      </c>
      <c r="D99" s="2">
        <v>1325</v>
      </c>
      <c r="E99" s="2">
        <v>1612</v>
      </c>
      <c r="F99" s="2">
        <v>1283</v>
      </c>
      <c r="G99" s="2">
        <v>2180</v>
      </c>
      <c r="H99" s="2">
        <v>745</v>
      </c>
      <c r="I99" s="2">
        <v>1875</v>
      </c>
      <c r="J99" s="2">
        <v>0</v>
      </c>
      <c r="K99" s="2">
        <v>0</v>
      </c>
      <c r="L99" s="2">
        <v>9511</v>
      </c>
      <c r="M99" s="2">
        <v>0</v>
      </c>
      <c r="N99" s="2">
        <v>0</v>
      </c>
      <c r="O99" s="2">
        <f t="shared" si="6"/>
        <v>18861</v>
      </c>
      <c r="P99" s="2">
        <v>3820</v>
      </c>
      <c r="Q99" s="2">
        <v>9284</v>
      </c>
      <c r="R99" s="5">
        <f t="shared" si="5"/>
        <v>5757</v>
      </c>
    </row>
    <row r="100" spans="1:18" ht="18.75" customHeight="1">
      <c r="A100" s="6" t="s">
        <v>23</v>
      </c>
      <c r="B100" s="20">
        <v>44660</v>
      </c>
      <c r="C100" s="2">
        <v>355</v>
      </c>
      <c r="D100" s="2">
        <v>1961</v>
      </c>
      <c r="E100" s="2">
        <v>1507</v>
      </c>
      <c r="F100" s="2">
        <v>1075</v>
      </c>
      <c r="G100" s="2">
        <v>925</v>
      </c>
      <c r="H100" s="2">
        <v>1245</v>
      </c>
      <c r="I100" s="2">
        <v>1275</v>
      </c>
      <c r="J100" s="2">
        <v>0</v>
      </c>
      <c r="K100" s="2">
        <v>0</v>
      </c>
      <c r="L100" s="2">
        <v>11801</v>
      </c>
      <c r="M100" s="2">
        <v>0</v>
      </c>
      <c r="N100" s="2">
        <v>0</v>
      </c>
      <c r="O100" s="2">
        <f t="shared" si="6"/>
        <v>20144</v>
      </c>
      <c r="P100" s="2">
        <v>4305</v>
      </c>
      <c r="Q100" s="2">
        <v>6688</v>
      </c>
      <c r="R100" s="5">
        <f t="shared" si="5"/>
        <v>9151</v>
      </c>
    </row>
    <row r="101" spans="1:18" ht="18.75" customHeight="1">
      <c r="A101" s="6" t="s">
        <v>17</v>
      </c>
      <c r="B101" s="20">
        <v>44661</v>
      </c>
      <c r="C101" s="2">
        <v>630</v>
      </c>
      <c r="D101" s="2">
        <v>2065</v>
      </c>
      <c r="E101" s="2">
        <v>620</v>
      </c>
      <c r="F101" s="2">
        <v>2512</v>
      </c>
      <c r="G101" s="2">
        <v>1153</v>
      </c>
      <c r="H101" s="2">
        <v>2500</v>
      </c>
      <c r="I101" s="2">
        <v>635</v>
      </c>
      <c r="J101" s="2">
        <v>0</v>
      </c>
      <c r="K101" s="2">
        <v>0</v>
      </c>
      <c r="L101" s="2">
        <v>14968</v>
      </c>
      <c r="M101" s="2">
        <v>0</v>
      </c>
      <c r="N101" s="2">
        <v>0</v>
      </c>
      <c r="O101" s="2">
        <f t="shared" si="6"/>
        <v>25083</v>
      </c>
      <c r="P101" s="2">
        <v>6015</v>
      </c>
      <c r="Q101" s="2">
        <v>6758</v>
      </c>
      <c r="R101" s="5">
        <f t="shared" si="5"/>
        <v>12310</v>
      </c>
    </row>
    <row r="102" spans="1:18" ht="18.75" customHeight="1">
      <c r="A102" s="6" t="s">
        <v>18</v>
      </c>
      <c r="B102" s="20">
        <v>44662</v>
      </c>
      <c r="C102" s="2">
        <v>675</v>
      </c>
      <c r="D102" s="2">
        <v>1710</v>
      </c>
      <c r="E102" s="2">
        <v>815</v>
      </c>
      <c r="F102" s="2">
        <v>1529</v>
      </c>
      <c r="G102" s="2">
        <v>1274</v>
      </c>
      <c r="H102" s="2">
        <v>765</v>
      </c>
      <c r="I102" s="2">
        <v>854</v>
      </c>
      <c r="J102" s="2">
        <v>0</v>
      </c>
      <c r="K102" s="2">
        <v>0</v>
      </c>
      <c r="L102" s="2">
        <v>11785</v>
      </c>
      <c r="M102" s="2">
        <v>0</v>
      </c>
      <c r="N102" s="2">
        <v>0</v>
      </c>
      <c r="O102" s="2">
        <f t="shared" si="6"/>
        <v>19407</v>
      </c>
      <c r="P102" s="2">
        <v>3580</v>
      </c>
      <c r="Q102" s="2">
        <v>11243</v>
      </c>
      <c r="R102" s="5">
        <f t="shared" si="5"/>
        <v>4584</v>
      </c>
    </row>
    <row r="103" spans="1:18" ht="18.75" customHeight="1">
      <c r="A103" s="6" t="s">
        <v>19</v>
      </c>
      <c r="B103" s="20">
        <v>44663</v>
      </c>
      <c r="C103" s="2">
        <v>810</v>
      </c>
      <c r="D103" s="2">
        <v>2036</v>
      </c>
      <c r="E103" s="2">
        <v>1055</v>
      </c>
      <c r="F103" s="2">
        <v>1132</v>
      </c>
      <c r="G103" s="2">
        <v>1412</v>
      </c>
      <c r="H103" s="2">
        <v>1956</v>
      </c>
      <c r="I103" s="2">
        <v>1565</v>
      </c>
      <c r="J103" s="2">
        <v>0</v>
      </c>
      <c r="K103" s="2">
        <v>0</v>
      </c>
      <c r="L103" s="2">
        <v>11369</v>
      </c>
      <c r="M103" s="2">
        <v>0</v>
      </c>
      <c r="N103" s="2">
        <v>0</v>
      </c>
      <c r="O103" s="2">
        <f t="shared" si="6"/>
        <v>21335</v>
      </c>
      <c r="P103" s="2">
        <v>3970</v>
      </c>
      <c r="Q103" s="2">
        <v>8846</v>
      </c>
      <c r="R103" s="5">
        <f t="shared" si="5"/>
        <v>8519</v>
      </c>
    </row>
    <row r="104" spans="1:18" ht="18.75" customHeight="1">
      <c r="A104" s="6" t="s">
        <v>20</v>
      </c>
      <c r="B104" s="20">
        <v>44664</v>
      </c>
      <c r="C104" s="2">
        <v>640</v>
      </c>
      <c r="D104" s="2">
        <v>2225</v>
      </c>
      <c r="E104" s="2">
        <v>1837</v>
      </c>
      <c r="F104" s="2">
        <v>272</v>
      </c>
      <c r="G104" s="2">
        <v>376</v>
      </c>
      <c r="H104" s="2">
        <v>1150</v>
      </c>
      <c r="I104" s="2">
        <v>1474</v>
      </c>
      <c r="J104" s="2">
        <v>0</v>
      </c>
      <c r="K104" s="2">
        <v>2371</v>
      </c>
      <c r="L104" s="2">
        <v>15602</v>
      </c>
      <c r="M104" s="2">
        <v>0</v>
      </c>
      <c r="N104" s="2">
        <v>0</v>
      </c>
      <c r="O104" s="2">
        <f t="shared" si="6"/>
        <v>25947</v>
      </c>
      <c r="P104" s="2">
        <v>2905</v>
      </c>
      <c r="Q104" s="2">
        <v>15573</v>
      </c>
      <c r="R104" s="5">
        <f t="shared" si="5"/>
        <v>7469</v>
      </c>
    </row>
    <row r="105" spans="1:18" ht="18.75" customHeight="1">
      <c r="A105" s="6" t="s">
        <v>21</v>
      </c>
      <c r="B105" s="20">
        <v>44665</v>
      </c>
      <c r="C105" s="2">
        <v>2055</v>
      </c>
      <c r="D105" s="2">
        <v>3104</v>
      </c>
      <c r="E105" s="2">
        <v>735</v>
      </c>
      <c r="F105" s="2">
        <v>2146</v>
      </c>
      <c r="G105" s="2">
        <v>2560</v>
      </c>
      <c r="H105" s="2">
        <v>1844</v>
      </c>
      <c r="I105" s="2">
        <v>380</v>
      </c>
      <c r="J105" s="2">
        <v>0</v>
      </c>
      <c r="K105" s="2">
        <v>0</v>
      </c>
      <c r="L105" s="2">
        <v>17009</v>
      </c>
      <c r="M105" s="2">
        <v>0</v>
      </c>
      <c r="N105" s="2">
        <v>0</v>
      </c>
      <c r="O105" s="2">
        <f t="shared" si="6"/>
        <v>29833</v>
      </c>
      <c r="P105" s="2">
        <v>4930</v>
      </c>
      <c r="Q105" s="2">
        <v>10362</v>
      </c>
      <c r="R105" s="5">
        <f t="shared" si="5"/>
        <v>14541</v>
      </c>
    </row>
    <row r="106" spans="1:18" ht="18.75" customHeight="1">
      <c r="A106" s="6" t="s">
        <v>22</v>
      </c>
      <c r="B106" s="20">
        <v>44666</v>
      </c>
      <c r="C106" s="2">
        <v>3720</v>
      </c>
      <c r="D106" s="2">
        <v>1977</v>
      </c>
      <c r="E106" s="2">
        <v>1135</v>
      </c>
      <c r="F106" s="2">
        <v>2323</v>
      </c>
      <c r="G106" s="2">
        <v>1700</v>
      </c>
      <c r="H106" s="2">
        <v>480</v>
      </c>
      <c r="I106" s="2">
        <v>2376</v>
      </c>
      <c r="J106" s="2">
        <v>0</v>
      </c>
      <c r="K106" s="2">
        <v>0</v>
      </c>
      <c r="L106" s="2">
        <v>19966</v>
      </c>
      <c r="M106" s="2">
        <v>0</v>
      </c>
      <c r="N106" s="2">
        <v>0</v>
      </c>
      <c r="O106" s="2">
        <f t="shared" si="6"/>
        <v>33677</v>
      </c>
      <c r="P106" s="2">
        <v>4540</v>
      </c>
      <c r="Q106" s="2">
        <v>10343</v>
      </c>
      <c r="R106" s="5">
        <f t="shared" si="5"/>
        <v>18794</v>
      </c>
    </row>
    <row r="107" spans="1:18" ht="18.75" customHeight="1">
      <c r="A107" s="6" t="s">
        <v>23</v>
      </c>
      <c r="B107" s="20">
        <v>44667</v>
      </c>
      <c r="C107" s="2">
        <v>2744</v>
      </c>
      <c r="D107" s="2">
        <v>930</v>
      </c>
      <c r="E107" s="2">
        <v>1148</v>
      </c>
      <c r="F107" s="2">
        <v>1360</v>
      </c>
      <c r="G107" s="2">
        <v>2600</v>
      </c>
      <c r="H107" s="2">
        <v>6023</v>
      </c>
      <c r="I107" s="2">
        <v>1060</v>
      </c>
      <c r="J107" s="2">
        <v>0</v>
      </c>
      <c r="K107" s="2">
        <v>0</v>
      </c>
      <c r="L107" s="2">
        <v>22741</v>
      </c>
      <c r="M107" s="2">
        <v>0</v>
      </c>
      <c r="N107" s="2">
        <v>0</v>
      </c>
      <c r="O107" s="2">
        <f t="shared" si="6"/>
        <v>38606</v>
      </c>
      <c r="P107" s="2">
        <v>4830</v>
      </c>
      <c r="Q107" s="2">
        <v>11331</v>
      </c>
      <c r="R107" s="5">
        <f t="shared" si="5"/>
        <v>22445</v>
      </c>
    </row>
    <row r="108" spans="1:18" ht="18.75" customHeight="1">
      <c r="A108" s="6" t="s">
        <v>17</v>
      </c>
      <c r="B108" s="20">
        <v>44668</v>
      </c>
      <c r="C108" s="2">
        <v>2877</v>
      </c>
      <c r="D108" s="2">
        <v>220</v>
      </c>
      <c r="E108" s="2">
        <v>1046</v>
      </c>
      <c r="F108" s="2">
        <v>1146</v>
      </c>
      <c r="G108" s="2">
        <v>2210</v>
      </c>
      <c r="H108" s="2">
        <v>3730</v>
      </c>
      <c r="I108" s="2">
        <v>3010</v>
      </c>
      <c r="J108" s="2">
        <v>0</v>
      </c>
      <c r="K108" s="2">
        <v>0</v>
      </c>
      <c r="L108" s="2">
        <v>20122</v>
      </c>
      <c r="M108" s="2">
        <v>0</v>
      </c>
      <c r="N108" s="2">
        <v>0</v>
      </c>
      <c r="O108" s="2">
        <f t="shared" si="6"/>
        <v>34361</v>
      </c>
      <c r="P108" s="2">
        <v>6215</v>
      </c>
      <c r="Q108" s="2">
        <v>6677</v>
      </c>
      <c r="R108" s="5">
        <f t="shared" si="5"/>
        <v>21469</v>
      </c>
    </row>
    <row r="109" spans="1:18" ht="18.75" customHeight="1">
      <c r="A109" s="6" t="s">
        <v>18</v>
      </c>
      <c r="B109" s="20">
        <v>44669</v>
      </c>
      <c r="C109" s="2">
        <v>2909</v>
      </c>
      <c r="D109" s="2">
        <v>2046</v>
      </c>
      <c r="E109" s="2">
        <v>1282</v>
      </c>
      <c r="F109" s="2">
        <v>1740</v>
      </c>
      <c r="G109" s="2">
        <v>1158</v>
      </c>
      <c r="H109" s="2">
        <v>1276</v>
      </c>
      <c r="I109" s="2">
        <v>410</v>
      </c>
      <c r="J109" s="2">
        <v>0</v>
      </c>
      <c r="K109" s="2">
        <v>0</v>
      </c>
      <c r="L109" s="2">
        <v>13841</v>
      </c>
      <c r="M109" s="2">
        <v>0</v>
      </c>
      <c r="N109" s="2">
        <v>0</v>
      </c>
      <c r="O109" s="2">
        <f t="shared" si="6"/>
        <v>24662</v>
      </c>
      <c r="P109" s="2">
        <v>3915</v>
      </c>
      <c r="Q109" s="2">
        <v>9484</v>
      </c>
      <c r="R109" s="5">
        <f t="shared" si="5"/>
        <v>11263</v>
      </c>
    </row>
    <row r="110" spans="1:18" ht="18.75" customHeight="1">
      <c r="A110" s="6" t="s">
        <v>19</v>
      </c>
      <c r="B110" s="20">
        <v>44670</v>
      </c>
      <c r="C110" s="2">
        <v>1174</v>
      </c>
      <c r="D110" s="2">
        <v>1850</v>
      </c>
      <c r="E110" s="2">
        <v>428</v>
      </c>
      <c r="F110" s="2">
        <v>1040</v>
      </c>
      <c r="G110" s="2">
        <v>616</v>
      </c>
      <c r="H110" s="2">
        <v>1734</v>
      </c>
      <c r="I110" s="2">
        <v>1517</v>
      </c>
      <c r="J110" s="2">
        <v>0</v>
      </c>
      <c r="K110" s="2">
        <v>0</v>
      </c>
      <c r="L110" s="2">
        <v>12900</v>
      </c>
      <c r="M110" s="2">
        <v>0</v>
      </c>
      <c r="N110" s="2">
        <v>0</v>
      </c>
      <c r="O110" s="2">
        <f t="shared" si="6"/>
        <v>21259</v>
      </c>
      <c r="P110" s="2">
        <v>3917</v>
      </c>
      <c r="Q110" s="2">
        <v>10238</v>
      </c>
      <c r="R110" s="5">
        <f t="shared" si="5"/>
        <v>7104</v>
      </c>
    </row>
    <row r="111" spans="1:18" ht="18.75" customHeight="1">
      <c r="A111" s="6" t="s">
        <v>20</v>
      </c>
      <c r="B111" s="20">
        <v>44671</v>
      </c>
      <c r="C111" s="2">
        <v>825</v>
      </c>
      <c r="D111" s="2">
        <v>280</v>
      </c>
      <c r="E111" s="2">
        <v>1068</v>
      </c>
      <c r="F111" s="2">
        <v>1398</v>
      </c>
      <c r="G111" s="2">
        <v>2331</v>
      </c>
      <c r="H111" s="2">
        <v>1140</v>
      </c>
      <c r="I111" s="2">
        <v>882</v>
      </c>
      <c r="J111" s="2">
        <v>0</v>
      </c>
      <c r="K111" s="2">
        <v>0</v>
      </c>
      <c r="L111" s="2">
        <v>14404</v>
      </c>
      <c r="M111" s="2">
        <v>0</v>
      </c>
      <c r="N111" s="2">
        <v>0</v>
      </c>
      <c r="O111" s="2">
        <f t="shared" si="6"/>
        <v>22328</v>
      </c>
      <c r="P111" s="2">
        <v>3620</v>
      </c>
      <c r="Q111" s="2">
        <v>8895</v>
      </c>
      <c r="R111" s="5">
        <f t="shared" si="5"/>
        <v>9813</v>
      </c>
    </row>
    <row r="112" spans="1:18" ht="18.75" customHeight="1">
      <c r="A112" s="6" t="s">
        <v>21</v>
      </c>
      <c r="B112" s="20">
        <v>44672</v>
      </c>
      <c r="C112" s="2">
        <v>390</v>
      </c>
      <c r="D112" s="2">
        <v>2880</v>
      </c>
      <c r="E112" s="2">
        <v>2773</v>
      </c>
      <c r="F112" s="2">
        <v>592</v>
      </c>
      <c r="G112" s="2">
        <v>961</v>
      </c>
      <c r="H112" s="2">
        <v>1132</v>
      </c>
      <c r="I112" s="2">
        <v>1380</v>
      </c>
      <c r="J112" s="2">
        <v>0</v>
      </c>
      <c r="K112" s="2">
        <v>0</v>
      </c>
      <c r="L112" s="2">
        <v>11317</v>
      </c>
      <c r="M112" s="2">
        <v>0</v>
      </c>
      <c r="N112" s="2">
        <v>0</v>
      </c>
      <c r="O112" s="2">
        <f t="shared" si="6"/>
        <v>21425</v>
      </c>
      <c r="P112" s="2">
        <v>2340</v>
      </c>
      <c r="Q112" s="2">
        <v>6878</v>
      </c>
      <c r="R112" s="5">
        <f t="shared" si="5"/>
        <v>12207</v>
      </c>
    </row>
    <row r="113" spans="1:18" ht="18.75" customHeight="1">
      <c r="A113" s="6" t="s">
        <v>22</v>
      </c>
      <c r="B113" s="20">
        <v>44673</v>
      </c>
      <c r="C113" s="2">
        <v>406</v>
      </c>
      <c r="D113" s="2">
        <v>1184</v>
      </c>
      <c r="E113" s="2">
        <v>956</v>
      </c>
      <c r="F113" s="2">
        <v>1157</v>
      </c>
      <c r="G113" s="2">
        <v>1556</v>
      </c>
      <c r="H113" s="2">
        <v>1175</v>
      </c>
      <c r="I113" s="2">
        <v>1660</v>
      </c>
      <c r="J113" s="2">
        <v>0</v>
      </c>
      <c r="K113" s="2">
        <v>0</v>
      </c>
      <c r="L113" s="2">
        <v>11118</v>
      </c>
      <c r="M113" s="2">
        <v>0</v>
      </c>
      <c r="N113" s="2">
        <v>0</v>
      </c>
      <c r="O113" s="2">
        <f t="shared" si="6"/>
        <v>19212</v>
      </c>
      <c r="P113" s="2">
        <v>2815</v>
      </c>
      <c r="Q113" s="2">
        <v>7353</v>
      </c>
      <c r="R113" s="5">
        <f t="shared" si="5"/>
        <v>9044</v>
      </c>
    </row>
    <row r="114" spans="1:18" ht="18.75" customHeight="1">
      <c r="A114" s="6" t="s">
        <v>23</v>
      </c>
      <c r="B114" s="20">
        <v>44674</v>
      </c>
      <c r="C114" s="2">
        <v>185</v>
      </c>
      <c r="D114" s="2">
        <v>2450</v>
      </c>
      <c r="E114" s="2">
        <v>366</v>
      </c>
      <c r="F114" s="2">
        <v>1525</v>
      </c>
      <c r="G114" s="2">
        <v>1420</v>
      </c>
      <c r="H114" s="2">
        <v>1672</v>
      </c>
      <c r="I114" s="2">
        <v>3020</v>
      </c>
      <c r="J114" s="2">
        <v>0</v>
      </c>
      <c r="K114" s="2">
        <v>0</v>
      </c>
      <c r="L114" s="2">
        <v>15199</v>
      </c>
      <c r="M114" s="2">
        <v>0</v>
      </c>
      <c r="N114" s="2">
        <v>0</v>
      </c>
      <c r="O114" s="2">
        <f t="shared" si="6"/>
        <v>25837</v>
      </c>
      <c r="P114" s="2">
        <v>3000</v>
      </c>
      <c r="Q114" s="2">
        <v>7032</v>
      </c>
      <c r="R114" s="5">
        <f t="shared" si="5"/>
        <v>15805</v>
      </c>
    </row>
    <row r="115" spans="1:18" ht="18.75" customHeight="1">
      <c r="A115" s="6" t="s">
        <v>17</v>
      </c>
      <c r="B115" s="20">
        <v>44675</v>
      </c>
      <c r="C115" s="2">
        <v>330</v>
      </c>
      <c r="D115" s="2">
        <v>736</v>
      </c>
      <c r="E115" s="2">
        <v>1795</v>
      </c>
      <c r="F115" s="2">
        <v>2260</v>
      </c>
      <c r="G115" s="2">
        <v>1132</v>
      </c>
      <c r="H115" s="2">
        <v>1685</v>
      </c>
      <c r="I115" s="2">
        <v>0</v>
      </c>
      <c r="J115" s="2">
        <v>0</v>
      </c>
      <c r="K115" s="2">
        <v>0</v>
      </c>
      <c r="L115" s="2">
        <v>15067</v>
      </c>
      <c r="M115" s="2">
        <v>0</v>
      </c>
      <c r="N115" s="2">
        <v>0</v>
      </c>
      <c r="O115" s="2">
        <f t="shared" si="6"/>
        <v>23005</v>
      </c>
      <c r="P115" s="2">
        <v>3000</v>
      </c>
      <c r="Q115" s="2">
        <v>5936</v>
      </c>
      <c r="R115" s="5">
        <f t="shared" si="5"/>
        <v>14069</v>
      </c>
    </row>
    <row r="116" spans="1:18" ht="18.75" customHeight="1">
      <c r="A116" s="6" t="s">
        <v>18</v>
      </c>
      <c r="B116" s="20">
        <v>44676</v>
      </c>
      <c r="C116" s="2">
        <v>320</v>
      </c>
      <c r="D116" s="2">
        <v>1008</v>
      </c>
      <c r="E116" s="2">
        <v>1770</v>
      </c>
      <c r="F116" s="2">
        <v>1534</v>
      </c>
      <c r="G116" s="2">
        <v>754</v>
      </c>
      <c r="H116" s="2">
        <v>960</v>
      </c>
      <c r="I116" s="2">
        <v>655</v>
      </c>
      <c r="J116" s="2">
        <v>0</v>
      </c>
      <c r="K116" s="2">
        <v>0</v>
      </c>
      <c r="L116" s="2">
        <v>9234</v>
      </c>
      <c r="M116" s="2">
        <v>0</v>
      </c>
      <c r="N116" s="2">
        <v>0</v>
      </c>
      <c r="O116" s="2">
        <f t="shared" si="6"/>
        <v>16235</v>
      </c>
      <c r="P116" s="2">
        <v>3185</v>
      </c>
      <c r="Q116" s="2">
        <v>8710</v>
      </c>
      <c r="R116" s="5">
        <f t="shared" si="5"/>
        <v>4340</v>
      </c>
    </row>
    <row r="117" spans="1:18" ht="18.75" customHeight="1">
      <c r="A117" s="6" t="s">
        <v>19</v>
      </c>
      <c r="B117" s="20">
        <v>44677</v>
      </c>
      <c r="C117" s="2">
        <v>260</v>
      </c>
      <c r="D117" s="2">
        <v>677</v>
      </c>
      <c r="E117" s="2">
        <v>1376</v>
      </c>
      <c r="F117" s="2">
        <v>420</v>
      </c>
      <c r="G117" s="2">
        <v>1565</v>
      </c>
      <c r="H117" s="2">
        <v>528</v>
      </c>
      <c r="I117" s="2">
        <v>0</v>
      </c>
      <c r="J117" s="2">
        <v>0</v>
      </c>
      <c r="K117" s="2">
        <v>0</v>
      </c>
      <c r="L117" s="2">
        <v>4973</v>
      </c>
      <c r="M117" s="2">
        <v>0</v>
      </c>
      <c r="N117" s="2">
        <v>0</v>
      </c>
      <c r="O117" s="2">
        <f t="shared" si="6"/>
        <v>9799</v>
      </c>
      <c r="P117" s="2">
        <v>2700</v>
      </c>
      <c r="Q117" s="2">
        <v>3063</v>
      </c>
      <c r="R117" s="5">
        <f t="shared" si="5"/>
        <v>4036</v>
      </c>
    </row>
    <row r="118" spans="1:18" ht="18.75" customHeight="1">
      <c r="A118" s="6" t="s">
        <v>20</v>
      </c>
      <c r="B118" s="20">
        <v>44678</v>
      </c>
      <c r="C118" s="2">
        <v>704</v>
      </c>
      <c r="D118" s="2">
        <v>520</v>
      </c>
      <c r="E118" s="2">
        <v>465</v>
      </c>
      <c r="F118" s="2">
        <v>1370</v>
      </c>
      <c r="G118" s="2">
        <v>1270</v>
      </c>
      <c r="H118" s="2">
        <v>1436</v>
      </c>
      <c r="I118" s="2">
        <v>0</v>
      </c>
      <c r="J118" s="2">
        <v>0</v>
      </c>
      <c r="K118" s="2">
        <v>0</v>
      </c>
      <c r="L118" s="2">
        <v>5739</v>
      </c>
      <c r="M118" s="2">
        <v>0</v>
      </c>
      <c r="N118" s="2">
        <v>0</v>
      </c>
      <c r="O118" s="2">
        <f t="shared" si="6"/>
        <v>11504</v>
      </c>
      <c r="P118" s="2">
        <v>2555</v>
      </c>
      <c r="Q118" s="2">
        <v>4483</v>
      </c>
      <c r="R118" s="5">
        <f t="shared" si="5"/>
        <v>4466</v>
      </c>
    </row>
    <row r="119" spans="1:18" ht="18.75" customHeight="1">
      <c r="A119" s="6" t="s">
        <v>21</v>
      </c>
      <c r="B119" s="20">
        <v>44679</v>
      </c>
      <c r="C119" s="2">
        <v>830</v>
      </c>
      <c r="D119" s="2">
        <v>980</v>
      </c>
      <c r="E119" s="2">
        <v>960</v>
      </c>
      <c r="F119" s="2">
        <v>685</v>
      </c>
      <c r="G119" s="2">
        <v>1472</v>
      </c>
      <c r="H119" s="2">
        <v>6894</v>
      </c>
      <c r="I119" s="2">
        <v>0</v>
      </c>
      <c r="J119" s="2">
        <v>0</v>
      </c>
      <c r="K119" s="2">
        <v>0</v>
      </c>
      <c r="L119" s="2">
        <v>5565</v>
      </c>
      <c r="M119" s="2">
        <v>0</v>
      </c>
      <c r="N119" s="2">
        <v>0</v>
      </c>
      <c r="O119" s="2">
        <f t="shared" si="6"/>
        <v>17386</v>
      </c>
      <c r="P119" s="2">
        <v>2610</v>
      </c>
      <c r="Q119" s="2">
        <v>6209</v>
      </c>
      <c r="R119" s="5">
        <f t="shared" si="5"/>
        <v>8567</v>
      </c>
    </row>
    <row r="120" spans="1:18" ht="18.75" customHeight="1">
      <c r="A120" s="6" t="s">
        <v>22</v>
      </c>
      <c r="B120" s="20">
        <v>44680</v>
      </c>
      <c r="C120" s="2">
        <v>535</v>
      </c>
      <c r="D120" s="2">
        <v>2490</v>
      </c>
      <c r="E120" s="2">
        <v>1219</v>
      </c>
      <c r="F120" s="2">
        <v>700</v>
      </c>
      <c r="G120" s="2">
        <v>700</v>
      </c>
      <c r="H120" s="2">
        <v>2855</v>
      </c>
      <c r="I120" s="2">
        <v>0</v>
      </c>
      <c r="J120" s="2">
        <v>0</v>
      </c>
      <c r="K120" s="2">
        <v>0</v>
      </c>
      <c r="L120" s="2">
        <v>6025</v>
      </c>
      <c r="M120" s="2">
        <v>0</v>
      </c>
      <c r="N120" s="2">
        <v>0</v>
      </c>
      <c r="O120" s="2">
        <f t="shared" si="6"/>
        <v>14524</v>
      </c>
      <c r="P120" s="2">
        <v>3120</v>
      </c>
      <c r="Q120" s="2">
        <v>7529</v>
      </c>
      <c r="R120" s="5">
        <f t="shared" si="5"/>
        <v>3875</v>
      </c>
    </row>
    <row r="121" spans="1:18" ht="18.75" customHeight="1">
      <c r="A121" s="6" t="s">
        <v>23</v>
      </c>
      <c r="B121" s="20">
        <v>44681</v>
      </c>
      <c r="C121" s="2">
        <v>416</v>
      </c>
      <c r="D121" s="2">
        <v>1696</v>
      </c>
      <c r="E121" s="2">
        <v>1118</v>
      </c>
      <c r="F121" s="2">
        <v>478</v>
      </c>
      <c r="G121" s="2">
        <v>925</v>
      </c>
      <c r="H121" s="2">
        <v>1988</v>
      </c>
      <c r="I121" s="2">
        <v>1895</v>
      </c>
      <c r="J121" s="2">
        <v>0</v>
      </c>
      <c r="K121" s="2">
        <v>0</v>
      </c>
      <c r="L121" s="2">
        <v>11533</v>
      </c>
      <c r="M121" s="2">
        <v>0</v>
      </c>
      <c r="N121" s="2">
        <v>0</v>
      </c>
      <c r="O121" s="2">
        <f t="shared" si="6"/>
        <v>20049</v>
      </c>
      <c r="P121" s="2">
        <v>3465</v>
      </c>
      <c r="Q121" s="2">
        <v>6216</v>
      </c>
      <c r="R121" s="5">
        <f t="shared" si="5"/>
        <v>10368</v>
      </c>
    </row>
    <row r="122" spans="1:18" ht="18.75" customHeight="1">
      <c r="A122" s="6" t="s">
        <v>17</v>
      </c>
      <c r="B122" s="20">
        <v>44682</v>
      </c>
      <c r="C122" s="2">
        <v>0</v>
      </c>
      <c r="D122" s="2">
        <v>925</v>
      </c>
      <c r="E122" s="2">
        <v>0</v>
      </c>
      <c r="F122" s="2">
        <v>2570</v>
      </c>
      <c r="G122" s="2">
        <v>0</v>
      </c>
      <c r="H122" s="2">
        <v>817</v>
      </c>
      <c r="I122" s="2">
        <v>2215</v>
      </c>
      <c r="J122" s="2">
        <v>1800</v>
      </c>
      <c r="K122" s="2">
        <v>0</v>
      </c>
      <c r="L122" s="2">
        <v>15508</v>
      </c>
      <c r="M122" s="2">
        <v>0</v>
      </c>
      <c r="N122" s="2">
        <v>0</v>
      </c>
      <c r="O122" s="2">
        <f t="shared" ref="O122:O152" si="7">SUM(F122:M122)</f>
        <v>22910</v>
      </c>
      <c r="P122" s="2">
        <v>4890</v>
      </c>
      <c r="Q122" s="2">
        <v>7650</v>
      </c>
      <c r="R122" s="5">
        <f t="shared" si="5"/>
        <v>10370</v>
      </c>
    </row>
    <row r="123" spans="1:18" ht="18.75" customHeight="1">
      <c r="A123" s="6" t="s">
        <v>18</v>
      </c>
      <c r="B123" s="20">
        <v>44683</v>
      </c>
      <c r="C123" s="2">
        <v>0</v>
      </c>
      <c r="D123" s="2">
        <v>2547</v>
      </c>
      <c r="E123" s="2">
        <v>880</v>
      </c>
      <c r="F123" s="2">
        <v>600</v>
      </c>
      <c r="G123" s="2">
        <v>1664</v>
      </c>
      <c r="H123" s="2">
        <v>1956</v>
      </c>
      <c r="I123" s="2">
        <v>845</v>
      </c>
      <c r="J123" s="2">
        <v>1782</v>
      </c>
      <c r="K123" s="2">
        <v>0</v>
      </c>
      <c r="L123" s="2">
        <v>8674</v>
      </c>
      <c r="M123" s="2">
        <v>0</v>
      </c>
      <c r="N123" s="2">
        <v>0</v>
      </c>
      <c r="O123" s="2">
        <f t="shared" si="7"/>
        <v>15521</v>
      </c>
      <c r="P123" s="2">
        <v>3400</v>
      </c>
      <c r="Q123" s="2">
        <v>10213</v>
      </c>
      <c r="R123" s="5">
        <f t="shared" si="5"/>
        <v>1908</v>
      </c>
    </row>
    <row r="124" spans="1:18" ht="18.75" customHeight="1">
      <c r="A124" s="6" t="s">
        <v>19</v>
      </c>
      <c r="B124" s="20">
        <v>44684</v>
      </c>
      <c r="C124" s="2">
        <v>0</v>
      </c>
      <c r="D124" s="2">
        <v>1823</v>
      </c>
      <c r="E124" s="2">
        <v>0</v>
      </c>
      <c r="F124" s="2">
        <v>750</v>
      </c>
      <c r="G124" s="2">
        <v>895</v>
      </c>
      <c r="H124" s="2">
        <v>666</v>
      </c>
      <c r="I124" s="2">
        <v>802</v>
      </c>
      <c r="J124" s="2">
        <v>1772</v>
      </c>
      <c r="K124" s="2">
        <v>0</v>
      </c>
      <c r="L124" s="2">
        <v>6211</v>
      </c>
      <c r="M124" s="2">
        <v>0</v>
      </c>
      <c r="N124" s="2">
        <v>0</v>
      </c>
      <c r="O124" s="2">
        <f t="shared" si="7"/>
        <v>11096</v>
      </c>
      <c r="P124" s="2">
        <v>2790</v>
      </c>
      <c r="Q124" s="2">
        <v>7638</v>
      </c>
      <c r="R124" s="5">
        <f t="shared" si="5"/>
        <v>668</v>
      </c>
    </row>
    <row r="125" spans="1:18" ht="18.75" customHeight="1">
      <c r="A125" s="6" t="s">
        <v>20</v>
      </c>
      <c r="B125" s="20">
        <v>44685</v>
      </c>
      <c r="C125" s="2">
        <v>0</v>
      </c>
      <c r="D125" s="2">
        <v>674</v>
      </c>
      <c r="E125" s="2">
        <v>0</v>
      </c>
      <c r="F125" s="2">
        <v>520</v>
      </c>
      <c r="G125" s="2">
        <v>1168</v>
      </c>
      <c r="H125" s="2">
        <v>1114</v>
      </c>
      <c r="I125" s="2">
        <v>474</v>
      </c>
      <c r="J125" s="2">
        <v>892</v>
      </c>
      <c r="K125" s="2">
        <v>0</v>
      </c>
      <c r="L125" s="2">
        <v>7189</v>
      </c>
      <c r="M125" s="2">
        <v>0</v>
      </c>
      <c r="N125" s="2">
        <v>0</v>
      </c>
      <c r="O125" s="2">
        <f t="shared" si="7"/>
        <v>11357</v>
      </c>
      <c r="P125" s="2">
        <v>3940</v>
      </c>
      <c r="Q125" s="2">
        <v>6115</v>
      </c>
      <c r="R125" s="5">
        <f t="shared" si="5"/>
        <v>1302</v>
      </c>
    </row>
    <row r="126" spans="1:18" ht="18.75" customHeight="1">
      <c r="A126" s="6" t="s">
        <v>21</v>
      </c>
      <c r="B126" s="20">
        <v>44686</v>
      </c>
      <c r="C126" s="2">
        <v>0</v>
      </c>
      <c r="D126" s="2">
        <v>795</v>
      </c>
      <c r="E126" s="2">
        <v>0</v>
      </c>
      <c r="F126" s="2">
        <v>346</v>
      </c>
      <c r="G126" s="2">
        <v>1054</v>
      </c>
      <c r="H126" s="2">
        <v>1149</v>
      </c>
      <c r="I126" s="2">
        <v>1470</v>
      </c>
      <c r="J126" s="2">
        <v>559</v>
      </c>
      <c r="K126" s="2">
        <v>0</v>
      </c>
      <c r="L126" s="2">
        <v>5740</v>
      </c>
      <c r="M126" s="2">
        <v>0</v>
      </c>
      <c r="N126" s="2">
        <v>0</v>
      </c>
      <c r="O126" s="2">
        <f t="shared" si="7"/>
        <v>10318</v>
      </c>
      <c r="P126" s="2">
        <v>1680</v>
      </c>
      <c r="Q126" s="2">
        <v>5379</v>
      </c>
      <c r="R126" s="5">
        <f t="shared" si="5"/>
        <v>3259</v>
      </c>
    </row>
    <row r="127" spans="1:18" ht="18.75" customHeight="1">
      <c r="A127" s="6" t="s">
        <v>22</v>
      </c>
      <c r="B127" s="20">
        <v>44687</v>
      </c>
      <c r="C127" s="2">
        <v>0</v>
      </c>
      <c r="D127" s="2">
        <v>2410</v>
      </c>
      <c r="E127" s="2">
        <v>0</v>
      </c>
      <c r="F127" s="2">
        <v>545</v>
      </c>
      <c r="G127" s="2">
        <v>680</v>
      </c>
      <c r="H127" s="2">
        <v>1668</v>
      </c>
      <c r="I127" s="2">
        <v>1418</v>
      </c>
      <c r="J127" s="2">
        <v>1220</v>
      </c>
      <c r="K127" s="2">
        <v>0</v>
      </c>
      <c r="L127" s="2">
        <v>7207</v>
      </c>
      <c r="M127" s="2">
        <v>0</v>
      </c>
      <c r="N127" s="2">
        <v>0</v>
      </c>
      <c r="O127" s="2">
        <f t="shared" si="7"/>
        <v>12738</v>
      </c>
      <c r="P127" s="2">
        <v>2880</v>
      </c>
      <c r="Q127" s="2">
        <v>8179</v>
      </c>
      <c r="R127" s="5">
        <f t="shared" si="5"/>
        <v>1679</v>
      </c>
    </row>
    <row r="128" spans="1:18" ht="18.75" customHeight="1">
      <c r="A128" s="6" t="s">
        <v>23</v>
      </c>
      <c r="B128" s="20">
        <v>44688</v>
      </c>
      <c r="C128" s="2">
        <v>0</v>
      </c>
      <c r="D128" s="2">
        <v>1810</v>
      </c>
      <c r="E128" s="2">
        <v>1735</v>
      </c>
      <c r="F128" s="2">
        <v>775</v>
      </c>
      <c r="G128" s="2">
        <v>1543</v>
      </c>
      <c r="H128" s="2">
        <v>2090</v>
      </c>
      <c r="I128" s="2">
        <v>552</v>
      </c>
      <c r="J128" s="2">
        <v>716</v>
      </c>
      <c r="K128" s="2">
        <v>0</v>
      </c>
      <c r="L128" s="2">
        <v>10255</v>
      </c>
      <c r="M128" s="2">
        <v>0</v>
      </c>
      <c r="N128" s="2">
        <v>0</v>
      </c>
      <c r="O128" s="2">
        <f t="shared" si="7"/>
        <v>15931</v>
      </c>
      <c r="P128" s="2">
        <v>1340</v>
      </c>
      <c r="Q128" s="2">
        <v>7436</v>
      </c>
      <c r="R128" s="5">
        <f t="shared" si="5"/>
        <v>7155</v>
      </c>
    </row>
    <row r="129" spans="1:18" ht="18.75" customHeight="1">
      <c r="A129" s="6" t="s">
        <v>17</v>
      </c>
      <c r="B129" s="20">
        <v>44689</v>
      </c>
      <c r="C129" s="2">
        <v>0</v>
      </c>
      <c r="D129" s="2">
        <v>0</v>
      </c>
      <c r="E129" s="2">
        <v>0</v>
      </c>
      <c r="F129" s="2">
        <v>940</v>
      </c>
      <c r="G129" s="2">
        <v>0</v>
      </c>
      <c r="H129" s="2">
        <v>1532</v>
      </c>
      <c r="I129" s="2">
        <v>1735</v>
      </c>
      <c r="J129" s="2">
        <v>3424</v>
      </c>
      <c r="K129" s="2">
        <v>0</v>
      </c>
      <c r="L129" s="2">
        <v>13999</v>
      </c>
      <c r="M129" s="2">
        <v>0</v>
      </c>
      <c r="N129" s="2">
        <v>0</v>
      </c>
      <c r="O129" s="2">
        <f t="shared" si="7"/>
        <v>21630</v>
      </c>
      <c r="P129" s="2">
        <v>4650</v>
      </c>
      <c r="Q129" s="2">
        <v>5512</v>
      </c>
      <c r="R129" s="5">
        <f t="shared" si="5"/>
        <v>11468</v>
      </c>
    </row>
    <row r="130" spans="1:18" ht="18.75" customHeight="1">
      <c r="A130" s="6" t="s">
        <v>18</v>
      </c>
      <c r="B130" s="20">
        <v>44690</v>
      </c>
      <c r="C130" s="2">
        <v>0</v>
      </c>
      <c r="D130" s="2">
        <v>2020</v>
      </c>
      <c r="E130" s="2">
        <v>2114</v>
      </c>
      <c r="F130" s="2">
        <v>440</v>
      </c>
      <c r="G130" s="2">
        <v>316</v>
      </c>
      <c r="H130" s="2">
        <v>1347</v>
      </c>
      <c r="I130" s="2">
        <v>704</v>
      </c>
      <c r="J130" s="2">
        <v>276</v>
      </c>
      <c r="K130" s="2">
        <v>0</v>
      </c>
      <c r="L130" s="2">
        <v>9560</v>
      </c>
      <c r="M130" s="2">
        <v>0</v>
      </c>
      <c r="N130" s="2">
        <v>0</v>
      </c>
      <c r="O130" s="2">
        <f t="shared" si="7"/>
        <v>12643</v>
      </c>
      <c r="P130" s="2">
        <v>3110</v>
      </c>
      <c r="Q130" s="2">
        <v>8769</v>
      </c>
      <c r="R130" s="5">
        <f t="shared" si="5"/>
        <v>764</v>
      </c>
    </row>
    <row r="131" spans="1:18" ht="18.75" customHeight="1">
      <c r="A131" s="6" t="s">
        <v>19</v>
      </c>
      <c r="B131" s="20">
        <v>44691</v>
      </c>
      <c r="C131" s="2">
        <v>0</v>
      </c>
      <c r="D131" s="2">
        <v>1514</v>
      </c>
      <c r="E131" s="2">
        <v>0</v>
      </c>
      <c r="F131" s="2">
        <v>585</v>
      </c>
      <c r="G131" s="2">
        <v>1710</v>
      </c>
      <c r="H131" s="2">
        <v>3625</v>
      </c>
      <c r="I131" s="2">
        <v>1177</v>
      </c>
      <c r="J131" s="2">
        <v>1372</v>
      </c>
      <c r="K131" s="2">
        <v>0</v>
      </c>
      <c r="L131" s="2">
        <v>9407</v>
      </c>
      <c r="M131" s="2">
        <v>0</v>
      </c>
      <c r="N131" s="2">
        <v>0</v>
      </c>
      <c r="O131" s="2">
        <f t="shared" si="7"/>
        <v>17876</v>
      </c>
      <c r="P131" s="2">
        <v>3205</v>
      </c>
      <c r="Q131" s="2">
        <v>6453</v>
      </c>
      <c r="R131" s="5">
        <f t="shared" ref="R131:R194" si="8">O131-P131-Q131</f>
        <v>8218</v>
      </c>
    </row>
    <row r="132" spans="1:18" ht="18.75" customHeight="1">
      <c r="A132" s="6" t="s">
        <v>20</v>
      </c>
      <c r="B132" s="20">
        <v>44692</v>
      </c>
      <c r="C132" s="2">
        <v>0</v>
      </c>
      <c r="D132" s="2">
        <v>1196</v>
      </c>
      <c r="E132" s="2">
        <v>0</v>
      </c>
      <c r="F132" s="2">
        <v>314</v>
      </c>
      <c r="G132" s="2">
        <v>1145</v>
      </c>
      <c r="H132" s="2">
        <v>1700</v>
      </c>
      <c r="I132" s="2">
        <v>654</v>
      </c>
      <c r="J132" s="2">
        <v>1370</v>
      </c>
      <c r="K132" s="2">
        <v>0</v>
      </c>
      <c r="L132" s="2">
        <v>4942</v>
      </c>
      <c r="M132" s="2">
        <v>0</v>
      </c>
      <c r="N132" s="2">
        <v>0</v>
      </c>
      <c r="O132" s="2">
        <f t="shared" si="7"/>
        <v>10125</v>
      </c>
      <c r="P132" s="2">
        <v>2800</v>
      </c>
      <c r="Q132" s="2">
        <v>9135</v>
      </c>
      <c r="R132" s="5">
        <f t="shared" si="8"/>
        <v>-1810</v>
      </c>
    </row>
    <row r="133" spans="1:18" ht="18.75" customHeight="1">
      <c r="A133" s="6" t="s">
        <v>21</v>
      </c>
      <c r="B133" s="20">
        <v>44693</v>
      </c>
      <c r="C133" s="2">
        <v>0</v>
      </c>
      <c r="D133" s="2">
        <v>580</v>
      </c>
      <c r="E133" s="2">
        <v>0</v>
      </c>
      <c r="F133" s="2">
        <v>1518</v>
      </c>
      <c r="G133" s="2">
        <v>400</v>
      </c>
      <c r="H133" s="2">
        <v>1385</v>
      </c>
      <c r="I133" s="2">
        <v>904</v>
      </c>
      <c r="J133" s="2">
        <v>1198</v>
      </c>
      <c r="K133" s="2">
        <v>0</v>
      </c>
      <c r="L133" s="2">
        <v>6434</v>
      </c>
      <c r="M133" s="2">
        <v>0</v>
      </c>
      <c r="N133" s="2">
        <v>0</v>
      </c>
      <c r="O133" s="2">
        <f t="shared" si="7"/>
        <v>11839</v>
      </c>
      <c r="P133" s="2">
        <v>2660</v>
      </c>
      <c r="Q133" s="2">
        <v>5097</v>
      </c>
      <c r="R133" s="5">
        <f t="shared" si="8"/>
        <v>4082</v>
      </c>
    </row>
    <row r="134" spans="1:18" ht="18.75" customHeight="1">
      <c r="A134" s="6" t="s">
        <v>22</v>
      </c>
      <c r="B134" s="20">
        <v>44694</v>
      </c>
      <c r="C134" s="2">
        <v>0</v>
      </c>
      <c r="D134" s="2">
        <v>656</v>
      </c>
      <c r="E134" s="2">
        <v>0</v>
      </c>
      <c r="F134" s="2">
        <v>1000</v>
      </c>
      <c r="G134" s="2">
        <v>550</v>
      </c>
      <c r="H134" s="2">
        <v>2000</v>
      </c>
      <c r="I134" s="2">
        <v>966</v>
      </c>
      <c r="J134" s="2">
        <v>1924</v>
      </c>
      <c r="K134" s="2">
        <v>0</v>
      </c>
      <c r="L134" s="2">
        <v>8545</v>
      </c>
      <c r="M134" s="2">
        <v>0</v>
      </c>
      <c r="N134" s="2">
        <v>0</v>
      </c>
      <c r="O134" s="2">
        <f t="shared" si="7"/>
        <v>14985</v>
      </c>
      <c r="P134" s="2">
        <v>2990</v>
      </c>
      <c r="Q134" s="2">
        <v>7937</v>
      </c>
      <c r="R134" s="5">
        <f t="shared" si="8"/>
        <v>4058</v>
      </c>
    </row>
    <row r="135" spans="1:18" ht="18.75" customHeight="1">
      <c r="A135" s="6" t="s">
        <v>23</v>
      </c>
      <c r="B135" s="20">
        <v>44695</v>
      </c>
      <c r="C135" s="2">
        <v>578</v>
      </c>
      <c r="D135" s="2">
        <v>1533</v>
      </c>
      <c r="E135" s="2">
        <v>2250</v>
      </c>
      <c r="F135" s="2">
        <v>615</v>
      </c>
      <c r="G135" s="2">
        <v>1766</v>
      </c>
      <c r="H135" s="2">
        <v>568</v>
      </c>
      <c r="I135" s="2">
        <v>1390</v>
      </c>
      <c r="J135" s="2">
        <v>400</v>
      </c>
      <c r="K135" s="2">
        <v>0</v>
      </c>
      <c r="L135" s="2">
        <v>10715</v>
      </c>
      <c r="M135" s="2">
        <v>0</v>
      </c>
      <c r="N135" s="2">
        <v>0</v>
      </c>
      <c r="O135" s="2">
        <f t="shared" si="7"/>
        <v>15454</v>
      </c>
      <c r="P135" s="2">
        <v>2875</v>
      </c>
      <c r="Q135" s="2">
        <v>7485</v>
      </c>
      <c r="R135" s="5">
        <f t="shared" si="8"/>
        <v>5094</v>
      </c>
    </row>
    <row r="136" spans="1:18" ht="18.75" customHeight="1">
      <c r="A136" s="6" t="s">
        <v>17</v>
      </c>
      <c r="B136" s="20">
        <v>44696</v>
      </c>
      <c r="C136" s="2">
        <v>0</v>
      </c>
      <c r="D136" s="2">
        <v>2229</v>
      </c>
      <c r="E136" s="2">
        <v>0</v>
      </c>
      <c r="F136" s="2">
        <v>3100</v>
      </c>
      <c r="G136" s="2">
        <v>0</v>
      </c>
      <c r="H136" s="2">
        <v>1722</v>
      </c>
      <c r="I136" s="2">
        <v>2010</v>
      </c>
      <c r="J136" s="2">
        <v>566</v>
      </c>
      <c r="K136" s="2">
        <v>0</v>
      </c>
      <c r="L136" s="2">
        <v>11956</v>
      </c>
      <c r="M136" s="2">
        <v>0</v>
      </c>
      <c r="N136" s="2">
        <v>0</v>
      </c>
      <c r="O136" s="2">
        <f t="shared" si="7"/>
        <v>19354</v>
      </c>
      <c r="P136" s="2">
        <v>4610</v>
      </c>
      <c r="Q136" s="2">
        <v>6337</v>
      </c>
      <c r="R136" s="5">
        <f t="shared" si="8"/>
        <v>8407</v>
      </c>
    </row>
    <row r="137" spans="1:18" ht="18.75" customHeight="1">
      <c r="A137" s="6" t="s">
        <v>18</v>
      </c>
      <c r="B137" s="20">
        <v>44697</v>
      </c>
      <c r="C137" s="2">
        <v>0</v>
      </c>
      <c r="D137" s="2">
        <v>1787</v>
      </c>
      <c r="E137" s="2">
        <v>0</v>
      </c>
      <c r="F137" s="2">
        <v>930</v>
      </c>
      <c r="G137" s="2">
        <v>1463</v>
      </c>
      <c r="H137" s="2">
        <v>1320</v>
      </c>
      <c r="I137" s="2">
        <v>968</v>
      </c>
      <c r="J137" s="2">
        <v>918</v>
      </c>
      <c r="K137" s="2">
        <v>0</v>
      </c>
      <c r="L137" s="2">
        <v>5689</v>
      </c>
      <c r="M137" s="2">
        <v>0</v>
      </c>
      <c r="N137" s="2">
        <v>0</v>
      </c>
      <c r="O137" s="2">
        <f t="shared" si="7"/>
        <v>11288</v>
      </c>
      <c r="P137" s="2">
        <v>4000</v>
      </c>
      <c r="Q137" s="2">
        <v>9469</v>
      </c>
      <c r="R137" s="5">
        <f t="shared" si="8"/>
        <v>-2181</v>
      </c>
    </row>
    <row r="138" spans="1:18" ht="18.75" customHeight="1">
      <c r="A138" s="6" t="s">
        <v>19</v>
      </c>
      <c r="B138" s="20">
        <v>44698</v>
      </c>
      <c r="C138" s="2">
        <v>1370</v>
      </c>
      <c r="D138" s="2">
        <v>240</v>
      </c>
      <c r="E138" s="2">
        <v>1382</v>
      </c>
      <c r="F138" s="2">
        <v>655</v>
      </c>
      <c r="G138" s="2">
        <v>1610</v>
      </c>
      <c r="H138" s="2">
        <v>856</v>
      </c>
      <c r="I138" s="2">
        <v>414</v>
      </c>
      <c r="J138" s="2">
        <v>238</v>
      </c>
      <c r="K138" s="2">
        <v>0</v>
      </c>
      <c r="L138" s="2">
        <v>7318</v>
      </c>
      <c r="M138" s="2">
        <v>0</v>
      </c>
      <c r="N138" s="2">
        <v>0</v>
      </c>
      <c r="O138" s="2">
        <f t="shared" si="7"/>
        <v>11091</v>
      </c>
      <c r="P138" s="2">
        <v>3785</v>
      </c>
      <c r="Q138" s="2">
        <v>4658</v>
      </c>
      <c r="R138" s="5">
        <f t="shared" si="8"/>
        <v>2648</v>
      </c>
    </row>
    <row r="139" spans="1:18" ht="18.75" customHeight="1">
      <c r="A139" s="6" t="s">
        <v>20</v>
      </c>
      <c r="B139" s="20">
        <v>44699</v>
      </c>
      <c r="C139" s="2">
        <v>0</v>
      </c>
      <c r="D139" s="2">
        <v>1700</v>
      </c>
      <c r="E139" s="2">
        <v>0</v>
      </c>
      <c r="F139" s="2">
        <v>625</v>
      </c>
      <c r="G139" s="2">
        <v>1810</v>
      </c>
      <c r="H139" s="2">
        <v>1908</v>
      </c>
      <c r="I139" s="2">
        <v>604</v>
      </c>
      <c r="J139" s="2">
        <v>350</v>
      </c>
      <c r="K139" s="2">
        <v>0</v>
      </c>
      <c r="L139" s="2">
        <v>4379</v>
      </c>
      <c r="M139" s="2">
        <v>0</v>
      </c>
      <c r="N139" s="2">
        <v>0</v>
      </c>
      <c r="O139" s="2">
        <f t="shared" si="7"/>
        <v>9676</v>
      </c>
      <c r="P139" s="2">
        <v>3055</v>
      </c>
      <c r="Q139" s="2">
        <v>4656</v>
      </c>
      <c r="R139" s="5">
        <f t="shared" si="8"/>
        <v>1965</v>
      </c>
    </row>
    <row r="140" spans="1:18" ht="18.75" customHeight="1">
      <c r="A140" s="6" t="s">
        <v>21</v>
      </c>
      <c r="B140" s="20">
        <v>44700</v>
      </c>
      <c r="C140" s="2">
        <v>0</v>
      </c>
      <c r="D140" s="2">
        <v>1662</v>
      </c>
      <c r="E140" s="2">
        <v>0</v>
      </c>
      <c r="F140" s="2">
        <v>478</v>
      </c>
      <c r="G140" s="2">
        <v>1405</v>
      </c>
      <c r="H140" s="2">
        <v>1110</v>
      </c>
      <c r="I140" s="2">
        <v>770</v>
      </c>
      <c r="J140" s="2">
        <v>580</v>
      </c>
      <c r="K140" s="2">
        <v>0</v>
      </c>
      <c r="L140" s="2">
        <v>4449</v>
      </c>
      <c r="M140" s="2">
        <v>0</v>
      </c>
      <c r="N140" s="2">
        <v>0</v>
      </c>
      <c r="O140" s="2">
        <f t="shared" si="7"/>
        <v>8792</v>
      </c>
      <c r="P140" s="2">
        <v>2550</v>
      </c>
      <c r="Q140" s="2">
        <v>5558</v>
      </c>
      <c r="R140" s="5">
        <f t="shared" si="8"/>
        <v>684</v>
      </c>
    </row>
    <row r="141" spans="1:18" ht="18.75" customHeight="1">
      <c r="A141" s="6" t="s">
        <v>22</v>
      </c>
      <c r="B141" s="20">
        <v>44701</v>
      </c>
      <c r="C141" s="2">
        <v>0</v>
      </c>
      <c r="D141" s="2">
        <v>2553</v>
      </c>
      <c r="E141" s="2">
        <v>2580</v>
      </c>
      <c r="F141" s="2">
        <v>383</v>
      </c>
      <c r="G141" s="2">
        <v>416</v>
      </c>
      <c r="H141" s="2">
        <v>1608</v>
      </c>
      <c r="I141" s="2">
        <v>1394</v>
      </c>
      <c r="J141" s="2">
        <v>605</v>
      </c>
      <c r="K141" s="2">
        <v>0</v>
      </c>
      <c r="L141" s="2">
        <v>5446</v>
      </c>
      <c r="M141" s="2">
        <v>0</v>
      </c>
      <c r="N141" s="2">
        <v>0</v>
      </c>
      <c r="O141" s="2">
        <f t="shared" si="7"/>
        <v>9852</v>
      </c>
      <c r="P141" s="2">
        <v>3350</v>
      </c>
      <c r="Q141" s="2">
        <v>5324</v>
      </c>
      <c r="R141" s="5">
        <f t="shared" si="8"/>
        <v>1178</v>
      </c>
    </row>
    <row r="142" spans="1:18" ht="18.75" customHeight="1">
      <c r="A142" s="6" t="s">
        <v>23</v>
      </c>
      <c r="B142" s="20">
        <v>44702</v>
      </c>
      <c r="C142" s="2">
        <v>0</v>
      </c>
      <c r="D142" s="2">
        <v>1323</v>
      </c>
      <c r="E142" s="2">
        <v>1510</v>
      </c>
      <c r="F142" s="2">
        <v>320</v>
      </c>
      <c r="G142" s="2">
        <v>1779</v>
      </c>
      <c r="H142" s="2">
        <v>1520</v>
      </c>
      <c r="I142" s="2">
        <v>539</v>
      </c>
      <c r="J142" s="2">
        <v>598</v>
      </c>
      <c r="K142" s="2">
        <v>0</v>
      </c>
      <c r="L142" s="2">
        <v>6963</v>
      </c>
      <c r="M142" s="2">
        <v>0</v>
      </c>
      <c r="N142" s="2">
        <v>0</v>
      </c>
      <c r="O142" s="2">
        <f t="shared" si="7"/>
        <v>11719</v>
      </c>
      <c r="P142" s="2">
        <v>3320</v>
      </c>
      <c r="Q142" s="2">
        <v>6033</v>
      </c>
      <c r="R142" s="5">
        <f t="shared" si="8"/>
        <v>2366</v>
      </c>
    </row>
    <row r="143" spans="1:18" ht="18.75" customHeight="1">
      <c r="A143" s="6" t="s">
        <v>17</v>
      </c>
      <c r="B143" s="20">
        <v>44703</v>
      </c>
      <c r="C143" s="2">
        <v>0</v>
      </c>
      <c r="D143" s="2">
        <v>954</v>
      </c>
      <c r="E143" s="2">
        <v>3890</v>
      </c>
      <c r="F143" s="2">
        <v>800</v>
      </c>
      <c r="G143" s="2">
        <v>1454</v>
      </c>
      <c r="H143" s="2">
        <v>1020</v>
      </c>
      <c r="I143" s="2">
        <v>418</v>
      </c>
      <c r="J143" s="2">
        <v>2574</v>
      </c>
      <c r="K143" s="2">
        <v>0</v>
      </c>
      <c r="L143" s="2">
        <v>12195</v>
      </c>
      <c r="M143" s="2">
        <v>0</v>
      </c>
      <c r="N143" s="2">
        <v>0</v>
      </c>
      <c r="O143" s="2">
        <f t="shared" si="7"/>
        <v>18461</v>
      </c>
      <c r="P143" s="2">
        <v>4935</v>
      </c>
      <c r="Q143" s="2">
        <v>5068</v>
      </c>
      <c r="R143" s="5">
        <f t="shared" si="8"/>
        <v>8458</v>
      </c>
    </row>
    <row r="144" spans="1:18" ht="18.75" customHeight="1">
      <c r="A144" s="6" t="s">
        <v>18</v>
      </c>
      <c r="B144" s="20">
        <v>44704</v>
      </c>
      <c r="C144" s="2">
        <v>0</v>
      </c>
      <c r="D144" s="2">
        <v>1896</v>
      </c>
      <c r="E144" s="2">
        <v>2355</v>
      </c>
      <c r="F144" s="2">
        <v>692</v>
      </c>
      <c r="G144" s="2">
        <v>1013</v>
      </c>
      <c r="H144" s="2">
        <v>1780</v>
      </c>
      <c r="I144" s="2">
        <v>435</v>
      </c>
      <c r="J144" s="2">
        <v>1015</v>
      </c>
      <c r="K144" s="2">
        <v>0</v>
      </c>
      <c r="L144" s="2">
        <v>7440</v>
      </c>
      <c r="M144" s="2">
        <v>0</v>
      </c>
      <c r="N144" s="2">
        <v>0</v>
      </c>
      <c r="O144" s="2">
        <f t="shared" si="7"/>
        <v>12375</v>
      </c>
      <c r="P144" s="2">
        <v>2950</v>
      </c>
      <c r="Q144" s="2">
        <v>11092</v>
      </c>
      <c r="R144" s="5">
        <f t="shared" si="8"/>
        <v>-1667</v>
      </c>
    </row>
    <row r="145" spans="1:18" ht="18.75" customHeight="1">
      <c r="A145" s="6" t="s">
        <v>19</v>
      </c>
      <c r="B145" s="20">
        <v>44705</v>
      </c>
      <c r="C145" s="2">
        <v>0</v>
      </c>
      <c r="D145" s="2">
        <v>1520</v>
      </c>
      <c r="E145" s="2">
        <v>0</v>
      </c>
      <c r="F145" s="2">
        <v>178</v>
      </c>
      <c r="G145" s="2">
        <v>1644</v>
      </c>
      <c r="H145" s="2">
        <v>1965</v>
      </c>
      <c r="I145" s="2">
        <v>1007</v>
      </c>
      <c r="J145" s="2">
        <v>614</v>
      </c>
      <c r="K145" s="2">
        <v>0</v>
      </c>
      <c r="L145" s="2">
        <v>6992</v>
      </c>
      <c r="M145" s="2">
        <v>0</v>
      </c>
      <c r="N145" s="2">
        <v>0</v>
      </c>
      <c r="O145" s="2">
        <f t="shared" si="7"/>
        <v>12400</v>
      </c>
      <c r="P145" s="2">
        <v>3420</v>
      </c>
      <c r="Q145" s="2">
        <v>6515</v>
      </c>
      <c r="R145" s="5">
        <f t="shared" si="8"/>
        <v>2465</v>
      </c>
    </row>
    <row r="146" spans="1:18" ht="18.75" customHeight="1">
      <c r="A146" s="6" t="s">
        <v>20</v>
      </c>
      <c r="B146" s="20">
        <v>44706</v>
      </c>
      <c r="C146" s="2">
        <v>0</v>
      </c>
      <c r="D146" s="2">
        <v>1730</v>
      </c>
      <c r="E146" s="2">
        <v>0</v>
      </c>
      <c r="F146" s="2">
        <v>937</v>
      </c>
      <c r="G146" s="2">
        <v>540</v>
      </c>
      <c r="H146" s="2">
        <v>994</v>
      </c>
      <c r="I146" s="2">
        <v>2275</v>
      </c>
      <c r="J146" s="2">
        <v>1150</v>
      </c>
      <c r="K146" s="2">
        <v>0</v>
      </c>
      <c r="L146" s="2">
        <v>4789</v>
      </c>
      <c r="M146" s="2">
        <v>0</v>
      </c>
      <c r="N146" s="2">
        <v>0</v>
      </c>
      <c r="O146" s="2">
        <f t="shared" si="7"/>
        <v>10685</v>
      </c>
      <c r="P146" s="2">
        <v>2710</v>
      </c>
      <c r="Q146" s="2">
        <v>4985</v>
      </c>
      <c r="R146" s="5">
        <f t="shared" si="8"/>
        <v>2990</v>
      </c>
    </row>
    <row r="147" spans="1:18" ht="18.75" customHeight="1">
      <c r="A147" s="6" t="s">
        <v>21</v>
      </c>
      <c r="B147" s="20">
        <v>44707</v>
      </c>
      <c r="C147" s="2">
        <v>0</v>
      </c>
      <c r="D147" s="2">
        <v>2165</v>
      </c>
      <c r="E147" s="2">
        <v>0</v>
      </c>
      <c r="F147" s="2">
        <v>944</v>
      </c>
      <c r="G147" s="2">
        <v>1030</v>
      </c>
      <c r="H147" s="2">
        <v>1153</v>
      </c>
      <c r="I147" s="2">
        <v>1294</v>
      </c>
      <c r="J147" s="2">
        <v>768</v>
      </c>
      <c r="K147" s="2">
        <v>0</v>
      </c>
      <c r="L147" s="2">
        <v>4550</v>
      </c>
      <c r="M147" s="2">
        <v>0</v>
      </c>
      <c r="N147" s="2">
        <v>0</v>
      </c>
      <c r="O147" s="2">
        <f t="shared" si="7"/>
        <v>9739</v>
      </c>
      <c r="P147" s="2">
        <v>2200</v>
      </c>
      <c r="Q147" s="2">
        <v>4401</v>
      </c>
      <c r="R147" s="5">
        <f t="shared" si="8"/>
        <v>3138</v>
      </c>
    </row>
    <row r="148" spans="1:18" ht="18.75" customHeight="1">
      <c r="A148" s="6" t="s">
        <v>22</v>
      </c>
      <c r="B148" s="20">
        <v>44708</v>
      </c>
      <c r="C148" s="2">
        <v>0</v>
      </c>
      <c r="D148" s="2">
        <v>794</v>
      </c>
      <c r="E148" s="2">
        <v>0</v>
      </c>
      <c r="F148" s="2">
        <v>776</v>
      </c>
      <c r="G148" s="2">
        <v>1256</v>
      </c>
      <c r="H148" s="2">
        <v>2108</v>
      </c>
      <c r="I148" s="2">
        <v>842</v>
      </c>
      <c r="J148" s="2">
        <v>1714</v>
      </c>
      <c r="K148" s="2">
        <v>0</v>
      </c>
      <c r="L148" s="2">
        <v>5564</v>
      </c>
      <c r="M148" s="2">
        <v>0</v>
      </c>
      <c r="N148" s="2">
        <v>0</v>
      </c>
      <c r="O148" s="2">
        <f t="shared" si="7"/>
        <v>12260</v>
      </c>
      <c r="P148" s="2">
        <v>2770</v>
      </c>
      <c r="Q148" s="2">
        <v>6460</v>
      </c>
      <c r="R148" s="5">
        <f t="shared" si="8"/>
        <v>3030</v>
      </c>
    </row>
    <row r="149" spans="1:18" ht="18.75" customHeight="1">
      <c r="A149" s="6" t="s">
        <v>23</v>
      </c>
      <c r="B149" s="20">
        <v>44709</v>
      </c>
      <c r="C149" s="2">
        <v>0</v>
      </c>
      <c r="D149" s="2">
        <v>1207</v>
      </c>
      <c r="E149" s="2">
        <v>4630</v>
      </c>
      <c r="F149" s="2">
        <v>732</v>
      </c>
      <c r="G149" s="2">
        <v>1248</v>
      </c>
      <c r="H149" s="2">
        <v>960</v>
      </c>
      <c r="I149" s="2">
        <v>554</v>
      </c>
      <c r="J149" s="2">
        <v>316</v>
      </c>
      <c r="K149" s="2">
        <v>0</v>
      </c>
      <c r="L149" s="2">
        <v>9371</v>
      </c>
      <c r="M149" s="2">
        <v>0</v>
      </c>
      <c r="N149" s="2">
        <v>0</v>
      </c>
      <c r="O149" s="2">
        <f t="shared" si="7"/>
        <v>13181</v>
      </c>
      <c r="P149" s="2">
        <v>3615</v>
      </c>
      <c r="Q149" s="2">
        <v>7603</v>
      </c>
      <c r="R149" s="5">
        <f t="shared" si="8"/>
        <v>1963</v>
      </c>
    </row>
    <row r="150" spans="1:18" ht="18.75" customHeight="1">
      <c r="A150" s="6" t="s">
        <v>17</v>
      </c>
      <c r="B150" s="20">
        <v>44710</v>
      </c>
      <c r="C150" s="2">
        <v>0</v>
      </c>
      <c r="D150" s="2">
        <v>3129</v>
      </c>
      <c r="E150" s="2">
        <v>0</v>
      </c>
      <c r="F150" s="2">
        <v>837</v>
      </c>
      <c r="G150" s="2">
        <v>784</v>
      </c>
      <c r="H150" s="2">
        <v>2072</v>
      </c>
      <c r="I150" s="2">
        <v>3602</v>
      </c>
      <c r="J150" s="2">
        <v>3412</v>
      </c>
      <c r="K150" s="2">
        <v>0</v>
      </c>
      <c r="L150" s="2">
        <v>7358</v>
      </c>
      <c r="M150" s="2">
        <v>0</v>
      </c>
      <c r="N150" s="2">
        <v>0</v>
      </c>
      <c r="O150" s="2">
        <f t="shared" si="7"/>
        <v>18065</v>
      </c>
      <c r="P150" s="2">
        <v>6840</v>
      </c>
      <c r="Q150" s="2">
        <v>4488</v>
      </c>
      <c r="R150" s="5">
        <f t="shared" si="8"/>
        <v>6737</v>
      </c>
    </row>
    <row r="151" spans="1:18" ht="18.75" customHeight="1">
      <c r="A151" s="6" t="s">
        <v>18</v>
      </c>
      <c r="B151" s="20">
        <v>44711</v>
      </c>
      <c r="C151" s="2">
        <v>0</v>
      </c>
      <c r="D151" s="2">
        <v>1796</v>
      </c>
      <c r="E151" s="2">
        <v>1338</v>
      </c>
      <c r="F151" s="2">
        <v>940</v>
      </c>
      <c r="G151" s="2">
        <v>1748</v>
      </c>
      <c r="H151" s="2">
        <v>960</v>
      </c>
      <c r="I151" s="2">
        <v>516</v>
      </c>
      <c r="J151" s="2">
        <v>552</v>
      </c>
      <c r="K151" s="2">
        <v>0</v>
      </c>
      <c r="L151" s="2">
        <v>6555</v>
      </c>
      <c r="M151" s="2">
        <v>0</v>
      </c>
      <c r="N151" s="2">
        <v>0</v>
      </c>
      <c r="O151" s="2">
        <f t="shared" si="7"/>
        <v>11271</v>
      </c>
      <c r="P151" s="2">
        <v>2730</v>
      </c>
      <c r="Q151" s="2">
        <v>7897</v>
      </c>
      <c r="R151" s="5">
        <f t="shared" si="8"/>
        <v>644</v>
      </c>
    </row>
    <row r="152" spans="1:18" ht="18.75" customHeight="1">
      <c r="A152" s="6" t="s">
        <v>19</v>
      </c>
      <c r="B152" s="20">
        <v>44712</v>
      </c>
      <c r="C152" s="2">
        <v>0</v>
      </c>
      <c r="D152" s="2">
        <v>1955</v>
      </c>
      <c r="E152" s="2">
        <v>0</v>
      </c>
      <c r="F152" s="2">
        <v>607</v>
      </c>
      <c r="G152" s="2">
        <v>1823</v>
      </c>
      <c r="H152" s="2">
        <v>1985</v>
      </c>
      <c r="I152" s="2">
        <v>792</v>
      </c>
      <c r="J152" s="2">
        <v>482</v>
      </c>
      <c r="K152" s="2">
        <v>0</v>
      </c>
      <c r="L152" s="2">
        <v>3640</v>
      </c>
      <c r="M152" s="2">
        <v>0</v>
      </c>
      <c r="N152" s="2">
        <v>0</v>
      </c>
      <c r="O152" s="2">
        <f t="shared" si="7"/>
        <v>9329</v>
      </c>
      <c r="P152" s="2">
        <v>2970</v>
      </c>
      <c r="Q152" s="2">
        <v>4653</v>
      </c>
      <c r="R152" s="5">
        <f t="shared" si="8"/>
        <v>1706</v>
      </c>
    </row>
    <row r="153" spans="1:18" ht="18.75" customHeight="1">
      <c r="A153" s="6" t="s">
        <v>24</v>
      </c>
      <c r="B153" s="20">
        <v>44713</v>
      </c>
      <c r="C153" s="2">
        <v>0</v>
      </c>
      <c r="D153" s="2">
        <v>1037</v>
      </c>
      <c r="E153" s="2">
        <v>0</v>
      </c>
      <c r="F153" s="2">
        <v>815</v>
      </c>
      <c r="G153" s="2">
        <v>2283</v>
      </c>
      <c r="H153" s="2">
        <v>1128</v>
      </c>
      <c r="I153" s="2">
        <v>1640</v>
      </c>
      <c r="J153" s="2">
        <v>811</v>
      </c>
      <c r="K153" s="2">
        <v>0</v>
      </c>
      <c r="L153" s="2">
        <v>5551</v>
      </c>
      <c r="M153" s="2">
        <v>0</v>
      </c>
      <c r="N153" s="2">
        <v>0</v>
      </c>
      <c r="O153" s="2">
        <f t="shared" ref="O153:O182" si="9">SUM(F153:N153)</f>
        <v>12228</v>
      </c>
      <c r="P153" s="2">
        <v>2975</v>
      </c>
      <c r="Q153" s="2">
        <v>6570</v>
      </c>
      <c r="R153" s="5">
        <f t="shared" si="8"/>
        <v>2683</v>
      </c>
    </row>
    <row r="154" spans="1:18" ht="18.75" customHeight="1">
      <c r="A154" s="6" t="s">
        <v>21</v>
      </c>
      <c r="B154" s="20">
        <v>44714</v>
      </c>
      <c r="C154" s="2">
        <v>0</v>
      </c>
      <c r="D154" s="2">
        <v>1896</v>
      </c>
      <c r="E154" s="2">
        <v>0</v>
      </c>
      <c r="F154" s="2">
        <v>713</v>
      </c>
      <c r="G154" s="2">
        <v>2207</v>
      </c>
      <c r="H154" s="2">
        <v>992</v>
      </c>
      <c r="I154" s="2">
        <v>598</v>
      </c>
      <c r="J154" s="2">
        <v>792</v>
      </c>
      <c r="K154" s="2">
        <v>0</v>
      </c>
      <c r="L154" s="2">
        <v>8302</v>
      </c>
      <c r="M154" s="2">
        <v>0</v>
      </c>
      <c r="N154" s="2">
        <v>0</v>
      </c>
      <c r="O154" s="2">
        <f t="shared" si="9"/>
        <v>13604</v>
      </c>
      <c r="P154" s="2">
        <v>2465</v>
      </c>
      <c r="Q154" s="2">
        <v>11886</v>
      </c>
      <c r="R154" s="5">
        <f t="shared" si="8"/>
        <v>-747</v>
      </c>
    </row>
    <row r="155" spans="1:18" ht="18.75" customHeight="1">
      <c r="A155" s="6" t="s">
        <v>22</v>
      </c>
      <c r="B155" s="20">
        <v>44715</v>
      </c>
      <c r="C155" s="2">
        <v>0</v>
      </c>
      <c r="D155" s="2">
        <v>1130</v>
      </c>
      <c r="E155" s="2">
        <v>0</v>
      </c>
      <c r="F155" s="2">
        <v>660</v>
      </c>
      <c r="G155" s="2">
        <v>2387</v>
      </c>
      <c r="H155" s="2">
        <v>2225</v>
      </c>
      <c r="I155" s="2">
        <v>1072</v>
      </c>
      <c r="J155" s="2">
        <v>616</v>
      </c>
      <c r="K155" s="2">
        <v>0</v>
      </c>
      <c r="L155" s="2">
        <v>4890</v>
      </c>
      <c r="M155" s="2">
        <v>0</v>
      </c>
      <c r="N155" s="2">
        <v>0</v>
      </c>
      <c r="O155" s="2">
        <f t="shared" si="9"/>
        <v>11850</v>
      </c>
      <c r="P155" s="2">
        <v>3140</v>
      </c>
      <c r="Q155" s="2">
        <v>7312</v>
      </c>
      <c r="R155" s="5">
        <f t="shared" si="8"/>
        <v>1398</v>
      </c>
    </row>
    <row r="156" spans="1:18" ht="18.75" customHeight="1">
      <c r="A156" s="6" t="s">
        <v>23</v>
      </c>
      <c r="B156" s="20">
        <v>44716</v>
      </c>
      <c r="C156" s="2">
        <v>0</v>
      </c>
      <c r="D156" s="2">
        <v>830</v>
      </c>
      <c r="E156" s="2">
        <v>2861</v>
      </c>
      <c r="F156" s="2">
        <v>400</v>
      </c>
      <c r="G156" s="2">
        <v>932</v>
      </c>
      <c r="H156" s="2">
        <v>2260</v>
      </c>
      <c r="I156" s="2">
        <v>170</v>
      </c>
      <c r="J156" s="2">
        <v>440</v>
      </c>
      <c r="K156" s="2">
        <v>0</v>
      </c>
      <c r="L156" s="2">
        <v>9707</v>
      </c>
      <c r="M156" s="2">
        <v>0</v>
      </c>
      <c r="N156" s="2">
        <v>0</v>
      </c>
      <c r="O156" s="2">
        <f t="shared" si="9"/>
        <v>13909</v>
      </c>
      <c r="P156" s="2">
        <v>3230</v>
      </c>
      <c r="Q156" s="2">
        <v>7940</v>
      </c>
      <c r="R156" s="5">
        <f t="shared" si="8"/>
        <v>2739</v>
      </c>
    </row>
    <row r="157" spans="1:18" ht="18.75" customHeight="1">
      <c r="A157" s="6" t="s">
        <v>17</v>
      </c>
      <c r="B157" s="20">
        <v>44717</v>
      </c>
      <c r="C157" s="2">
        <v>0</v>
      </c>
      <c r="D157" s="2">
        <v>1232</v>
      </c>
      <c r="E157" s="2">
        <v>423</v>
      </c>
      <c r="F157" s="2">
        <v>390</v>
      </c>
      <c r="G157" s="2">
        <v>2475</v>
      </c>
      <c r="H157" s="2">
        <v>1700</v>
      </c>
      <c r="I157" s="2">
        <v>1192</v>
      </c>
      <c r="J157" s="2">
        <v>2441</v>
      </c>
      <c r="K157" s="2">
        <v>0</v>
      </c>
      <c r="L157" s="2">
        <v>16482</v>
      </c>
      <c r="M157" s="2">
        <v>0</v>
      </c>
      <c r="N157" s="2">
        <v>0</v>
      </c>
      <c r="O157" s="2">
        <f t="shared" si="9"/>
        <v>24680</v>
      </c>
      <c r="P157" s="2">
        <v>5890</v>
      </c>
      <c r="Q157" s="2">
        <v>5718</v>
      </c>
      <c r="R157" s="5">
        <f t="shared" si="8"/>
        <v>13072</v>
      </c>
    </row>
    <row r="158" spans="1:18" ht="18.75" customHeight="1">
      <c r="A158" s="6" t="s">
        <v>18</v>
      </c>
      <c r="B158" s="20">
        <v>44718</v>
      </c>
      <c r="C158" s="2">
        <v>0</v>
      </c>
      <c r="D158" s="2">
        <v>1934</v>
      </c>
      <c r="E158" s="2">
        <v>1141</v>
      </c>
      <c r="F158" s="2">
        <v>557</v>
      </c>
      <c r="G158" s="2">
        <v>1470</v>
      </c>
      <c r="H158" s="2">
        <v>270</v>
      </c>
      <c r="I158" s="2">
        <v>720</v>
      </c>
      <c r="J158" s="2">
        <v>904</v>
      </c>
      <c r="K158" s="2">
        <v>0</v>
      </c>
      <c r="L158" s="2">
        <v>10875</v>
      </c>
      <c r="M158" s="2">
        <v>0</v>
      </c>
      <c r="N158" s="2">
        <v>0</v>
      </c>
      <c r="O158" s="2">
        <f t="shared" si="9"/>
        <v>14796</v>
      </c>
      <c r="P158" s="2">
        <v>2920</v>
      </c>
      <c r="Q158" s="2">
        <v>7951</v>
      </c>
      <c r="R158" s="5">
        <f t="shared" si="8"/>
        <v>3925</v>
      </c>
    </row>
    <row r="159" spans="1:18" ht="18.75" customHeight="1">
      <c r="A159" s="6" t="s">
        <v>19</v>
      </c>
      <c r="B159" s="20">
        <v>44719</v>
      </c>
      <c r="C159" s="2">
        <v>0</v>
      </c>
      <c r="D159" s="2">
        <v>1050</v>
      </c>
      <c r="E159" s="2">
        <v>0</v>
      </c>
      <c r="F159" s="2">
        <v>743</v>
      </c>
      <c r="G159" s="2">
        <v>2178</v>
      </c>
      <c r="H159" s="2">
        <v>2050</v>
      </c>
      <c r="I159" s="2">
        <v>2038</v>
      </c>
      <c r="J159" s="2">
        <v>573</v>
      </c>
      <c r="K159" s="2">
        <v>0</v>
      </c>
      <c r="L159" s="2">
        <v>4282</v>
      </c>
      <c r="M159" s="2">
        <v>0</v>
      </c>
      <c r="N159" s="2">
        <v>0</v>
      </c>
      <c r="O159" s="2">
        <f t="shared" si="9"/>
        <v>11864</v>
      </c>
      <c r="P159" s="2">
        <v>2710</v>
      </c>
      <c r="Q159" s="2">
        <v>4801</v>
      </c>
      <c r="R159" s="5">
        <f t="shared" si="8"/>
        <v>4353</v>
      </c>
    </row>
    <row r="160" spans="1:18" ht="18.75" customHeight="1">
      <c r="A160" s="6" t="s">
        <v>20</v>
      </c>
      <c r="B160" s="20">
        <v>44720</v>
      </c>
      <c r="C160" s="2">
        <v>0</v>
      </c>
      <c r="D160" s="2">
        <v>1422</v>
      </c>
      <c r="E160" s="2">
        <v>1738</v>
      </c>
      <c r="F160" s="2">
        <v>772</v>
      </c>
      <c r="G160" s="2">
        <v>1698</v>
      </c>
      <c r="H160" s="2">
        <v>818</v>
      </c>
      <c r="I160" s="2">
        <v>1487</v>
      </c>
      <c r="J160" s="2">
        <v>827</v>
      </c>
      <c r="K160" s="2">
        <v>0</v>
      </c>
      <c r="L160" s="2">
        <v>4669</v>
      </c>
      <c r="M160" s="2">
        <v>0</v>
      </c>
      <c r="N160" s="2">
        <v>0</v>
      </c>
      <c r="O160" s="2">
        <f t="shared" si="9"/>
        <v>10271</v>
      </c>
      <c r="P160" s="2">
        <v>2980</v>
      </c>
      <c r="Q160" s="2">
        <v>6611</v>
      </c>
      <c r="R160" s="5">
        <f t="shared" si="8"/>
        <v>680</v>
      </c>
    </row>
    <row r="161" spans="1:18" ht="18.75" customHeight="1">
      <c r="A161" s="6" t="s">
        <v>21</v>
      </c>
      <c r="B161" s="20">
        <v>44721</v>
      </c>
      <c r="C161" s="2">
        <v>0</v>
      </c>
      <c r="D161" s="2">
        <v>1484</v>
      </c>
      <c r="E161" s="2">
        <v>654</v>
      </c>
      <c r="F161" s="2">
        <v>613</v>
      </c>
      <c r="G161" s="2">
        <v>2572</v>
      </c>
      <c r="H161" s="2">
        <v>1420</v>
      </c>
      <c r="I161" s="2">
        <v>2134</v>
      </c>
      <c r="J161" s="2">
        <v>736</v>
      </c>
      <c r="K161" s="2">
        <v>0</v>
      </c>
      <c r="L161" s="2">
        <v>7968</v>
      </c>
      <c r="M161" s="2">
        <v>0</v>
      </c>
      <c r="N161" s="2">
        <v>0</v>
      </c>
      <c r="O161" s="2">
        <f t="shared" si="9"/>
        <v>15443</v>
      </c>
      <c r="P161" s="2">
        <v>2970</v>
      </c>
      <c r="Q161" s="2">
        <v>6801</v>
      </c>
      <c r="R161" s="5">
        <f t="shared" si="8"/>
        <v>5672</v>
      </c>
    </row>
    <row r="162" spans="1:18" ht="18.75" customHeight="1">
      <c r="A162" s="6" t="s">
        <v>22</v>
      </c>
      <c r="B162" s="20">
        <v>44722</v>
      </c>
      <c r="C162" s="2">
        <v>0</v>
      </c>
      <c r="D162" s="2">
        <v>1170</v>
      </c>
      <c r="E162" s="2">
        <v>1806</v>
      </c>
      <c r="F162" s="2">
        <v>631</v>
      </c>
      <c r="G162" s="2">
        <v>1934</v>
      </c>
      <c r="H162" s="2">
        <v>1760</v>
      </c>
      <c r="I162" s="2">
        <v>736</v>
      </c>
      <c r="J162" s="2">
        <v>766</v>
      </c>
      <c r="K162" s="2">
        <v>0</v>
      </c>
      <c r="L162" s="2">
        <v>6531</v>
      </c>
      <c r="M162" s="2">
        <v>0</v>
      </c>
      <c r="N162" s="2">
        <v>0</v>
      </c>
      <c r="O162" s="2">
        <f t="shared" si="9"/>
        <v>12358</v>
      </c>
      <c r="P162" s="2">
        <v>2765</v>
      </c>
      <c r="Q162" s="2">
        <v>9772</v>
      </c>
      <c r="R162" s="5">
        <f t="shared" si="8"/>
        <v>-179</v>
      </c>
    </row>
    <row r="163" spans="1:18" ht="18.75" customHeight="1">
      <c r="A163" s="6" t="s">
        <v>23</v>
      </c>
      <c r="B163" s="20">
        <v>44723</v>
      </c>
      <c r="C163" s="2">
        <v>0</v>
      </c>
      <c r="D163" s="2">
        <v>1498</v>
      </c>
      <c r="E163" s="2">
        <v>1492</v>
      </c>
      <c r="F163" s="2">
        <v>1148</v>
      </c>
      <c r="G163" s="2">
        <v>2843</v>
      </c>
      <c r="H163" s="2">
        <v>1950</v>
      </c>
      <c r="I163" s="2">
        <v>838</v>
      </c>
      <c r="J163" s="2">
        <v>718</v>
      </c>
      <c r="K163" s="2">
        <v>0</v>
      </c>
      <c r="L163" s="2">
        <v>8850</v>
      </c>
      <c r="M163" s="2">
        <v>0</v>
      </c>
      <c r="N163" s="2">
        <v>0</v>
      </c>
      <c r="O163" s="2">
        <f t="shared" si="9"/>
        <v>16347</v>
      </c>
      <c r="P163" s="2">
        <v>2830</v>
      </c>
      <c r="Q163" s="2">
        <v>5508</v>
      </c>
      <c r="R163" s="5">
        <f t="shared" si="8"/>
        <v>8009</v>
      </c>
    </row>
    <row r="164" spans="1:18" ht="18.75" customHeight="1">
      <c r="A164" s="6" t="s">
        <v>17</v>
      </c>
      <c r="B164" s="20">
        <v>44724</v>
      </c>
      <c r="C164" s="2">
        <v>0</v>
      </c>
      <c r="D164" s="2">
        <v>1244</v>
      </c>
      <c r="E164" s="2">
        <v>1960</v>
      </c>
      <c r="F164" s="2">
        <v>839</v>
      </c>
      <c r="G164" s="2">
        <v>3390</v>
      </c>
      <c r="H164" s="2">
        <v>2304</v>
      </c>
      <c r="I164" s="2">
        <v>1100</v>
      </c>
      <c r="J164" s="2">
        <v>964</v>
      </c>
      <c r="K164" s="2">
        <v>0</v>
      </c>
      <c r="L164" s="2">
        <v>7605</v>
      </c>
      <c r="M164" s="2">
        <v>0</v>
      </c>
      <c r="N164" s="2">
        <v>0</v>
      </c>
      <c r="O164" s="2">
        <f t="shared" si="9"/>
        <v>16202</v>
      </c>
      <c r="P164" s="2">
        <v>3280</v>
      </c>
      <c r="Q164" s="2">
        <v>8626</v>
      </c>
      <c r="R164" s="5">
        <f t="shared" si="8"/>
        <v>4296</v>
      </c>
    </row>
    <row r="165" spans="1:18" ht="18.75" customHeight="1">
      <c r="A165" s="6" t="s">
        <v>18</v>
      </c>
      <c r="B165" s="20">
        <v>44725</v>
      </c>
      <c r="C165" s="2">
        <v>0</v>
      </c>
      <c r="D165" s="2">
        <v>1825</v>
      </c>
      <c r="E165" s="2">
        <v>1554</v>
      </c>
      <c r="F165" s="2">
        <v>235</v>
      </c>
      <c r="G165" s="2">
        <v>1356</v>
      </c>
      <c r="H165" s="2">
        <v>592</v>
      </c>
      <c r="I165" s="2">
        <v>1522</v>
      </c>
      <c r="J165" s="2">
        <v>728</v>
      </c>
      <c r="K165" s="2">
        <v>0</v>
      </c>
      <c r="L165" s="2">
        <v>9148</v>
      </c>
      <c r="M165" s="2">
        <v>0</v>
      </c>
      <c r="N165" s="2">
        <v>0</v>
      </c>
      <c r="O165" s="2">
        <f t="shared" si="9"/>
        <v>13581</v>
      </c>
      <c r="P165" s="2">
        <v>4074</v>
      </c>
      <c r="Q165" s="2">
        <v>7171</v>
      </c>
      <c r="R165" s="5">
        <f t="shared" si="8"/>
        <v>2336</v>
      </c>
    </row>
    <row r="166" spans="1:18" ht="18.75" customHeight="1">
      <c r="A166" s="6" t="s">
        <v>19</v>
      </c>
      <c r="B166" s="20">
        <v>44726</v>
      </c>
      <c r="C166" s="2">
        <v>0</v>
      </c>
      <c r="D166" s="2">
        <v>1656</v>
      </c>
      <c r="E166" s="2">
        <v>0</v>
      </c>
      <c r="F166" s="2">
        <v>528</v>
      </c>
      <c r="G166" s="2">
        <v>2094</v>
      </c>
      <c r="H166" s="2">
        <v>1420</v>
      </c>
      <c r="I166" s="2">
        <v>786</v>
      </c>
      <c r="J166" s="2">
        <v>462</v>
      </c>
      <c r="K166" s="2">
        <v>0</v>
      </c>
      <c r="L166" s="2">
        <v>5388</v>
      </c>
      <c r="M166" s="2">
        <v>0</v>
      </c>
      <c r="N166" s="2">
        <v>0</v>
      </c>
      <c r="O166" s="2">
        <f t="shared" si="9"/>
        <v>10678</v>
      </c>
      <c r="P166" s="2">
        <v>2795</v>
      </c>
      <c r="Q166" s="2">
        <v>4413</v>
      </c>
      <c r="R166" s="5">
        <f t="shared" si="8"/>
        <v>3470</v>
      </c>
    </row>
    <row r="167" spans="1:18" ht="18.75" customHeight="1">
      <c r="A167" s="6" t="s">
        <v>20</v>
      </c>
      <c r="B167" s="20">
        <v>44727</v>
      </c>
      <c r="C167" s="2">
        <v>0</v>
      </c>
      <c r="D167" s="2">
        <v>2431</v>
      </c>
      <c r="E167" s="2">
        <v>3360</v>
      </c>
      <c r="F167" s="2">
        <v>1073</v>
      </c>
      <c r="G167" s="2">
        <v>416</v>
      </c>
      <c r="H167" s="2">
        <v>1746</v>
      </c>
      <c r="I167" s="2">
        <v>669</v>
      </c>
      <c r="J167" s="2">
        <v>666</v>
      </c>
      <c r="K167" s="2">
        <v>0</v>
      </c>
      <c r="L167" s="2">
        <v>6417</v>
      </c>
      <c r="M167" s="2">
        <v>0</v>
      </c>
      <c r="N167" s="2">
        <v>0</v>
      </c>
      <c r="O167" s="2">
        <f t="shared" si="9"/>
        <v>10987</v>
      </c>
      <c r="P167" s="2">
        <v>2900</v>
      </c>
      <c r="Q167" s="2">
        <v>6780</v>
      </c>
      <c r="R167" s="5">
        <f t="shared" si="8"/>
        <v>1307</v>
      </c>
    </row>
    <row r="168" spans="1:18" ht="18.75" customHeight="1">
      <c r="A168" s="6" t="s">
        <v>21</v>
      </c>
      <c r="B168" s="20">
        <v>44728</v>
      </c>
      <c r="C168" s="2">
        <v>0</v>
      </c>
      <c r="D168" s="2">
        <v>1244</v>
      </c>
      <c r="E168" s="2">
        <v>2366</v>
      </c>
      <c r="F168" s="2">
        <v>519</v>
      </c>
      <c r="G168" s="2">
        <v>1040</v>
      </c>
      <c r="H168" s="2">
        <v>818</v>
      </c>
      <c r="I168" s="2">
        <v>1040</v>
      </c>
      <c r="J168" s="2">
        <v>1846</v>
      </c>
      <c r="K168" s="2">
        <v>0</v>
      </c>
      <c r="L168" s="2">
        <v>4983</v>
      </c>
      <c r="M168" s="2">
        <v>0</v>
      </c>
      <c r="N168" s="2">
        <v>0</v>
      </c>
      <c r="O168" s="2">
        <f t="shared" si="9"/>
        <v>10246</v>
      </c>
      <c r="P168" s="2">
        <v>2640</v>
      </c>
      <c r="Q168" s="2">
        <v>7475</v>
      </c>
      <c r="R168" s="5">
        <f t="shared" si="8"/>
        <v>131</v>
      </c>
    </row>
    <row r="169" spans="1:18" ht="18.75" customHeight="1">
      <c r="A169" s="6" t="s">
        <v>22</v>
      </c>
      <c r="B169" s="20">
        <v>44729</v>
      </c>
      <c r="C169" s="2">
        <v>0</v>
      </c>
      <c r="D169" s="2">
        <v>1667</v>
      </c>
      <c r="E169" s="2">
        <v>2357</v>
      </c>
      <c r="F169" s="2">
        <v>725</v>
      </c>
      <c r="G169" s="2">
        <v>1779</v>
      </c>
      <c r="H169" s="2">
        <v>1798</v>
      </c>
      <c r="I169" s="2">
        <v>920</v>
      </c>
      <c r="J169" s="2">
        <v>837</v>
      </c>
      <c r="K169" s="2">
        <v>0</v>
      </c>
      <c r="L169" s="2">
        <v>5706</v>
      </c>
      <c r="M169" s="2">
        <v>0</v>
      </c>
      <c r="N169" s="2">
        <v>0</v>
      </c>
      <c r="O169" s="2">
        <f t="shared" si="9"/>
        <v>11765</v>
      </c>
      <c r="P169" s="2">
        <v>3138</v>
      </c>
      <c r="Q169" s="2">
        <v>7921</v>
      </c>
      <c r="R169" s="5">
        <f t="shared" si="8"/>
        <v>706</v>
      </c>
    </row>
    <row r="170" spans="1:18" ht="18.75" customHeight="1">
      <c r="A170" s="6" t="s">
        <v>23</v>
      </c>
      <c r="B170" s="20">
        <v>44730</v>
      </c>
      <c r="C170" s="2">
        <v>4130</v>
      </c>
      <c r="D170" s="2">
        <v>1388</v>
      </c>
      <c r="E170" s="2">
        <v>739</v>
      </c>
      <c r="F170" s="2">
        <v>721</v>
      </c>
      <c r="G170" s="2">
        <v>1496</v>
      </c>
      <c r="H170" s="2">
        <v>1460</v>
      </c>
      <c r="I170" s="2">
        <v>958</v>
      </c>
      <c r="J170" s="2">
        <v>654</v>
      </c>
      <c r="K170" s="2">
        <v>0</v>
      </c>
      <c r="L170" s="2">
        <v>8993</v>
      </c>
      <c r="M170" s="2">
        <v>0</v>
      </c>
      <c r="N170" s="2">
        <v>0</v>
      </c>
      <c r="O170" s="2">
        <f t="shared" si="9"/>
        <v>14282</v>
      </c>
      <c r="P170" s="2">
        <v>3190</v>
      </c>
      <c r="Q170" s="2">
        <v>9335</v>
      </c>
      <c r="R170" s="5">
        <f t="shared" si="8"/>
        <v>1757</v>
      </c>
    </row>
    <row r="171" spans="1:18" ht="18.75" customHeight="1">
      <c r="A171" s="6" t="s">
        <v>17</v>
      </c>
      <c r="B171" s="20">
        <v>44731</v>
      </c>
      <c r="C171" s="2">
        <v>0</v>
      </c>
      <c r="D171" s="2">
        <v>1418</v>
      </c>
      <c r="E171" s="2">
        <v>806</v>
      </c>
      <c r="F171" s="2">
        <v>1040</v>
      </c>
      <c r="G171" s="2">
        <v>2111</v>
      </c>
      <c r="H171" s="2">
        <v>1392</v>
      </c>
      <c r="I171" s="2">
        <v>2720</v>
      </c>
      <c r="J171" s="2">
        <v>2028</v>
      </c>
      <c r="K171" s="2">
        <v>0</v>
      </c>
      <c r="L171" s="2">
        <v>8499</v>
      </c>
      <c r="M171" s="2">
        <v>0</v>
      </c>
      <c r="N171" s="2">
        <v>0</v>
      </c>
      <c r="O171" s="2">
        <f t="shared" si="9"/>
        <v>17790</v>
      </c>
      <c r="P171" s="2">
        <v>6795</v>
      </c>
      <c r="Q171" s="2">
        <v>5601</v>
      </c>
      <c r="R171" s="5">
        <f t="shared" si="8"/>
        <v>5394</v>
      </c>
    </row>
    <row r="172" spans="1:18" ht="18.75" customHeight="1">
      <c r="A172" s="6" t="s">
        <v>18</v>
      </c>
      <c r="B172" s="20">
        <v>44732</v>
      </c>
      <c r="C172" s="2">
        <v>0</v>
      </c>
      <c r="D172" s="2">
        <v>1295</v>
      </c>
      <c r="E172" s="2">
        <v>1400</v>
      </c>
      <c r="F172" s="2">
        <v>638</v>
      </c>
      <c r="G172" s="2">
        <v>1648</v>
      </c>
      <c r="H172" s="2">
        <v>892</v>
      </c>
      <c r="I172" s="2">
        <v>1168</v>
      </c>
      <c r="J172" s="2">
        <v>552</v>
      </c>
      <c r="K172" s="2">
        <v>0</v>
      </c>
      <c r="L172" s="2">
        <v>7645</v>
      </c>
      <c r="M172" s="2">
        <v>0</v>
      </c>
      <c r="N172" s="2">
        <v>0</v>
      </c>
      <c r="O172" s="2">
        <f t="shared" si="9"/>
        <v>12543</v>
      </c>
      <c r="P172" s="2">
        <v>3310</v>
      </c>
      <c r="Q172" s="2">
        <v>9101</v>
      </c>
      <c r="R172" s="5">
        <f t="shared" si="8"/>
        <v>132</v>
      </c>
    </row>
    <row r="173" spans="1:18" ht="18.75" customHeight="1">
      <c r="A173" s="6" t="s">
        <v>19</v>
      </c>
      <c r="B173" s="20">
        <v>44733</v>
      </c>
      <c r="C173" s="2">
        <v>0</v>
      </c>
      <c r="D173" s="2">
        <v>1632</v>
      </c>
      <c r="E173" s="2">
        <v>1731</v>
      </c>
      <c r="F173" s="2">
        <v>953</v>
      </c>
      <c r="G173" s="2">
        <v>792</v>
      </c>
      <c r="H173" s="2">
        <v>1134</v>
      </c>
      <c r="I173" s="2">
        <v>1322</v>
      </c>
      <c r="J173" s="2">
        <v>628</v>
      </c>
      <c r="K173" s="2">
        <v>0</v>
      </c>
      <c r="L173" s="2">
        <v>6086</v>
      </c>
      <c r="M173" s="2">
        <v>0</v>
      </c>
      <c r="N173" s="2">
        <v>0</v>
      </c>
      <c r="O173" s="2">
        <f t="shared" si="9"/>
        <v>10915</v>
      </c>
      <c r="P173" s="2">
        <v>3105</v>
      </c>
      <c r="Q173" s="2">
        <v>5423</v>
      </c>
      <c r="R173" s="5">
        <f t="shared" si="8"/>
        <v>2387</v>
      </c>
    </row>
    <row r="174" spans="1:18" ht="18.75" customHeight="1">
      <c r="A174" s="6" t="s">
        <v>20</v>
      </c>
      <c r="B174" s="20">
        <v>44734</v>
      </c>
      <c r="C174" s="2">
        <v>0</v>
      </c>
      <c r="D174" s="2">
        <v>1384</v>
      </c>
      <c r="E174" s="2">
        <v>2096</v>
      </c>
      <c r="F174" s="2">
        <v>1101</v>
      </c>
      <c r="G174" s="2">
        <v>1540</v>
      </c>
      <c r="H174" s="2">
        <v>894</v>
      </c>
      <c r="I174" s="2">
        <v>1778</v>
      </c>
      <c r="J174" s="2">
        <v>716</v>
      </c>
      <c r="K174" s="2">
        <v>0</v>
      </c>
      <c r="L174" s="2">
        <v>6517</v>
      </c>
      <c r="M174" s="2">
        <v>0</v>
      </c>
      <c r="N174" s="2">
        <v>0</v>
      </c>
      <c r="O174" s="2">
        <f t="shared" si="9"/>
        <v>12546</v>
      </c>
      <c r="P174" s="2">
        <v>3000</v>
      </c>
      <c r="Q174" s="2">
        <v>7149</v>
      </c>
      <c r="R174" s="5">
        <f t="shared" si="8"/>
        <v>2397</v>
      </c>
    </row>
    <row r="175" spans="1:18" ht="18.75" customHeight="1">
      <c r="A175" s="6" t="s">
        <v>21</v>
      </c>
      <c r="B175" s="20">
        <v>44735</v>
      </c>
      <c r="C175" s="2">
        <v>0</v>
      </c>
      <c r="D175" s="2">
        <v>1576</v>
      </c>
      <c r="E175" s="2">
        <v>840</v>
      </c>
      <c r="F175" s="2">
        <v>1389</v>
      </c>
      <c r="G175" s="2">
        <v>2339</v>
      </c>
      <c r="H175" s="2">
        <v>1080</v>
      </c>
      <c r="I175" s="2">
        <v>2086</v>
      </c>
      <c r="J175" s="2">
        <v>226</v>
      </c>
      <c r="K175" s="2">
        <v>0</v>
      </c>
      <c r="L175" s="2">
        <v>5554</v>
      </c>
      <c r="M175" s="2">
        <v>0</v>
      </c>
      <c r="N175" s="2">
        <v>0</v>
      </c>
      <c r="O175" s="2">
        <f t="shared" si="9"/>
        <v>12674</v>
      </c>
      <c r="P175" s="2">
        <v>2968</v>
      </c>
      <c r="Q175" s="2">
        <v>7299</v>
      </c>
      <c r="R175" s="5">
        <f t="shared" si="8"/>
        <v>2407</v>
      </c>
    </row>
    <row r="176" spans="1:18" ht="18.75" customHeight="1">
      <c r="A176" s="6" t="s">
        <v>22</v>
      </c>
      <c r="B176" s="20">
        <v>44736</v>
      </c>
      <c r="C176" s="2">
        <v>0</v>
      </c>
      <c r="D176" s="2">
        <v>1508</v>
      </c>
      <c r="E176" s="2">
        <v>2140</v>
      </c>
      <c r="F176" s="2">
        <v>880</v>
      </c>
      <c r="G176" s="2">
        <v>1832</v>
      </c>
      <c r="H176" s="2">
        <v>2309</v>
      </c>
      <c r="I176" s="2">
        <v>820</v>
      </c>
      <c r="J176" s="2">
        <v>638</v>
      </c>
      <c r="K176" s="2">
        <v>0</v>
      </c>
      <c r="L176" s="2">
        <v>8656</v>
      </c>
      <c r="M176" s="2">
        <v>0</v>
      </c>
      <c r="N176" s="2">
        <v>0</v>
      </c>
      <c r="O176" s="2">
        <f t="shared" si="9"/>
        <v>15135</v>
      </c>
      <c r="P176" s="2">
        <v>3100</v>
      </c>
      <c r="Q176" s="2">
        <v>7884</v>
      </c>
      <c r="R176" s="5">
        <f t="shared" si="8"/>
        <v>4151</v>
      </c>
    </row>
    <row r="177" spans="1:18" ht="18.75" customHeight="1">
      <c r="A177" s="6" t="s">
        <v>23</v>
      </c>
      <c r="B177" s="20">
        <v>44737</v>
      </c>
      <c r="C177" s="2">
        <v>1550</v>
      </c>
      <c r="D177" s="2">
        <v>2028</v>
      </c>
      <c r="E177" s="2">
        <v>1085</v>
      </c>
      <c r="F177" s="2">
        <v>500</v>
      </c>
      <c r="G177" s="2">
        <v>3443</v>
      </c>
      <c r="H177" s="2">
        <v>2428</v>
      </c>
      <c r="I177" s="2">
        <v>1006</v>
      </c>
      <c r="J177" s="2">
        <v>1805</v>
      </c>
      <c r="K177" s="2">
        <v>0</v>
      </c>
      <c r="L177" s="2">
        <v>7812</v>
      </c>
      <c r="M177" s="2">
        <v>0</v>
      </c>
      <c r="N177" s="2">
        <v>0</v>
      </c>
      <c r="O177" s="2">
        <f t="shared" si="9"/>
        <v>16994</v>
      </c>
      <c r="P177" s="2">
        <v>3650</v>
      </c>
      <c r="Q177" s="2">
        <v>11498</v>
      </c>
      <c r="R177" s="5">
        <f t="shared" si="8"/>
        <v>1846</v>
      </c>
    </row>
    <row r="178" spans="1:18" ht="18.75" customHeight="1">
      <c r="A178" s="6" t="s">
        <v>17</v>
      </c>
      <c r="B178" s="20">
        <v>44738</v>
      </c>
      <c r="C178" s="2">
        <v>0</v>
      </c>
      <c r="D178" s="2">
        <v>1730</v>
      </c>
      <c r="E178" s="2">
        <v>3666</v>
      </c>
      <c r="F178" s="2">
        <v>814</v>
      </c>
      <c r="G178" s="2">
        <v>3533</v>
      </c>
      <c r="H178" s="2">
        <v>1790</v>
      </c>
      <c r="I178" s="2">
        <v>1957</v>
      </c>
      <c r="J178" s="2">
        <v>390</v>
      </c>
      <c r="K178" s="2">
        <v>0</v>
      </c>
      <c r="L178" s="2">
        <v>11941</v>
      </c>
      <c r="M178" s="2">
        <v>0</v>
      </c>
      <c r="N178" s="2">
        <v>0</v>
      </c>
      <c r="O178" s="2">
        <f t="shared" si="9"/>
        <v>20425</v>
      </c>
      <c r="P178" s="2">
        <v>5290</v>
      </c>
      <c r="Q178" s="2">
        <v>5445</v>
      </c>
      <c r="R178" s="5">
        <f t="shared" si="8"/>
        <v>9690</v>
      </c>
    </row>
    <row r="179" spans="1:18" ht="18.75" customHeight="1">
      <c r="A179" s="6" t="s">
        <v>18</v>
      </c>
      <c r="B179" s="20">
        <v>44739</v>
      </c>
      <c r="C179" s="2">
        <v>0</v>
      </c>
      <c r="D179" s="2">
        <v>1898</v>
      </c>
      <c r="E179" s="2">
        <v>1273</v>
      </c>
      <c r="F179" s="2">
        <v>573</v>
      </c>
      <c r="G179" s="2">
        <v>1370</v>
      </c>
      <c r="H179" s="2">
        <v>818</v>
      </c>
      <c r="I179" s="2">
        <v>1350</v>
      </c>
      <c r="J179" s="2">
        <v>804</v>
      </c>
      <c r="K179" s="2">
        <v>0</v>
      </c>
      <c r="L179" s="2">
        <v>6287</v>
      </c>
      <c r="M179" s="2">
        <v>0</v>
      </c>
      <c r="N179" s="2">
        <v>0</v>
      </c>
      <c r="O179" s="2">
        <f t="shared" si="9"/>
        <v>11202</v>
      </c>
      <c r="P179" s="2">
        <v>3060</v>
      </c>
      <c r="Q179" s="2">
        <v>9406</v>
      </c>
      <c r="R179" s="5">
        <f t="shared" si="8"/>
        <v>-1264</v>
      </c>
    </row>
    <row r="180" spans="1:18" ht="18.75" customHeight="1">
      <c r="A180" s="6" t="s">
        <v>19</v>
      </c>
      <c r="B180" s="20">
        <v>44740</v>
      </c>
      <c r="C180" s="2">
        <v>0</v>
      </c>
      <c r="D180" s="2">
        <v>1030</v>
      </c>
      <c r="E180" s="2">
        <v>2675</v>
      </c>
      <c r="F180" s="2">
        <v>696</v>
      </c>
      <c r="G180" s="2">
        <v>1156</v>
      </c>
      <c r="H180" s="2">
        <v>1080</v>
      </c>
      <c r="I180" s="2">
        <v>502</v>
      </c>
      <c r="J180" s="2">
        <v>566</v>
      </c>
      <c r="K180" s="2">
        <v>0</v>
      </c>
      <c r="L180" s="2">
        <v>5989</v>
      </c>
      <c r="M180" s="2">
        <v>0</v>
      </c>
      <c r="N180" s="2">
        <v>0</v>
      </c>
      <c r="O180" s="2">
        <f t="shared" si="9"/>
        <v>9989</v>
      </c>
      <c r="P180" s="2">
        <v>3150</v>
      </c>
      <c r="Q180" s="2">
        <v>4593</v>
      </c>
      <c r="R180" s="5">
        <f t="shared" si="8"/>
        <v>2246</v>
      </c>
    </row>
    <row r="181" spans="1:18" ht="18.75" customHeight="1">
      <c r="A181" s="6" t="s">
        <v>20</v>
      </c>
      <c r="B181" s="20">
        <v>44741</v>
      </c>
      <c r="C181" s="2">
        <v>0</v>
      </c>
      <c r="D181" s="2">
        <v>1750</v>
      </c>
      <c r="E181" s="2">
        <v>1880</v>
      </c>
      <c r="F181" s="2">
        <v>408</v>
      </c>
      <c r="G181" s="2">
        <v>1321</v>
      </c>
      <c r="H181" s="2">
        <v>1649</v>
      </c>
      <c r="I181" s="2">
        <v>1008</v>
      </c>
      <c r="J181" s="2">
        <v>302</v>
      </c>
      <c r="K181" s="2">
        <v>0</v>
      </c>
      <c r="L181" s="2">
        <v>6570</v>
      </c>
      <c r="M181" s="2">
        <v>0</v>
      </c>
      <c r="N181" s="2">
        <v>0</v>
      </c>
      <c r="O181" s="2">
        <f t="shared" si="9"/>
        <v>11258</v>
      </c>
      <c r="P181" s="2">
        <v>3195</v>
      </c>
      <c r="Q181" s="2">
        <v>9774</v>
      </c>
      <c r="R181" s="5">
        <f t="shared" si="8"/>
        <v>-1711</v>
      </c>
    </row>
    <row r="182" spans="1:18" ht="18.75" customHeight="1">
      <c r="A182" s="6" t="s">
        <v>21</v>
      </c>
      <c r="B182" s="20">
        <v>44742</v>
      </c>
      <c r="C182" s="2">
        <v>0</v>
      </c>
      <c r="D182" s="2">
        <v>1281</v>
      </c>
      <c r="E182" s="2">
        <v>1315</v>
      </c>
      <c r="F182" s="2">
        <v>611</v>
      </c>
      <c r="G182" s="2">
        <v>3208</v>
      </c>
      <c r="H182" s="2">
        <v>2072</v>
      </c>
      <c r="I182" s="2">
        <v>984</v>
      </c>
      <c r="J182" s="2">
        <v>440</v>
      </c>
      <c r="K182" s="2">
        <v>0</v>
      </c>
      <c r="L182" s="2">
        <v>4579</v>
      </c>
      <c r="M182" s="2">
        <v>0</v>
      </c>
      <c r="N182" s="2">
        <v>0</v>
      </c>
      <c r="O182" s="2">
        <f t="shared" si="9"/>
        <v>11894</v>
      </c>
      <c r="P182" s="2">
        <v>2855</v>
      </c>
      <c r="Q182" s="2">
        <v>7172</v>
      </c>
      <c r="R182" s="5">
        <f t="shared" si="8"/>
        <v>1867</v>
      </c>
    </row>
    <row r="183" spans="1:18" ht="18.75" customHeight="1">
      <c r="A183" s="6" t="s">
        <v>22</v>
      </c>
      <c r="B183" s="20">
        <v>44743</v>
      </c>
      <c r="C183" s="2">
        <v>0</v>
      </c>
      <c r="D183" s="2">
        <v>2303</v>
      </c>
      <c r="E183" s="2">
        <v>832</v>
      </c>
      <c r="F183" s="2">
        <v>1021</v>
      </c>
      <c r="G183" s="2">
        <v>3173</v>
      </c>
      <c r="H183" s="2">
        <v>1900</v>
      </c>
      <c r="I183" s="2">
        <v>1757</v>
      </c>
      <c r="J183" s="2">
        <v>1156</v>
      </c>
      <c r="K183" s="2">
        <v>0</v>
      </c>
      <c r="L183" s="2">
        <v>5521</v>
      </c>
      <c r="M183" s="2">
        <v>0</v>
      </c>
      <c r="N183" s="2">
        <v>0</v>
      </c>
      <c r="O183" s="2">
        <f t="shared" ref="O183:O207" si="10">SUM(F183:L183)</f>
        <v>14528</v>
      </c>
      <c r="P183" s="2">
        <v>3430</v>
      </c>
      <c r="Q183" s="2">
        <v>6647</v>
      </c>
      <c r="R183" s="5">
        <f t="shared" si="8"/>
        <v>4451</v>
      </c>
    </row>
    <row r="184" spans="1:18" ht="18.75" customHeight="1">
      <c r="A184" s="6" t="s">
        <v>16</v>
      </c>
      <c r="B184" s="20">
        <v>44744</v>
      </c>
      <c r="C184" s="2">
        <v>2555</v>
      </c>
      <c r="D184" s="2">
        <v>2733</v>
      </c>
      <c r="E184" s="2">
        <v>1562</v>
      </c>
      <c r="F184" s="2">
        <v>745</v>
      </c>
      <c r="G184" s="2">
        <v>2523</v>
      </c>
      <c r="H184" s="2">
        <v>770</v>
      </c>
      <c r="I184" s="2">
        <v>376</v>
      </c>
      <c r="J184" s="2">
        <v>264</v>
      </c>
      <c r="K184" s="2">
        <v>0</v>
      </c>
      <c r="L184" s="2">
        <v>6847</v>
      </c>
      <c r="M184" s="2">
        <v>0</v>
      </c>
      <c r="N184" s="2">
        <v>0</v>
      </c>
      <c r="O184" s="2">
        <f t="shared" si="10"/>
        <v>11525</v>
      </c>
      <c r="P184" s="2">
        <v>3430</v>
      </c>
      <c r="Q184" s="2">
        <v>10005</v>
      </c>
      <c r="R184" s="5">
        <f t="shared" si="8"/>
        <v>-1910</v>
      </c>
    </row>
    <row r="185" spans="1:18" ht="18.75" customHeight="1">
      <c r="A185" s="6" t="s">
        <v>17</v>
      </c>
      <c r="B185" s="20">
        <v>44745</v>
      </c>
      <c r="C185" s="2">
        <v>0</v>
      </c>
      <c r="D185" s="2">
        <v>2388</v>
      </c>
      <c r="E185" s="2">
        <v>2777</v>
      </c>
      <c r="F185" s="2">
        <v>1022</v>
      </c>
      <c r="G185" s="2">
        <v>2884</v>
      </c>
      <c r="H185" s="2">
        <v>1244</v>
      </c>
      <c r="I185" s="2">
        <v>3301</v>
      </c>
      <c r="J185" s="2">
        <v>768</v>
      </c>
      <c r="K185" s="2">
        <v>0</v>
      </c>
      <c r="L185" s="2">
        <v>8288</v>
      </c>
      <c r="M185" s="2">
        <v>0</v>
      </c>
      <c r="N185" s="2">
        <v>0</v>
      </c>
      <c r="O185" s="2">
        <f t="shared" si="10"/>
        <v>17507</v>
      </c>
      <c r="P185" s="2">
        <v>5190</v>
      </c>
      <c r="Q185" s="2">
        <v>6600</v>
      </c>
      <c r="R185" s="5">
        <f t="shared" si="8"/>
        <v>5717</v>
      </c>
    </row>
    <row r="186" spans="1:18" ht="18.75" customHeight="1">
      <c r="A186" s="6" t="s">
        <v>18</v>
      </c>
      <c r="B186" s="20">
        <v>44746</v>
      </c>
      <c r="C186" s="2">
        <v>0</v>
      </c>
      <c r="D186" s="2">
        <v>438</v>
      </c>
      <c r="E186" s="2">
        <v>801</v>
      </c>
      <c r="F186" s="2">
        <v>2560</v>
      </c>
      <c r="G186" s="2">
        <v>2248</v>
      </c>
      <c r="H186" s="2">
        <v>1678</v>
      </c>
      <c r="I186" s="2">
        <v>1394</v>
      </c>
      <c r="J186" s="2">
        <v>1190</v>
      </c>
      <c r="K186" s="2">
        <v>0</v>
      </c>
      <c r="L186" s="2">
        <v>5780</v>
      </c>
      <c r="M186" s="2">
        <v>0</v>
      </c>
      <c r="N186" s="2">
        <v>0</v>
      </c>
      <c r="O186" s="2">
        <f t="shared" si="10"/>
        <v>14850</v>
      </c>
      <c r="P186" s="2">
        <v>3110</v>
      </c>
      <c r="Q186" s="2">
        <v>9815</v>
      </c>
      <c r="R186" s="5">
        <f t="shared" si="8"/>
        <v>1925</v>
      </c>
    </row>
    <row r="187" spans="1:18" ht="18.75" customHeight="1">
      <c r="A187" s="6" t="s">
        <v>19</v>
      </c>
      <c r="B187" s="20">
        <v>44747</v>
      </c>
      <c r="C187" s="2">
        <v>1860</v>
      </c>
      <c r="D187" s="2">
        <v>1446</v>
      </c>
      <c r="E187" s="2">
        <v>1735</v>
      </c>
      <c r="F187" s="2">
        <v>1100</v>
      </c>
      <c r="G187" s="2">
        <v>1591</v>
      </c>
      <c r="H187" s="2">
        <v>2096</v>
      </c>
      <c r="I187" s="2">
        <v>918</v>
      </c>
      <c r="J187" s="2">
        <v>1042</v>
      </c>
      <c r="K187" s="2">
        <v>0</v>
      </c>
      <c r="L187" s="2">
        <v>6741</v>
      </c>
      <c r="M187" s="2">
        <v>0</v>
      </c>
      <c r="N187" s="2">
        <v>0</v>
      </c>
      <c r="O187" s="2">
        <f t="shared" si="10"/>
        <v>13488</v>
      </c>
      <c r="P187" s="2">
        <v>3095</v>
      </c>
      <c r="Q187" s="2">
        <v>5951</v>
      </c>
      <c r="R187" s="5">
        <f t="shared" si="8"/>
        <v>4442</v>
      </c>
    </row>
    <row r="188" spans="1:18" ht="18.75" customHeight="1">
      <c r="A188" s="6" t="s">
        <v>20</v>
      </c>
      <c r="B188" s="20">
        <v>44748</v>
      </c>
      <c r="C188" s="2">
        <v>520</v>
      </c>
      <c r="D188" s="2">
        <v>1320</v>
      </c>
      <c r="E188" s="2">
        <v>2525</v>
      </c>
      <c r="F188" s="2">
        <v>1038</v>
      </c>
      <c r="G188" s="2">
        <v>2900</v>
      </c>
      <c r="H188" s="2">
        <v>1432</v>
      </c>
      <c r="I188" s="2">
        <v>940</v>
      </c>
      <c r="J188" s="2">
        <v>1030</v>
      </c>
      <c r="K188" s="2">
        <v>0</v>
      </c>
      <c r="L188" s="2">
        <v>10025</v>
      </c>
      <c r="M188" s="2">
        <v>0</v>
      </c>
      <c r="N188" s="2">
        <v>0</v>
      </c>
      <c r="O188" s="2">
        <f t="shared" si="10"/>
        <v>17365</v>
      </c>
      <c r="P188" s="2">
        <v>3260</v>
      </c>
      <c r="Q188" s="2">
        <v>8579</v>
      </c>
      <c r="R188" s="5">
        <f t="shared" si="8"/>
        <v>5526</v>
      </c>
    </row>
    <row r="189" spans="1:18" ht="18.75" customHeight="1">
      <c r="A189" s="6" t="s">
        <v>21</v>
      </c>
      <c r="B189" s="20">
        <v>44749</v>
      </c>
      <c r="C189" s="2">
        <v>2595</v>
      </c>
      <c r="D189" s="2">
        <v>1120</v>
      </c>
      <c r="E189" s="2">
        <v>1420</v>
      </c>
      <c r="F189" s="2">
        <v>265</v>
      </c>
      <c r="G189" s="2">
        <v>1982</v>
      </c>
      <c r="H189" s="2">
        <v>2470</v>
      </c>
      <c r="I189" s="2">
        <v>1150</v>
      </c>
      <c r="J189" s="2">
        <v>600</v>
      </c>
      <c r="K189" s="2">
        <v>0</v>
      </c>
      <c r="L189" s="2">
        <v>7152</v>
      </c>
      <c r="M189" s="2">
        <v>0</v>
      </c>
      <c r="N189" s="2">
        <v>0</v>
      </c>
      <c r="O189" s="2">
        <f t="shared" si="10"/>
        <v>13619</v>
      </c>
      <c r="P189" s="2">
        <v>2905</v>
      </c>
      <c r="Q189" s="2">
        <v>8592</v>
      </c>
      <c r="R189" s="5">
        <f t="shared" si="8"/>
        <v>2122</v>
      </c>
    </row>
    <row r="190" spans="1:18" ht="18.75" customHeight="1">
      <c r="A190" s="6" t="s">
        <v>22</v>
      </c>
      <c r="B190" s="20">
        <v>44750</v>
      </c>
      <c r="C190" s="2">
        <v>2576</v>
      </c>
      <c r="D190" s="2">
        <v>1220</v>
      </c>
      <c r="E190" s="2">
        <v>580</v>
      </c>
      <c r="F190" s="2">
        <v>716</v>
      </c>
      <c r="G190" s="2">
        <v>1630</v>
      </c>
      <c r="H190" s="2">
        <v>1690</v>
      </c>
      <c r="I190" s="2">
        <v>2348</v>
      </c>
      <c r="J190" s="2">
        <v>1180</v>
      </c>
      <c r="K190" s="2">
        <v>0</v>
      </c>
      <c r="L190" s="2">
        <v>6265</v>
      </c>
      <c r="M190" s="2">
        <v>0</v>
      </c>
      <c r="N190" s="2">
        <v>0</v>
      </c>
      <c r="O190" s="2">
        <f t="shared" si="10"/>
        <v>13829</v>
      </c>
      <c r="P190" s="2">
        <v>2980</v>
      </c>
      <c r="Q190" s="2">
        <v>14996</v>
      </c>
      <c r="R190" s="5">
        <f t="shared" si="8"/>
        <v>-4147</v>
      </c>
    </row>
    <row r="191" spans="1:18" ht="18.75" customHeight="1">
      <c r="A191" s="6" t="s">
        <v>23</v>
      </c>
      <c r="B191" s="20">
        <v>44751</v>
      </c>
      <c r="C191" s="2">
        <v>0</v>
      </c>
      <c r="D191" s="2">
        <v>1075</v>
      </c>
      <c r="E191" s="2">
        <v>2280</v>
      </c>
      <c r="F191" s="2">
        <v>1405</v>
      </c>
      <c r="G191" s="2">
        <v>1180</v>
      </c>
      <c r="H191" s="2">
        <v>1700</v>
      </c>
      <c r="I191" s="2">
        <v>1938</v>
      </c>
      <c r="J191" s="2">
        <v>1440</v>
      </c>
      <c r="K191" s="2">
        <v>0</v>
      </c>
      <c r="L191" s="2">
        <v>9163</v>
      </c>
      <c r="M191" s="2">
        <v>0</v>
      </c>
      <c r="N191" s="2">
        <v>0</v>
      </c>
      <c r="O191" s="2">
        <f t="shared" si="10"/>
        <v>16826</v>
      </c>
      <c r="P191" s="2">
        <v>3355</v>
      </c>
      <c r="Q191" s="2">
        <v>8165</v>
      </c>
      <c r="R191" s="5">
        <f t="shared" si="8"/>
        <v>5306</v>
      </c>
    </row>
    <row r="192" spans="1:18" ht="18.75" customHeight="1">
      <c r="A192" s="6" t="s">
        <v>17</v>
      </c>
      <c r="B192" s="20">
        <v>44752</v>
      </c>
      <c r="C192" s="2">
        <v>0</v>
      </c>
      <c r="D192" s="2">
        <v>3192</v>
      </c>
      <c r="E192" s="2">
        <v>3217</v>
      </c>
      <c r="F192" s="2">
        <v>667</v>
      </c>
      <c r="G192" s="2">
        <v>2150</v>
      </c>
      <c r="H192" s="2">
        <v>1940</v>
      </c>
      <c r="I192" s="2">
        <v>1080</v>
      </c>
      <c r="J192" s="2">
        <v>1298</v>
      </c>
      <c r="K192" s="2">
        <v>0</v>
      </c>
      <c r="L192" s="2">
        <v>9941</v>
      </c>
      <c r="M192" s="2">
        <v>0</v>
      </c>
      <c r="N192" s="2">
        <v>0</v>
      </c>
      <c r="O192" s="2">
        <f t="shared" si="10"/>
        <v>17076</v>
      </c>
      <c r="P192" s="2">
        <v>4025</v>
      </c>
      <c r="Q192" s="2">
        <v>5932</v>
      </c>
      <c r="R192" s="5">
        <f t="shared" si="8"/>
        <v>7119</v>
      </c>
    </row>
    <row r="193" spans="1:18" ht="18.75" customHeight="1">
      <c r="A193" s="6" t="s">
        <v>18</v>
      </c>
      <c r="B193" s="20">
        <v>44753</v>
      </c>
      <c r="C193" s="2">
        <v>2100</v>
      </c>
      <c r="D193" s="2">
        <v>580</v>
      </c>
      <c r="E193" s="2">
        <v>3410</v>
      </c>
      <c r="F193" s="2">
        <v>1200</v>
      </c>
      <c r="G193" s="2">
        <v>741</v>
      </c>
      <c r="H193" s="2">
        <v>700</v>
      </c>
      <c r="I193" s="2">
        <v>1510</v>
      </c>
      <c r="J193" s="2">
        <v>650</v>
      </c>
      <c r="K193" s="2">
        <v>0</v>
      </c>
      <c r="L193" s="2">
        <v>5698</v>
      </c>
      <c r="M193" s="2">
        <v>0</v>
      </c>
      <c r="N193" s="2">
        <v>0</v>
      </c>
      <c r="O193" s="2">
        <f t="shared" si="10"/>
        <v>10499</v>
      </c>
      <c r="P193" s="2">
        <v>3800</v>
      </c>
      <c r="Q193" s="2">
        <v>7403</v>
      </c>
      <c r="R193" s="5">
        <f t="shared" si="8"/>
        <v>-704</v>
      </c>
    </row>
    <row r="194" spans="1:18" ht="18.75" customHeight="1">
      <c r="A194" s="6" t="s">
        <v>19</v>
      </c>
      <c r="B194" s="20">
        <v>44754</v>
      </c>
      <c r="C194" s="2">
        <v>0</v>
      </c>
      <c r="D194" s="2">
        <v>2992</v>
      </c>
      <c r="E194" s="2">
        <v>720</v>
      </c>
      <c r="F194" s="2">
        <v>672</v>
      </c>
      <c r="G194" s="2">
        <v>550</v>
      </c>
      <c r="H194" s="2">
        <v>2430</v>
      </c>
      <c r="I194" s="2">
        <v>2262</v>
      </c>
      <c r="J194" s="2">
        <v>1710</v>
      </c>
      <c r="K194" s="2">
        <v>0</v>
      </c>
      <c r="L194" s="2">
        <v>7538</v>
      </c>
      <c r="M194" s="2">
        <v>0</v>
      </c>
      <c r="N194" s="2">
        <v>0</v>
      </c>
      <c r="O194" s="2">
        <f t="shared" si="10"/>
        <v>15162</v>
      </c>
      <c r="P194" s="2">
        <v>3250</v>
      </c>
      <c r="Q194" s="2">
        <v>6012</v>
      </c>
      <c r="R194" s="5">
        <f t="shared" si="8"/>
        <v>5900</v>
      </c>
    </row>
    <row r="195" spans="1:18" ht="18.75" customHeight="1">
      <c r="A195" s="6" t="s">
        <v>20</v>
      </c>
      <c r="B195" s="20">
        <v>44755</v>
      </c>
      <c r="C195" s="2">
        <v>0</v>
      </c>
      <c r="D195" s="2">
        <v>1840</v>
      </c>
      <c r="E195" s="2">
        <v>1770</v>
      </c>
      <c r="F195" s="2">
        <v>596</v>
      </c>
      <c r="G195" s="2">
        <v>2669</v>
      </c>
      <c r="H195" s="2">
        <v>1745</v>
      </c>
      <c r="I195" s="2">
        <v>990</v>
      </c>
      <c r="J195" s="2">
        <v>720</v>
      </c>
      <c r="K195" s="2">
        <v>0</v>
      </c>
      <c r="L195" s="2">
        <v>7032</v>
      </c>
      <c r="M195" s="2">
        <v>0</v>
      </c>
      <c r="N195" s="2">
        <v>0</v>
      </c>
      <c r="O195" s="2">
        <f t="shared" si="10"/>
        <v>13752</v>
      </c>
      <c r="P195" s="2">
        <v>3030</v>
      </c>
      <c r="Q195" s="2">
        <v>8806</v>
      </c>
      <c r="R195" s="5">
        <f t="shared" ref="R195:R258" si="11">O195-P195-Q195</f>
        <v>1916</v>
      </c>
    </row>
    <row r="196" spans="1:18" ht="18.75" customHeight="1">
      <c r="A196" s="6" t="s">
        <v>21</v>
      </c>
      <c r="B196" s="20">
        <v>44756</v>
      </c>
      <c r="C196" s="2">
        <v>0</v>
      </c>
      <c r="D196" s="2">
        <v>1930</v>
      </c>
      <c r="E196" s="2">
        <v>0</v>
      </c>
      <c r="F196" s="2">
        <v>568</v>
      </c>
      <c r="G196" s="2">
        <v>1970</v>
      </c>
      <c r="H196" s="2">
        <v>1382</v>
      </c>
      <c r="I196" s="2">
        <v>1740</v>
      </c>
      <c r="J196" s="2">
        <v>1250</v>
      </c>
      <c r="K196" s="2">
        <v>0</v>
      </c>
      <c r="L196" s="2">
        <v>6226</v>
      </c>
      <c r="M196" s="2">
        <v>0</v>
      </c>
      <c r="N196" s="2">
        <v>0</v>
      </c>
      <c r="O196" s="2">
        <f t="shared" si="10"/>
        <v>13136</v>
      </c>
      <c r="P196" s="2">
        <v>3075</v>
      </c>
      <c r="Q196" s="2">
        <v>7889</v>
      </c>
      <c r="R196" s="5">
        <f t="shared" si="11"/>
        <v>2172</v>
      </c>
    </row>
    <row r="197" spans="1:18" ht="18.75" customHeight="1">
      <c r="A197" s="6" t="s">
        <v>22</v>
      </c>
      <c r="B197" s="20">
        <v>44757</v>
      </c>
      <c r="C197" s="2">
        <v>1730</v>
      </c>
      <c r="D197" s="2">
        <v>1360</v>
      </c>
      <c r="E197" s="2">
        <v>2822</v>
      </c>
      <c r="F197" s="2">
        <v>1034</v>
      </c>
      <c r="G197" s="2">
        <v>660</v>
      </c>
      <c r="H197" s="2">
        <v>1865</v>
      </c>
      <c r="I197" s="2">
        <v>935</v>
      </c>
      <c r="J197" s="2">
        <v>350</v>
      </c>
      <c r="K197" s="2">
        <v>0</v>
      </c>
      <c r="L197" s="2">
        <v>6413</v>
      </c>
      <c r="M197" s="2">
        <v>0</v>
      </c>
      <c r="N197" s="2">
        <v>0</v>
      </c>
      <c r="O197" s="2">
        <f t="shared" si="10"/>
        <v>11257</v>
      </c>
      <c r="P197" s="2">
        <v>3840</v>
      </c>
      <c r="Q197" s="2">
        <v>9202</v>
      </c>
      <c r="R197" s="5">
        <f t="shared" si="11"/>
        <v>-1785</v>
      </c>
    </row>
    <row r="198" spans="1:18" ht="18.75" customHeight="1">
      <c r="A198" s="6" t="s">
        <v>23</v>
      </c>
      <c r="B198" s="20">
        <v>44758</v>
      </c>
      <c r="C198" s="2">
        <v>3700</v>
      </c>
      <c r="D198" s="2">
        <v>1510</v>
      </c>
      <c r="E198" s="2">
        <v>680</v>
      </c>
      <c r="F198" s="2">
        <v>1072</v>
      </c>
      <c r="G198" s="2">
        <v>1370</v>
      </c>
      <c r="H198" s="2">
        <v>2186</v>
      </c>
      <c r="I198" s="2">
        <v>2463</v>
      </c>
      <c r="J198" s="2">
        <v>3830</v>
      </c>
      <c r="K198" s="2">
        <v>0</v>
      </c>
      <c r="L198" s="2">
        <v>7400</v>
      </c>
      <c r="M198" s="2">
        <v>0</v>
      </c>
      <c r="N198" s="2">
        <v>0</v>
      </c>
      <c r="O198" s="2">
        <f t="shared" si="10"/>
        <v>18321</v>
      </c>
      <c r="P198" s="2">
        <v>4065</v>
      </c>
      <c r="Q198" s="2">
        <v>10184</v>
      </c>
      <c r="R198" s="5">
        <f t="shared" si="11"/>
        <v>4072</v>
      </c>
    </row>
    <row r="199" spans="1:18" ht="18.75" customHeight="1">
      <c r="A199" s="6" t="s">
        <v>17</v>
      </c>
      <c r="B199" s="20">
        <v>44759</v>
      </c>
      <c r="C199" s="2">
        <v>3928</v>
      </c>
      <c r="D199" s="2">
        <v>3830</v>
      </c>
      <c r="E199" s="2">
        <v>2362</v>
      </c>
      <c r="F199" s="2">
        <v>1010</v>
      </c>
      <c r="G199" s="2">
        <v>240</v>
      </c>
      <c r="H199" s="2">
        <v>1230</v>
      </c>
      <c r="I199" s="2">
        <v>968</v>
      </c>
      <c r="J199" s="2">
        <v>760</v>
      </c>
      <c r="K199" s="2">
        <v>0</v>
      </c>
      <c r="L199" s="2">
        <v>10577</v>
      </c>
      <c r="M199" s="2">
        <v>0</v>
      </c>
      <c r="N199" s="2">
        <v>0</v>
      </c>
      <c r="O199" s="2">
        <f t="shared" si="10"/>
        <v>14785</v>
      </c>
      <c r="P199" s="2">
        <v>4475</v>
      </c>
      <c r="Q199" s="2">
        <v>9047</v>
      </c>
      <c r="R199" s="5">
        <f t="shared" si="11"/>
        <v>1263</v>
      </c>
    </row>
    <row r="200" spans="1:18" ht="18.75" customHeight="1">
      <c r="A200" s="6" t="s">
        <v>18</v>
      </c>
      <c r="B200" s="20">
        <v>44760</v>
      </c>
      <c r="C200" s="2">
        <v>3496</v>
      </c>
      <c r="D200" s="2">
        <v>1110</v>
      </c>
      <c r="E200" s="2">
        <v>2220</v>
      </c>
      <c r="F200" s="2">
        <v>662</v>
      </c>
      <c r="G200" s="2">
        <v>1680</v>
      </c>
      <c r="H200" s="2">
        <v>1070</v>
      </c>
      <c r="I200" s="2">
        <v>1746</v>
      </c>
      <c r="J200" s="2">
        <v>420</v>
      </c>
      <c r="K200" s="2">
        <v>0</v>
      </c>
      <c r="L200" s="2">
        <v>7090</v>
      </c>
      <c r="M200" s="2">
        <v>0</v>
      </c>
      <c r="N200" s="2">
        <v>0</v>
      </c>
      <c r="O200" s="2">
        <f t="shared" si="10"/>
        <v>12668</v>
      </c>
      <c r="P200" s="2">
        <v>3575</v>
      </c>
      <c r="Q200" s="2">
        <v>10799</v>
      </c>
      <c r="R200" s="5">
        <f t="shared" si="11"/>
        <v>-1706</v>
      </c>
    </row>
    <row r="201" spans="1:18" ht="18.75" customHeight="1">
      <c r="A201" s="6" t="s">
        <v>19</v>
      </c>
      <c r="B201" s="20">
        <v>44761</v>
      </c>
      <c r="C201" s="2">
        <v>2814</v>
      </c>
      <c r="D201" s="2">
        <v>820</v>
      </c>
      <c r="E201" s="2">
        <v>1250</v>
      </c>
      <c r="F201" s="2">
        <v>786</v>
      </c>
      <c r="G201" s="2">
        <v>1770</v>
      </c>
      <c r="H201" s="2">
        <v>1780</v>
      </c>
      <c r="I201" s="2">
        <v>700</v>
      </c>
      <c r="J201" s="2">
        <v>440</v>
      </c>
      <c r="K201" s="2">
        <v>0</v>
      </c>
      <c r="L201" s="2">
        <v>7812</v>
      </c>
      <c r="M201" s="2">
        <v>0</v>
      </c>
      <c r="N201" s="2">
        <v>0</v>
      </c>
      <c r="O201" s="2">
        <f t="shared" si="10"/>
        <v>13288</v>
      </c>
      <c r="P201" s="2">
        <v>3645</v>
      </c>
      <c r="Q201" s="2">
        <v>6110</v>
      </c>
      <c r="R201" s="5">
        <f t="shared" si="11"/>
        <v>3533</v>
      </c>
    </row>
    <row r="202" spans="1:18" ht="18.75" customHeight="1">
      <c r="A202" s="6" t="s">
        <v>20</v>
      </c>
      <c r="B202" s="20">
        <v>44762</v>
      </c>
      <c r="C202" s="2">
        <v>2330</v>
      </c>
      <c r="D202" s="2">
        <v>1910</v>
      </c>
      <c r="E202" s="2">
        <v>2376</v>
      </c>
      <c r="F202" s="2">
        <v>394</v>
      </c>
      <c r="G202" s="2">
        <v>1456</v>
      </c>
      <c r="H202" s="2">
        <v>925</v>
      </c>
      <c r="I202" s="2">
        <v>885</v>
      </c>
      <c r="J202" s="2">
        <v>360</v>
      </c>
      <c r="K202" s="2">
        <v>0</v>
      </c>
      <c r="L202" s="2">
        <v>10075</v>
      </c>
      <c r="M202" s="2">
        <v>0</v>
      </c>
      <c r="N202" s="2">
        <v>0</v>
      </c>
      <c r="O202" s="2">
        <f t="shared" si="10"/>
        <v>14095</v>
      </c>
      <c r="P202" s="2">
        <v>4385</v>
      </c>
      <c r="Q202" s="2">
        <v>9656</v>
      </c>
      <c r="R202" s="5">
        <f t="shared" si="11"/>
        <v>54</v>
      </c>
    </row>
    <row r="203" spans="1:18" ht="18.75" customHeight="1">
      <c r="A203" s="6" t="s">
        <v>21</v>
      </c>
      <c r="B203" s="20">
        <v>44763</v>
      </c>
      <c r="C203" s="2">
        <v>5180</v>
      </c>
      <c r="D203" s="2">
        <v>1312</v>
      </c>
      <c r="E203" s="2">
        <v>1660</v>
      </c>
      <c r="F203" s="2">
        <v>592</v>
      </c>
      <c r="G203" s="2">
        <v>1136</v>
      </c>
      <c r="H203" s="2">
        <v>180</v>
      </c>
      <c r="I203" s="2">
        <v>1370</v>
      </c>
      <c r="J203" s="2">
        <v>400</v>
      </c>
      <c r="K203" s="2">
        <v>0</v>
      </c>
      <c r="L203" s="2">
        <v>10023</v>
      </c>
      <c r="M203" s="2">
        <v>0</v>
      </c>
      <c r="N203" s="2">
        <v>0</v>
      </c>
      <c r="O203" s="2">
        <f t="shared" si="10"/>
        <v>13701</v>
      </c>
      <c r="P203" s="2">
        <v>4110</v>
      </c>
      <c r="Q203" s="2">
        <v>8771.5</v>
      </c>
      <c r="R203" s="5">
        <f t="shared" si="11"/>
        <v>819.5</v>
      </c>
    </row>
    <row r="204" spans="1:18" ht="18.75" customHeight="1">
      <c r="A204" s="6" t="s">
        <v>22</v>
      </c>
      <c r="B204" s="20">
        <v>44764</v>
      </c>
      <c r="C204" s="2">
        <v>2505</v>
      </c>
      <c r="D204" s="2">
        <v>2361</v>
      </c>
      <c r="E204" s="2">
        <v>2346</v>
      </c>
      <c r="F204" s="2">
        <v>1010</v>
      </c>
      <c r="G204" s="2">
        <v>1608</v>
      </c>
      <c r="H204" s="2">
        <v>1480</v>
      </c>
      <c r="I204" s="2">
        <v>550</v>
      </c>
      <c r="J204" s="2">
        <v>580</v>
      </c>
      <c r="K204" s="2">
        <v>0</v>
      </c>
      <c r="L204" s="2">
        <v>8973</v>
      </c>
      <c r="M204" s="2">
        <v>0</v>
      </c>
      <c r="N204" s="2">
        <v>0</v>
      </c>
      <c r="O204" s="2">
        <f t="shared" si="10"/>
        <v>14201</v>
      </c>
      <c r="P204" s="2">
        <v>3950</v>
      </c>
      <c r="Q204" s="2">
        <v>8566</v>
      </c>
      <c r="R204" s="5">
        <f t="shared" si="11"/>
        <v>1685</v>
      </c>
    </row>
    <row r="205" spans="1:18" ht="18.75" customHeight="1">
      <c r="A205" s="6" t="s">
        <v>23</v>
      </c>
      <c r="B205" s="20">
        <v>44765</v>
      </c>
      <c r="C205" s="2">
        <v>2926</v>
      </c>
      <c r="D205" s="2">
        <v>310</v>
      </c>
      <c r="E205" s="2">
        <v>1700</v>
      </c>
      <c r="F205" s="2">
        <v>334</v>
      </c>
      <c r="G205" s="2">
        <v>2650</v>
      </c>
      <c r="H205" s="2">
        <v>2248</v>
      </c>
      <c r="I205" s="2">
        <v>1470</v>
      </c>
      <c r="J205" s="2">
        <v>970</v>
      </c>
      <c r="K205" s="2">
        <v>0</v>
      </c>
      <c r="L205" s="2">
        <v>13579</v>
      </c>
      <c r="M205" s="2">
        <v>0</v>
      </c>
      <c r="N205" s="2">
        <v>0</v>
      </c>
      <c r="O205" s="2">
        <f t="shared" si="10"/>
        <v>21251</v>
      </c>
      <c r="P205" s="2">
        <v>4080</v>
      </c>
      <c r="Q205" s="2">
        <v>9557.5</v>
      </c>
      <c r="R205" s="5">
        <f t="shared" si="11"/>
        <v>7613.5</v>
      </c>
    </row>
    <row r="206" spans="1:18" ht="18.75" customHeight="1">
      <c r="A206" s="6" t="s">
        <v>17</v>
      </c>
      <c r="B206" s="20">
        <v>44766</v>
      </c>
      <c r="C206" s="2">
        <v>3370</v>
      </c>
      <c r="D206" s="2">
        <v>2024</v>
      </c>
      <c r="E206" s="2">
        <v>2200</v>
      </c>
      <c r="F206" s="2">
        <v>608</v>
      </c>
      <c r="G206" s="2">
        <v>230</v>
      </c>
      <c r="H206" s="2">
        <v>1390</v>
      </c>
      <c r="I206" s="2">
        <v>870</v>
      </c>
      <c r="J206" s="2">
        <v>3350</v>
      </c>
      <c r="K206" s="2">
        <v>0</v>
      </c>
      <c r="L206" s="2">
        <v>13662</v>
      </c>
      <c r="M206" s="2">
        <v>0</v>
      </c>
      <c r="N206" s="2">
        <v>0</v>
      </c>
      <c r="O206" s="2">
        <f t="shared" si="10"/>
        <v>20110</v>
      </c>
      <c r="P206" s="2">
        <v>6450</v>
      </c>
      <c r="Q206" s="2">
        <v>8449.5</v>
      </c>
      <c r="R206" s="5">
        <f t="shared" si="11"/>
        <v>5210.5</v>
      </c>
    </row>
    <row r="207" spans="1:18" ht="18.75" customHeight="1">
      <c r="A207" s="6" t="s">
        <v>18</v>
      </c>
      <c r="B207" s="20">
        <v>44767</v>
      </c>
      <c r="C207" s="2">
        <v>640</v>
      </c>
      <c r="D207" s="2">
        <v>3860</v>
      </c>
      <c r="E207" s="2">
        <v>820</v>
      </c>
      <c r="F207" s="2">
        <v>330</v>
      </c>
      <c r="G207" s="2">
        <v>1610</v>
      </c>
      <c r="H207" s="2">
        <v>840</v>
      </c>
      <c r="I207" s="2">
        <v>1881</v>
      </c>
      <c r="J207" s="2">
        <v>2277</v>
      </c>
      <c r="K207" s="2">
        <v>0</v>
      </c>
      <c r="L207" s="2">
        <v>9751</v>
      </c>
      <c r="M207" s="2">
        <v>0</v>
      </c>
      <c r="N207" s="2">
        <v>0</v>
      </c>
      <c r="O207" s="2">
        <f t="shared" si="10"/>
        <v>16689</v>
      </c>
      <c r="P207" s="2">
        <v>4090</v>
      </c>
      <c r="Q207" s="2">
        <v>12525</v>
      </c>
      <c r="R207" s="5">
        <f t="shared" si="11"/>
        <v>74</v>
      </c>
    </row>
    <row r="208" spans="1:18" ht="18.75" customHeight="1">
      <c r="A208" s="6" t="s">
        <v>19</v>
      </c>
      <c r="B208" s="20">
        <v>44768</v>
      </c>
      <c r="C208" s="2">
        <v>608</v>
      </c>
      <c r="D208" s="2">
        <v>3370</v>
      </c>
      <c r="E208" s="2">
        <v>870</v>
      </c>
      <c r="F208" s="2">
        <v>2024</v>
      </c>
      <c r="G208" s="2">
        <v>1390</v>
      </c>
      <c r="H208" s="2">
        <v>2200</v>
      </c>
      <c r="I208" s="2">
        <v>230</v>
      </c>
      <c r="J208" s="2">
        <v>3350</v>
      </c>
      <c r="K208" s="2">
        <v>0</v>
      </c>
      <c r="L208" s="2">
        <v>10482</v>
      </c>
      <c r="M208" s="2">
        <v>2301</v>
      </c>
      <c r="N208" s="2">
        <v>0</v>
      </c>
      <c r="O208" s="2">
        <f t="shared" ref="O208:O217" si="12">SUM(F208:M208)</f>
        <v>21977</v>
      </c>
      <c r="P208" s="2">
        <v>6500</v>
      </c>
      <c r="Q208" s="2">
        <v>8449</v>
      </c>
      <c r="R208" s="5">
        <f t="shared" si="11"/>
        <v>7028</v>
      </c>
    </row>
    <row r="209" spans="1:18" ht="18.75" customHeight="1">
      <c r="A209" s="6" t="s">
        <v>20</v>
      </c>
      <c r="B209" s="20">
        <v>44769</v>
      </c>
      <c r="C209" s="2">
        <v>0</v>
      </c>
      <c r="D209" s="2">
        <v>2019</v>
      </c>
      <c r="E209" s="2">
        <v>1320</v>
      </c>
      <c r="F209" s="2">
        <v>1656</v>
      </c>
      <c r="G209" s="2">
        <v>1250</v>
      </c>
      <c r="H209" s="2">
        <v>3392</v>
      </c>
      <c r="I209" s="2">
        <v>0</v>
      </c>
      <c r="J209" s="2">
        <v>930</v>
      </c>
      <c r="K209" s="2">
        <v>0</v>
      </c>
      <c r="L209" s="2">
        <v>8898</v>
      </c>
      <c r="M209" s="2">
        <v>786</v>
      </c>
      <c r="N209" s="2">
        <v>0</v>
      </c>
      <c r="O209" s="2">
        <f t="shared" si="12"/>
        <v>16912</v>
      </c>
      <c r="P209" s="2">
        <v>4420</v>
      </c>
      <c r="Q209" s="2">
        <v>9822</v>
      </c>
      <c r="R209" s="5">
        <f t="shared" si="11"/>
        <v>2670</v>
      </c>
    </row>
    <row r="210" spans="1:18" ht="18.75" customHeight="1">
      <c r="A210" s="6" t="s">
        <v>21</v>
      </c>
      <c r="B210" s="20">
        <v>44770</v>
      </c>
      <c r="C210" s="2">
        <v>0</v>
      </c>
      <c r="D210" s="2">
        <v>2476</v>
      </c>
      <c r="E210" s="2">
        <v>1320</v>
      </c>
      <c r="F210" s="2">
        <v>1668</v>
      </c>
      <c r="G210" s="2">
        <v>1470</v>
      </c>
      <c r="H210" s="2">
        <v>1410</v>
      </c>
      <c r="I210" s="2">
        <v>985</v>
      </c>
      <c r="J210" s="2">
        <v>1180</v>
      </c>
      <c r="K210" s="2">
        <v>0</v>
      </c>
      <c r="L210" s="2">
        <v>8763</v>
      </c>
      <c r="M210" s="2">
        <v>377</v>
      </c>
      <c r="N210" s="2">
        <v>0</v>
      </c>
      <c r="O210" s="2">
        <f t="shared" si="12"/>
        <v>15853</v>
      </c>
      <c r="P210" s="2">
        <v>3440</v>
      </c>
      <c r="Q210" s="2">
        <v>9135</v>
      </c>
      <c r="R210" s="5">
        <f t="shared" si="11"/>
        <v>3278</v>
      </c>
    </row>
    <row r="211" spans="1:18" ht="18.75" customHeight="1">
      <c r="A211" s="6" t="s">
        <v>22</v>
      </c>
      <c r="B211" s="20">
        <v>44771</v>
      </c>
      <c r="C211" s="2">
        <v>0</v>
      </c>
      <c r="D211" s="2">
        <v>3505</v>
      </c>
      <c r="E211" s="2">
        <v>1090</v>
      </c>
      <c r="F211" s="2">
        <v>1810</v>
      </c>
      <c r="G211" s="2">
        <v>208</v>
      </c>
      <c r="H211" s="2" t="s">
        <v>36</v>
      </c>
      <c r="I211" s="2">
        <v>1320</v>
      </c>
      <c r="J211" s="2">
        <v>1320</v>
      </c>
      <c r="K211" s="2">
        <v>0</v>
      </c>
      <c r="L211" s="2">
        <v>12095</v>
      </c>
      <c r="M211" s="2">
        <v>1151</v>
      </c>
      <c r="N211" s="2">
        <v>0</v>
      </c>
      <c r="O211" s="2">
        <f t="shared" si="12"/>
        <v>17904</v>
      </c>
      <c r="P211" s="2">
        <v>5070</v>
      </c>
      <c r="Q211" s="2">
        <v>11579</v>
      </c>
      <c r="R211" s="5">
        <f t="shared" si="11"/>
        <v>1255</v>
      </c>
    </row>
    <row r="212" spans="1:18" ht="18.75" customHeight="1">
      <c r="A212" s="6" t="s">
        <v>23</v>
      </c>
      <c r="B212" s="20">
        <v>44772</v>
      </c>
      <c r="C212" s="2">
        <v>620</v>
      </c>
      <c r="D212" s="2">
        <v>3291</v>
      </c>
      <c r="E212" s="2">
        <v>470</v>
      </c>
      <c r="F212" s="2">
        <v>1560</v>
      </c>
      <c r="G212" s="2">
        <v>2320</v>
      </c>
      <c r="H212" s="2">
        <v>3530</v>
      </c>
      <c r="I212" s="2">
        <v>700</v>
      </c>
      <c r="J212" s="2">
        <v>1580</v>
      </c>
      <c r="K212" s="2">
        <v>0</v>
      </c>
      <c r="L212" s="2">
        <v>15034</v>
      </c>
      <c r="M212" s="2">
        <v>1646</v>
      </c>
      <c r="N212" s="2">
        <v>0</v>
      </c>
      <c r="O212" s="2">
        <f t="shared" si="12"/>
        <v>26370</v>
      </c>
      <c r="P212" s="2">
        <v>5060</v>
      </c>
      <c r="Q212" s="2">
        <v>12166</v>
      </c>
      <c r="R212" s="5">
        <f t="shared" si="11"/>
        <v>9144</v>
      </c>
    </row>
    <row r="213" spans="1:18" ht="18.75" customHeight="1">
      <c r="A213" s="6" t="s">
        <v>17</v>
      </c>
      <c r="B213" s="20">
        <v>44773</v>
      </c>
      <c r="C213" s="2">
        <v>0</v>
      </c>
      <c r="D213" s="2">
        <v>4072</v>
      </c>
      <c r="E213" s="2">
        <v>686</v>
      </c>
      <c r="F213" s="2">
        <v>1528</v>
      </c>
      <c r="G213" s="2">
        <v>1050</v>
      </c>
      <c r="H213" s="2">
        <v>4160</v>
      </c>
      <c r="I213" s="2">
        <v>860</v>
      </c>
      <c r="J213" s="2">
        <v>1490</v>
      </c>
      <c r="K213" s="2">
        <v>0</v>
      </c>
      <c r="L213" s="2">
        <v>19473</v>
      </c>
      <c r="M213" s="2">
        <v>1281</v>
      </c>
      <c r="N213" s="2">
        <v>0</v>
      </c>
      <c r="O213" s="2">
        <f t="shared" si="12"/>
        <v>29842</v>
      </c>
      <c r="P213" s="2">
        <v>6940</v>
      </c>
      <c r="Q213" s="2">
        <v>11136</v>
      </c>
      <c r="R213" s="5">
        <f t="shared" si="11"/>
        <v>11766</v>
      </c>
    </row>
    <row r="214" spans="1:18" ht="18.75" customHeight="1">
      <c r="A214" s="6" t="s">
        <v>18</v>
      </c>
      <c r="B214" s="20">
        <v>44774</v>
      </c>
      <c r="C214" s="2">
        <v>755</v>
      </c>
      <c r="D214" s="2">
        <v>2866</v>
      </c>
      <c r="E214" s="2">
        <v>850</v>
      </c>
      <c r="F214" s="2">
        <v>1870</v>
      </c>
      <c r="G214" s="2">
        <v>885</v>
      </c>
      <c r="H214" s="2">
        <v>2090</v>
      </c>
      <c r="I214" s="2">
        <v>653</v>
      </c>
      <c r="J214" s="2">
        <v>1530</v>
      </c>
      <c r="K214" s="2">
        <v>0</v>
      </c>
      <c r="L214" s="2">
        <v>12763</v>
      </c>
      <c r="M214" s="2">
        <v>2163</v>
      </c>
      <c r="N214" s="2">
        <v>0</v>
      </c>
      <c r="O214" s="2">
        <f t="shared" si="12"/>
        <v>21954</v>
      </c>
      <c r="P214" s="2">
        <v>5415</v>
      </c>
      <c r="Q214" s="2">
        <v>14125.5</v>
      </c>
      <c r="R214" s="5">
        <f t="shared" si="11"/>
        <v>2413.5</v>
      </c>
    </row>
    <row r="215" spans="1:18" ht="18.75" customHeight="1">
      <c r="A215" s="6" t="s">
        <v>19</v>
      </c>
      <c r="B215" s="20">
        <v>44775</v>
      </c>
      <c r="C215" s="2">
        <v>682</v>
      </c>
      <c r="D215" s="2">
        <v>3080</v>
      </c>
      <c r="E215" s="2">
        <v>392</v>
      </c>
      <c r="F215" s="2">
        <v>1746</v>
      </c>
      <c r="G215" s="2">
        <v>2120</v>
      </c>
      <c r="H215" s="2">
        <v>1110</v>
      </c>
      <c r="I215" s="2">
        <v>320</v>
      </c>
      <c r="J215" s="2">
        <v>830</v>
      </c>
      <c r="K215" s="2">
        <v>0</v>
      </c>
      <c r="L215" s="2">
        <v>11995</v>
      </c>
      <c r="M215" s="2">
        <v>1047</v>
      </c>
      <c r="N215" s="2">
        <v>0</v>
      </c>
      <c r="O215" s="2">
        <f t="shared" si="12"/>
        <v>19168</v>
      </c>
      <c r="P215" s="2">
        <v>5425</v>
      </c>
      <c r="Q215" s="2">
        <v>10151</v>
      </c>
      <c r="R215" s="5">
        <f t="shared" si="11"/>
        <v>3592</v>
      </c>
    </row>
    <row r="216" spans="1:18" ht="18.75" customHeight="1">
      <c r="A216" s="6" t="s">
        <v>19</v>
      </c>
      <c r="B216" s="20">
        <v>44776</v>
      </c>
      <c r="C216" s="2">
        <v>740</v>
      </c>
      <c r="D216" s="2">
        <v>3595</v>
      </c>
      <c r="E216" s="2">
        <v>310</v>
      </c>
      <c r="F216" s="2">
        <v>2124</v>
      </c>
      <c r="G216" s="2">
        <v>1350</v>
      </c>
      <c r="H216" s="2">
        <v>1970</v>
      </c>
      <c r="I216" s="2">
        <v>780</v>
      </c>
      <c r="J216" s="2">
        <v>1450</v>
      </c>
      <c r="K216" s="2">
        <v>0</v>
      </c>
      <c r="L216" s="2">
        <v>14206</v>
      </c>
      <c r="M216" s="2">
        <v>1275</v>
      </c>
      <c r="N216" s="2">
        <v>0</v>
      </c>
      <c r="O216" s="2">
        <f t="shared" si="12"/>
        <v>23155</v>
      </c>
      <c r="P216" s="2">
        <v>5010</v>
      </c>
      <c r="Q216" s="2">
        <v>13003.52</v>
      </c>
      <c r="R216" s="5">
        <f t="shared" si="11"/>
        <v>5141.4799999999996</v>
      </c>
    </row>
    <row r="217" spans="1:18" ht="18.75" customHeight="1">
      <c r="A217" s="6" t="s">
        <v>20</v>
      </c>
      <c r="B217" s="20">
        <v>44777</v>
      </c>
      <c r="C217" s="2">
        <v>739</v>
      </c>
      <c r="D217" s="2">
        <v>2709</v>
      </c>
      <c r="E217" s="2">
        <v>860</v>
      </c>
      <c r="F217" s="2">
        <v>1500</v>
      </c>
      <c r="G217" s="2">
        <v>1880</v>
      </c>
      <c r="H217" s="2">
        <v>1725</v>
      </c>
      <c r="I217" s="2">
        <v>0</v>
      </c>
      <c r="J217" s="2">
        <v>1700</v>
      </c>
      <c r="K217" s="2">
        <v>0</v>
      </c>
      <c r="L217" s="2">
        <v>7684</v>
      </c>
      <c r="M217" s="2">
        <v>80</v>
      </c>
      <c r="N217" s="2">
        <v>0</v>
      </c>
      <c r="O217" s="2">
        <f t="shared" si="12"/>
        <v>14569</v>
      </c>
      <c r="P217" s="2">
        <v>4040</v>
      </c>
      <c r="Q217" s="2">
        <v>10861</v>
      </c>
      <c r="R217" s="5">
        <f t="shared" si="11"/>
        <v>-332</v>
      </c>
    </row>
    <row r="218" spans="1:18" ht="18.75" customHeight="1">
      <c r="A218" s="6" t="s">
        <v>21</v>
      </c>
      <c r="B218" s="20">
        <v>44778</v>
      </c>
      <c r="C218" s="2">
        <v>484</v>
      </c>
      <c r="D218" s="2">
        <v>2075</v>
      </c>
      <c r="E218" s="2">
        <v>620</v>
      </c>
      <c r="F218" s="2">
        <v>2226</v>
      </c>
      <c r="G218" s="2">
        <v>2250</v>
      </c>
      <c r="H218" s="2">
        <v>2100</v>
      </c>
      <c r="I218" s="2">
        <v>0</v>
      </c>
      <c r="J218" s="2">
        <v>871</v>
      </c>
      <c r="K218" s="2">
        <v>0</v>
      </c>
      <c r="L218" s="2">
        <v>12538</v>
      </c>
      <c r="M218" s="2">
        <v>356</v>
      </c>
      <c r="N218" s="2">
        <v>345</v>
      </c>
      <c r="O218" s="2">
        <f t="shared" ref="O218:O244" si="13">SUM(F218:N218)</f>
        <v>20686</v>
      </c>
      <c r="P218" s="2">
        <v>5710</v>
      </c>
      <c r="Q218" s="2">
        <v>10706</v>
      </c>
      <c r="R218" s="5">
        <f t="shared" si="11"/>
        <v>4270</v>
      </c>
    </row>
    <row r="219" spans="1:18" ht="18.75" customHeight="1">
      <c r="A219" s="6" t="s">
        <v>22</v>
      </c>
      <c r="B219" s="20">
        <v>44779</v>
      </c>
      <c r="C219" s="2">
        <v>385</v>
      </c>
      <c r="D219" s="2">
        <v>3033</v>
      </c>
      <c r="E219" s="2">
        <v>1600</v>
      </c>
      <c r="F219" s="2">
        <v>1822</v>
      </c>
      <c r="G219" s="2">
        <v>1970</v>
      </c>
      <c r="H219" s="2">
        <v>2130</v>
      </c>
      <c r="I219" s="2">
        <v>520</v>
      </c>
      <c r="J219" s="2">
        <v>600</v>
      </c>
      <c r="K219" s="2">
        <v>0</v>
      </c>
      <c r="L219" s="2">
        <v>12616</v>
      </c>
      <c r="M219" s="2">
        <v>1533</v>
      </c>
      <c r="N219" s="2">
        <v>573</v>
      </c>
      <c r="O219" s="2">
        <f t="shared" si="13"/>
        <v>21764</v>
      </c>
      <c r="P219" s="2">
        <v>5480</v>
      </c>
      <c r="Q219" s="2">
        <v>12469</v>
      </c>
      <c r="R219" s="5">
        <f t="shared" si="11"/>
        <v>3815</v>
      </c>
    </row>
    <row r="220" spans="1:18" ht="18.75" customHeight="1">
      <c r="A220" s="6" t="s">
        <v>23</v>
      </c>
      <c r="B220" s="20">
        <v>44780</v>
      </c>
      <c r="C220" s="2">
        <v>470</v>
      </c>
      <c r="D220" s="2">
        <v>3482</v>
      </c>
      <c r="E220" s="2">
        <v>870</v>
      </c>
      <c r="F220" s="2">
        <v>1232</v>
      </c>
      <c r="G220" s="2">
        <v>960</v>
      </c>
      <c r="H220" s="2">
        <v>3700</v>
      </c>
      <c r="I220" s="2">
        <v>0</v>
      </c>
      <c r="J220" s="2">
        <v>1440</v>
      </c>
      <c r="K220" s="2">
        <v>0</v>
      </c>
      <c r="L220" s="2">
        <v>14730</v>
      </c>
      <c r="M220" s="2">
        <v>3013</v>
      </c>
      <c r="N220" s="2">
        <v>0</v>
      </c>
      <c r="O220" s="2">
        <f t="shared" si="13"/>
        <v>25075</v>
      </c>
      <c r="P220" s="2">
        <v>6344</v>
      </c>
      <c r="Q220" s="2">
        <v>6253</v>
      </c>
      <c r="R220" s="5">
        <f t="shared" si="11"/>
        <v>12478</v>
      </c>
    </row>
    <row r="221" spans="1:18" ht="18.75" customHeight="1">
      <c r="A221" s="6" t="s">
        <v>17</v>
      </c>
      <c r="B221" s="20">
        <v>44781</v>
      </c>
      <c r="C221" s="2">
        <v>839</v>
      </c>
      <c r="D221" s="2">
        <v>1106</v>
      </c>
      <c r="E221" s="2">
        <v>1230</v>
      </c>
      <c r="F221" s="2">
        <v>1510</v>
      </c>
      <c r="G221" s="2">
        <v>1330</v>
      </c>
      <c r="H221" s="2">
        <v>2655</v>
      </c>
      <c r="I221" s="2">
        <v>0</v>
      </c>
      <c r="J221" s="2">
        <v>2160</v>
      </c>
      <c r="K221" s="2">
        <v>0</v>
      </c>
      <c r="L221" s="2">
        <v>7885</v>
      </c>
      <c r="M221" s="2">
        <v>842</v>
      </c>
      <c r="N221" s="2">
        <v>56</v>
      </c>
      <c r="O221" s="2">
        <f t="shared" si="13"/>
        <v>16438</v>
      </c>
      <c r="P221" s="2">
        <v>4120</v>
      </c>
      <c r="Q221" s="2">
        <v>16631</v>
      </c>
      <c r="R221" s="5">
        <f t="shared" si="11"/>
        <v>-4313</v>
      </c>
    </row>
    <row r="222" spans="1:18" ht="18.75" customHeight="1">
      <c r="A222" s="6" t="s">
        <v>18</v>
      </c>
      <c r="B222" s="20">
        <v>44782</v>
      </c>
      <c r="C222" s="2">
        <v>482</v>
      </c>
      <c r="D222" s="2">
        <v>1624</v>
      </c>
      <c r="E222" s="2">
        <v>590</v>
      </c>
      <c r="F222" s="2">
        <v>1320</v>
      </c>
      <c r="G222" s="2">
        <v>1120</v>
      </c>
      <c r="H222" s="2">
        <v>1406</v>
      </c>
      <c r="I222" s="2">
        <v>100</v>
      </c>
      <c r="J222" s="2">
        <v>2401</v>
      </c>
      <c r="K222" s="2">
        <v>0</v>
      </c>
      <c r="L222" s="2">
        <v>12344</v>
      </c>
      <c r="M222" s="2">
        <v>1665</v>
      </c>
      <c r="N222" s="2">
        <v>0</v>
      </c>
      <c r="O222" s="2">
        <f t="shared" si="13"/>
        <v>20356</v>
      </c>
      <c r="P222" s="2">
        <v>5040</v>
      </c>
      <c r="Q222" s="2">
        <v>11630</v>
      </c>
      <c r="R222" s="5">
        <f t="shared" si="11"/>
        <v>3686</v>
      </c>
    </row>
    <row r="223" spans="1:18" ht="18.75" customHeight="1">
      <c r="A223" s="6" t="s">
        <v>19</v>
      </c>
      <c r="B223" s="20">
        <v>44783</v>
      </c>
      <c r="C223" s="2">
        <v>641</v>
      </c>
      <c r="D223" s="2">
        <v>2123</v>
      </c>
      <c r="E223" s="2">
        <v>460</v>
      </c>
      <c r="F223" s="2">
        <v>1800</v>
      </c>
      <c r="G223" s="2">
        <v>760</v>
      </c>
      <c r="H223" s="2">
        <v>2990</v>
      </c>
      <c r="I223" s="2">
        <v>450</v>
      </c>
      <c r="J223" s="2">
        <v>1292</v>
      </c>
      <c r="K223" s="2">
        <v>0</v>
      </c>
      <c r="L223" s="2">
        <v>10852</v>
      </c>
      <c r="M223" s="2">
        <v>952</v>
      </c>
      <c r="N223" s="2">
        <v>0</v>
      </c>
      <c r="O223" s="2">
        <f t="shared" si="13"/>
        <v>19096</v>
      </c>
      <c r="P223" s="2">
        <v>5020</v>
      </c>
      <c r="Q223" s="2">
        <v>12553</v>
      </c>
      <c r="R223" s="5">
        <f t="shared" si="11"/>
        <v>1523</v>
      </c>
    </row>
    <row r="224" spans="1:18" ht="18.75" customHeight="1">
      <c r="A224" s="6" t="s">
        <v>20</v>
      </c>
      <c r="B224" s="20">
        <v>44784</v>
      </c>
      <c r="C224" s="2">
        <v>584</v>
      </c>
      <c r="D224" s="2">
        <v>1261</v>
      </c>
      <c r="E224" s="2">
        <v>1090</v>
      </c>
      <c r="F224" s="2">
        <v>1500</v>
      </c>
      <c r="G224" s="2">
        <v>1450</v>
      </c>
      <c r="H224" s="2">
        <v>1508</v>
      </c>
      <c r="I224" s="2">
        <v>0</v>
      </c>
      <c r="J224" s="2">
        <v>1302</v>
      </c>
      <c r="K224" s="2">
        <v>0</v>
      </c>
      <c r="L224" s="2">
        <v>10082</v>
      </c>
      <c r="M224" s="2">
        <v>496</v>
      </c>
      <c r="N224" s="2">
        <v>0</v>
      </c>
      <c r="O224" s="2">
        <f t="shared" si="13"/>
        <v>16338</v>
      </c>
      <c r="P224" s="2">
        <v>4002</v>
      </c>
      <c r="Q224" s="2">
        <v>10452</v>
      </c>
      <c r="R224" s="5">
        <f t="shared" si="11"/>
        <v>1884</v>
      </c>
    </row>
    <row r="225" spans="1:18" ht="18.75" customHeight="1">
      <c r="A225" s="6" t="s">
        <v>21</v>
      </c>
      <c r="B225" s="20">
        <v>44785</v>
      </c>
      <c r="C225" s="2">
        <v>898</v>
      </c>
      <c r="D225" s="2">
        <v>1864</v>
      </c>
      <c r="E225" s="2">
        <v>1060</v>
      </c>
      <c r="F225" s="2">
        <v>1820</v>
      </c>
      <c r="G225" s="2">
        <v>1104</v>
      </c>
      <c r="H225" s="2">
        <v>1620</v>
      </c>
      <c r="I225" s="2">
        <v>0</v>
      </c>
      <c r="J225" s="2">
        <v>2535</v>
      </c>
      <c r="K225" s="2">
        <v>0</v>
      </c>
      <c r="L225" s="2">
        <v>12364</v>
      </c>
      <c r="M225" s="2">
        <v>1258</v>
      </c>
      <c r="N225" s="2">
        <v>0</v>
      </c>
      <c r="O225" s="2">
        <f t="shared" si="13"/>
        <v>20701</v>
      </c>
      <c r="P225" s="2">
        <v>5530</v>
      </c>
      <c r="Q225" s="2">
        <v>11021</v>
      </c>
      <c r="R225" s="5">
        <f t="shared" si="11"/>
        <v>4150</v>
      </c>
    </row>
    <row r="226" spans="1:18" ht="18.75" customHeight="1">
      <c r="A226" s="6" t="s">
        <v>22</v>
      </c>
      <c r="B226" s="20">
        <v>44786</v>
      </c>
      <c r="C226" s="2">
        <v>195</v>
      </c>
      <c r="D226" s="2">
        <v>3304</v>
      </c>
      <c r="E226" s="2">
        <v>1100</v>
      </c>
      <c r="F226" s="2">
        <v>940</v>
      </c>
      <c r="G226" s="2">
        <v>1900</v>
      </c>
      <c r="H226" s="2">
        <v>2542</v>
      </c>
      <c r="I226" s="2">
        <v>650</v>
      </c>
      <c r="J226" s="2">
        <v>2310</v>
      </c>
      <c r="K226" s="2">
        <v>0</v>
      </c>
      <c r="L226" s="2">
        <v>11258</v>
      </c>
      <c r="M226" s="2">
        <v>2383</v>
      </c>
      <c r="N226" s="2">
        <v>0</v>
      </c>
      <c r="O226" s="2">
        <f t="shared" si="13"/>
        <v>21983</v>
      </c>
      <c r="P226" s="2">
        <v>5150</v>
      </c>
      <c r="Q226" s="2">
        <v>8976</v>
      </c>
      <c r="R226" s="5">
        <f t="shared" si="11"/>
        <v>7857</v>
      </c>
    </row>
    <row r="227" spans="1:18" ht="18.75" customHeight="1">
      <c r="A227" s="6" t="s">
        <v>23</v>
      </c>
      <c r="B227" s="20">
        <v>44787</v>
      </c>
      <c r="C227" s="2">
        <v>586</v>
      </c>
      <c r="D227" s="2">
        <v>744</v>
      </c>
      <c r="E227" s="2">
        <v>1030</v>
      </c>
      <c r="F227" s="2">
        <v>1240</v>
      </c>
      <c r="G227" s="2">
        <v>2350</v>
      </c>
      <c r="H227" s="2">
        <v>2469</v>
      </c>
      <c r="I227" s="2">
        <v>0</v>
      </c>
      <c r="J227" s="2">
        <v>2016</v>
      </c>
      <c r="K227" s="2">
        <v>0</v>
      </c>
      <c r="L227" s="2">
        <v>12035</v>
      </c>
      <c r="M227" s="2">
        <v>3365</v>
      </c>
      <c r="N227" s="2">
        <v>0</v>
      </c>
      <c r="O227" s="2">
        <f t="shared" si="13"/>
        <v>23475</v>
      </c>
      <c r="P227" s="2">
        <v>6580</v>
      </c>
      <c r="Q227" s="2">
        <v>7489</v>
      </c>
      <c r="R227" s="5">
        <f t="shared" si="11"/>
        <v>9406</v>
      </c>
    </row>
    <row r="228" spans="1:18" ht="18.75" customHeight="1">
      <c r="A228" s="6" t="s">
        <v>17</v>
      </c>
      <c r="B228" s="20">
        <v>44788</v>
      </c>
      <c r="C228" s="2">
        <v>793</v>
      </c>
      <c r="D228" s="2">
        <v>1245</v>
      </c>
      <c r="E228" s="2">
        <v>1330</v>
      </c>
      <c r="F228" s="2">
        <v>1812</v>
      </c>
      <c r="G228" s="2">
        <v>1160</v>
      </c>
      <c r="H228" s="2">
        <v>2410</v>
      </c>
      <c r="I228" s="2">
        <v>800</v>
      </c>
      <c r="J228" s="2">
        <v>1210</v>
      </c>
      <c r="K228" s="2">
        <v>0</v>
      </c>
      <c r="L228" s="2">
        <v>6403</v>
      </c>
      <c r="M228" s="2">
        <v>2814</v>
      </c>
      <c r="N228" s="2">
        <v>135</v>
      </c>
      <c r="O228" s="2">
        <f t="shared" si="13"/>
        <v>16744</v>
      </c>
      <c r="P228" s="2">
        <v>5215</v>
      </c>
      <c r="Q228" s="2">
        <v>14010</v>
      </c>
      <c r="R228" s="5">
        <f t="shared" si="11"/>
        <v>-2481</v>
      </c>
    </row>
    <row r="229" spans="1:18" ht="18.75" customHeight="1">
      <c r="A229" s="6" t="s">
        <v>18</v>
      </c>
      <c r="B229" s="20">
        <v>44789</v>
      </c>
      <c r="C229" s="2">
        <v>504</v>
      </c>
      <c r="D229" s="2">
        <v>2180</v>
      </c>
      <c r="E229" s="2">
        <v>1020</v>
      </c>
      <c r="F229" s="2">
        <v>1030</v>
      </c>
      <c r="G229" s="2">
        <v>1230</v>
      </c>
      <c r="H229" s="2">
        <v>2832</v>
      </c>
      <c r="I229" s="2">
        <v>490</v>
      </c>
      <c r="J229" s="2">
        <v>1798</v>
      </c>
      <c r="K229" s="2">
        <v>0</v>
      </c>
      <c r="L229" s="2">
        <v>7516</v>
      </c>
      <c r="M229" s="2">
        <v>994</v>
      </c>
      <c r="N229" s="2">
        <v>85</v>
      </c>
      <c r="O229" s="2">
        <f t="shared" si="13"/>
        <v>15975</v>
      </c>
      <c r="P229" s="2">
        <v>5135</v>
      </c>
      <c r="Q229" s="2">
        <v>12009</v>
      </c>
      <c r="R229" s="5">
        <f t="shared" si="11"/>
        <v>-1169</v>
      </c>
    </row>
    <row r="230" spans="1:18" ht="18.75" customHeight="1">
      <c r="A230" s="6" t="s">
        <v>19</v>
      </c>
      <c r="B230" s="20">
        <v>44790</v>
      </c>
      <c r="C230" s="2">
        <v>406</v>
      </c>
      <c r="D230" s="2">
        <v>2148</v>
      </c>
      <c r="E230" s="2">
        <v>920</v>
      </c>
      <c r="F230" s="2">
        <v>800</v>
      </c>
      <c r="G230" s="2">
        <v>970</v>
      </c>
      <c r="H230" s="2">
        <v>1646</v>
      </c>
      <c r="I230" s="2">
        <v>1488</v>
      </c>
      <c r="J230" s="2">
        <v>3380</v>
      </c>
      <c r="K230" s="2">
        <v>0</v>
      </c>
      <c r="L230" s="2">
        <v>11004</v>
      </c>
      <c r="M230" s="2">
        <v>2245</v>
      </c>
      <c r="N230" s="2">
        <v>0</v>
      </c>
      <c r="O230" s="2">
        <f t="shared" si="13"/>
        <v>21533</v>
      </c>
      <c r="P230" s="2">
        <v>4850</v>
      </c>
      <c r="Q230" s="2">
        <v>10565</v>
      </c>
      <c r="R230" s="5">
        <f t="shared" si="11"/>
        <v>6118</v>
      </c>
    </row>
    <row r="231" spans="1:18" ht="18.75" customHeight="1">
      <c r="A231" s="6" t="s">
        <v>20</v>
      </c>
      <c r="B231" s="20">
        <v>44791</v>
      </c>
      <c r="C231" s="2">
        <v>901</v>
      </c>
      <c r="D231" s="2">
        <v>2039</v>
      </c>
      <c r="E231" s="2">
        <v>710</v>
      </c>
      <c r="F231" s="2">
        <v>1090</v>
      </c>
      <c r="G231" s="2">
        <v>810</v>
      </c>
      <c r="H231" s="2">
        <v>2340</v>
      </c>
      <c r="I231" s="2">
        <v>440</v>
      </c>
      <c r="J231" s="2">
        <v>1230</v>
      </c>
      <c r="K231" s="2">
        <v>0</v>
      </c>
      <c r="L231" s="2">
        <v>6081</v>
      </c>
      <c r="M231" s="2">
        <v>973</v>
      </c>
      <c r="N231" s="2">
        <v>0</v>
      </c>
      <c r="O231" s="2">
        <f t="shared" si="13"/>
        <v>12964</v>
      </c>
      <c r="P231" s="2">
        <v>4630</v>
      </c>
      <c r="Q231" s="2">
        <v>6930</v>
      </c>
      <c r="R231" s="5">
        <f t="shared" si="11"/>
        <v>1404</v>
      </c>
    </row>
    <row r="232" spans="1:18" ht="18.75" customHeight="1">
      <c r="A232" s="6" t="s">
        <v>21</v>
      </c>
      <c r="B232" s="20">
        <v>44792</v>
      </c>
      <c r="C232" s="2">
        <v>522</v>
      </c>
      <c r="D232" s="2">
        <v>1560</v>
      </c>
      <c r="E232" s="2">
        <v>330</v>
      </c>
      <c r="F232" s="2">
        <v>570</v>
      </c>
      <c r="G232" s="2">
        <v>2090</v>
      </c>
      <c r="H232" s="2">
        <v>2050</v>
      </c>
      <c r="I232" s="2">
        <v>0</v>
      </c>
      <c r="J232" s="2">
        <v>1980</v>
      </c>
      <c r="K232" s="2">
        <v>0</v>
      </c>
      <c r="L232" s="2">
        <v>9108</v>
      </c>
      <c r="M232" s="2">
        <v>1687</v>
      </c>
      <c r="N232" s="2">
        <v>0</v>
      </c>
      <c r="O232" s="2">
        <f t="shared" si="13"/>
        <v>17485</v>
      </c>
      <c r="P232" s="2">
        <v>4860</v>
      </c>
      <c r="Q232" s="2">
        <v>10313</v>
      </c>
      <c r="R232" s="5">
        <f t="shared" si="11"/>
        <v>2312</v>
      </c>
    </row>
    <row r="233" spans="1:18" ht="18.75" customHeight="1">
      <c r="A233" s="6" t="s">
        <v>22</v>
      </c>
      <c r="B233" s="20">
        <v>44793</v>
      </c>
      <c r="C233" s="2">
        <v>365</v>
      </c>
      <c r="D233" s="2">
        <v>1973</v>
      </c>
      <c r="E233" s="2">
        <v>690</v>
      </c>
      <c r="F233" s="2">
        <v>1120</v>
      </c>
      <c r="G233" s="2">
        <v>1706</v>
      </c>
      <c r="H233" s="2">
        <v>2085</v>
      </c>
      <c r="I233" s="2">
        <v>1710</v>
      </c>
      <c r="J233" s="2">
        <v>2086</v>
      </c>
      <c r="K233" s="2">
        <v>0</v>
      </c>
      <c r="L233" s="2">
        <v>7124</v>
      </c>
      <c r="M233" s="2">
        <v>0</v>
      </c>
      <c r="N233" s="2">
        <v>240</v>
      </c>
      <c r="O233" s="2">
        <f t="shared" si="13"/>
        <v>16071</v>
      </c>
      <c r="P233" s="2">
        <v>4470</v>
      </c>
      <c r="Q233" s="2">
        <v>7183</v>
      </c>
      <c r="R233" s="5">
        <f t="shared" si="11"/>
        <v>4418</v>
      </c>
    </row>
    <row r="234" spans="1:18" ht="18.75" customHeight="1">
      <c r="A234" s="6" t="s">
        <v>23</v>
      </c>
      <c r="B234" s="20">
        <v>44794</v>
      </c>
      <c r="C234" s="2">
        <v>243</v>
      </c>
      <c r="D234" s="2">
        <v>2057</v>
      </c>
      <c r="E234" s="2">
        <v>1350</v>
      </c>
      <c r="F234" s="2">
        <v>1490</v>
      </c>
      <c r="G234" s="2">
        <v>2180</v>
      </c>
      <c r="H234" s="2">
        <v>2920</v>
      </c>
      <c r="I234" s="2">
        <v>0</v>
      </c>
      <c r="J234" s="2">
        <v>1558</v>
      </c>
      <c r="K234" s="2">
        <v>0</v>
      </c>
      <c r="L234" s="2">
        <v>15563</v>
      </c>
      <c r="M234" s="2">
        <v>1026</v>
      </c>
      <c r="N234" s="2">
        <v>0</v>
      </c>
      <c r="O234" s="2">
        <f t="shared" si="13"/>
        <v>24737</v>
      </c>
      <c r="P234" s="2">
        <v>6175</v>
      </c>
      <c r="Q234" s="2">
        <v>6837</v>
      </c>
      <c r="R234" s="5">
        <f t="shared" si="11"/>
        <v>11725</v>
      </c>
    </row>
    <row r="235" spans="1:18" ht="18.75" customHeight="1">
      <c r="A235" s="6" t="s">
        <v>17</v>
      </c>
      <c r="B235" s="20">
        <v>44795</v>
      </c>
      <c r="C235" s="2">
        <v>1360</v>
      </c>
      <c r="D235" s="2">
        <v>882</v>
      </c>
      <c r="E235" s="2">
        <v>690</v>
      </c>
      <c r="F235" s="2">
        <v>1344</v>
      </c>
      <c r="G235" s="2">
        <v>680</v>
      </c>
      <c r="H235" s="2">
        <v>2445</v>
      </c>
      <c r="I235" s="2">
        <v>566</v>
      </c>
      <c r="J235" s="2">
        <v>1180</v>
      </c>
      <c r="K235" s="2">
        <v>0</v>
      </c>
      <c r="L235" s="2">
        <v>7871</v>
      </c>
      <c r="M235" s="2">
        <v>0</v>
      </c>
      <c r="N235" s="2">
        <v>672</v>
      </c>
      <c r="O235" s="2">
        <f t="shared" si="13"/>
        <v>14758</v>
      </c>
      <c r="P235" s="2">
        <v>4310</v>
      </c>
      <c r="Q235" s="2">
        <v>12588</v>
      </c>
      <c r="R235" s="5">
        <f t="shared" si="11"/>
        <v>-2140</v>
      </c>
    </row>
    <row r="236" spans="1:18" ht="18.75" customHeight="1">
      <c r="A236" s="6" t="s">
        <v>18</v>
      </c>
      <c r="B236" s="20">
        <v>44796</v>
      </c>
      <c r="C236" s="2">
        <v>393</v>
      </c>
      <c r="D236" s="2">
        <v>2240</v>
      </c>
      <c r="E236" s="2">
        <v>690</v>
      </c>
      <c r="F236" s="2">
        <v>1130</v>
      </c>
      <c r="G236" s="2">
        <v>600</v>
      </c>
      <c r="H236" s="2">
        <v>1040</v>
      </c>
      <c r="I236" s="2">
        <v>990</v>
      </c>
      <c r="J236" s="2">
        <v>920</v>
      </c>
      <c r="K236" s="2">
        <v>0</v>
      </c>
      <c r="L236" s="2">
        <v>3963</v>
      </c>
      <c r="M236" s="2">
        <v>1386</v>
      </c>
      <c r="N236" s="2">
        <v>503</v>
      </c>
      <c r="O236" s="2">
        <f t="shared" si="13"/>
        <v>10532</v>
      </c>
      <c r="P236" s="2">
        <v>4345</v>
      </c>
      <c r="Q236" s="2">
        <v>7813</v>
      </c>
      <c r="R236" s="5">
        <f t="shared" si="11"/>
        <v>-1626</v>
      </c>
    </row>
    <row r="237" spans="1:18" ht="18.75" customHeight="1">
      <c r="A237" s="6" t="s">
        <v>19</v>
      </c>
      <c r="B237" s="20">
        <v>44797</v>
      </c>
      <c r="C237" s="2">
        <v>552</v>
      </c>
      <c r="D237" s="2">
        <v>1320</v>
      </c>
      <c r="E237" s="2">
        <v>100</v>
      </c>
      <c r="F237" s="2">
        <v>1290</v>
      </c>
      <c r="G237" s="2">
        <v>0</v>
      </c>
      <c r="H237" s="2">
        <v>1780</v>
      </c>
      <c r="I237" s="2">
        <v>0</v>
      </c>
      <c r="J237" s="2">
        <v>1090</v>
      </c>
      <c r="K237" s="2">
        <v>0</v>
      </c>
      <c r="L237" s="2">
        <v>4918</v>
      </c>
      <c r="M237" s="2">
        <v>1432</v>
      </c>
      <c r="N237" s="2">
        <v>0</v>
      </c>
      <c r="O237" s="2">
        <f t="shared" si="13"/>
        <v>10510</v>
      </c>
      <c r="P237" s="2">
        <v>3810</v>
      </c>
      <c r="Q237" s="2">
        <v>8798</v>
      </c>
      <c r="R237" s="5">
        <f t="shared" si="11"/>
        <v>-2098</v>
      </c>
    </row>
    <row r="238" spans="1:18" ht="18.75" customHeight="1">
      <c r="A238" s="6" t="s">
        <v>20</v>
      </c>
      <c r="B238" s="20">
        <v>44798</v>
      </c>
      <c r="C238" s="2">
        <v>800</v>
      </c>
      <c r="D238" s="2">
        <v>1738</v>
      </c>
      <c r="E238" s="2">
        <v>690</v>
      </c>
      <c r="F238" s="2">
        <v>810</v>
      </c>
      <c r="G238" s="2">
        <v>1270</v>
      </c>
      <c r="H238" s="2">
        <v>2570</v>
      </c>
      <c r="I238" s="2">
        <v>0</v>
      </c>
      <c r="J238" s="2">
        <v>1580</v>
      </c>
      <c r="K238" s="2">
        <v>0</v>
      </c>
      <c r="L238" s="2">
        <v>5488</v>
      </c>
      <c r="M238" s="2">
        <v>1072</v>
      </c>
      <c r="N238" s="2">
        <v>98</v>
      </c>
      <c r="O238" s="2">
        <f t="shared" si="13"/>
        <v>12888</v>
      </c>
      <c r="P238" s="2">
        <v>4100</v>
      </c>
      <c r="Q238" s="2">
        <v>9534</v>
      </c>
      <c r="R238" s="5">
        <f t="shared" si="11"/>
        <v>-746</v>
      </c>
    </row>
    <row r="239" spans="1:18" ht="18.75" customHeight="1">
      <c r="A239" s="6" t="s">
        <v>21</v>
      </c>
      <c r="B239" s="20">
        <v>44799</v>
      </c>
      <c r="C239" s="2">
        <v>0</v>
      </c>
      <c r="D239" s="2">
        <v>2475</v>
      </c>
      <c r="E239" s="2">
        <v>640</v>
      </c>
      <c r="F239" s="2">
        <v>1006</v>
      </c>
      <c r="G239" s="2">
        <v>1540</v>
      </c>
      <c r="H239" s="2">
        <v>2185</v>
      </c>
      <c r="I239" s="2">
        <v>450</v>
      </c>
      <c r="J239" s="2">
        <v>902</v>
      </c>
      <c r="K239" s="2">
        <v>0</v>
      </c>
      <c r="L239" s="2">
        <v>7761</v>
      </c>
      <c r="M239" s="2">
        <v>1110</v>
      </c>
      <c r="N239" s="2">
        <v>240</v>
      </c>
      <c r="O239" s="2">
        <f t="shared" si="13"/>
        <v>15194</v>
      </c>
      <c r="P239" s="2">
        <v>4560</v>
      </c>
      <c r="Q239" s="2">
        <v>10068</v>
      </c>
      <c r="R239" s="5">
        <f t="shared" si="11"/>
        <v>566</v>
      </c>
    </row>
    <row r="240" spans="1:18" ht="18.75" customHeight="1">
      <c r="A240" s="6" t="s">
        <v>22</v>
      </c>
      <c r="B240" s="20">
        <v>44800</v>
      </c>
      <c r="C240" s="2">
        <v>293</v>
      </c>
      <c r="D240" s="2">
        <v>2650</v>
      </c>
      <c r="E240" s="2">
        <v>550</v>
      </c>
      <c r="F240" s="2">
        <v>1391</v>
      </c>
      <c r="G240" s="2">
        <v>1460</v>
      </c>
      <c r="H240" s="2">
        <v>1939</v>
      </c>
      <c r="I240" s="2">
        <v>330</v>
      </c>
      <c r="J240" s="2">
        <v>1574</v>
      </c>
      <c r="K240" s="2">
        <v>0</v>
      </c>
      <c r="L240" s="2">
        <v>7517</v>
      </c>
      <c r="M240" s="2">
        <v>1267</v>
      </c>
      <c r="N240" s="2">
        <v>205</v>
      </c>
      <c r="O240" s="2">
        <f t="shared" si="13"/>
        <v>15683</v>
      </c>
      <c r="P240" s="2">
        <v>4660</v>
      </c>
      <c r="Q240" s="2">
        <v>8781</v>
      </c>
      <c r="R240" s="5">
        <f t="shared" si="11"/>
        <v>2242</v>
      </c>
    </row>
    <row r="241" spans="1:18" ht="18.75" customHeight="1">
      <c r="A241" s="6" t="s">
        <v>23</v>
      </c>
      <c r="B241" s="20">
        <v>44801</v>
      </c>
      <c r="C241" s="2">
        <v>400</v>
      </c>
      <c r="D241" s="2">
        <v>4226</v>
      </c>
      <c r="E241" s="2">
        <v>230</v>
      </c>
      <c r="F241" s="2">
        <v>1110</v>
      </c>
      <c r="G241" s="2">
        <v>2035</v>
      </c>
      <c r="H241" s="2">
        <v>2900</v>
      </c>
      <c r="I241" s="2">
        <v>0</v>
      </c>
      <c r="J241" s="2">
        <v>1620</v>
      </c>
      <c r="K241" s="2">
        <v>0</v>
      </c>
      <c r="L241" s="2">
        <v>11406</v>
      </c>
      <c r="M241" s="2">
        <v>1147</v>
      </c>
      <c r="N241" s="2">
        <v>0</v>
      </c>
      <c r="O241" s="2">
        <f t="shared" si="13"/>
        <v>20218</v>
      </c>
      <c r="P241" s="2">
        <v>3860</v>
      </c>
      <c r="Q241" s="2">
        <v>5588</v>
      </c>
      <c r="R241" s="5">
        <f t="shared" si="11"/>
        <v>10770</v>
      </c>
    </row>
    <row r="242" spans="1:18" ht="18.75" customHeight="1">
      <c r="A242" s="6" t="s">
        <v>17</v>
      </c>
      <c r="B242" s="20">
        <v>44802</v>
      </c>
      <c r="C242" s="2">
        <v>565</v>
      </c>
      <c r="D242" s="2">
        <v>3019</v>
      </c>
      <c r="E242" s="2">
        <v>465</v>
      </c>
      <c r="F242" s="2">
        <v>870</v>
      </c>
      <c r="G242" s="2">
        <v>640</v>
      </c>
      <c r="H242" s="2">
        <v>2250</v>
      </c>
      <c r="I242" s="2">
        <v>1000</v>
      </c>
      <c r="J242" s="2">
        <v>1554</v>
      </c>
      <c r="K242" s="2">
        <v>0</v>
      </c>
      <c r="L242" s="2">
        <v>7588</v>
      </c>
      <c r="M242" s="2">
        <v>730</v>
      </c>
      <c r="N242" s="2">
        <v>85</v>
      </c>
      <c r="O242" s="2">
        <f t="shared" si="13"/>
        <v>14717</v>
      </c>
      <c r="P242" s="2">
        <v>4365</v>
      </c>
      <c r="Q242" s="2">
        <v>9028</v>
      </c>
      <c r="R242" s="5">
        <f t="shared" si="11"/>
        <v>1324</v>
      </c>
    </row>
    <row r="243" spans="1:18" ht="18.75" customHeight="1">
      <c r="A243" s="6" t="s">
        <v>18</v>
      </c>
      <c r="B243" s="20">
        <v>44803</v>
      </c>
      <c r="C243" s="2">
        <v>0</v>
      </c>
      <c r="D243" s="2">
        <v>4096</v>
      </c>
      <c r="E243" s="2">
        <v>980</v>
      </c>
      <c r="F243" s="2">
        <v>1646</v>
      </c>
      <c r="G243" s="2">
        <v>1010</v>
      </c>
      <c r="H243" s="2">
        <v>1141</v>
      </c>
      <c r="I243" s="2">
        <v>586</v>
      </c>
      <c r="J243" s="2">
        <v>510</v>
      </c>
      <c r="K243" s="2">
        <v>0</v>
      </c>
      <c r="L243" s="2">
        <v>4971</v>
      </c>
      <c r="M243" s="2">
        <v>657</v>
      </c>
      <c r="N243" s="2">
        <v>0</v>
      </c>
      <c r="O243" s="2">
        <f t="shared" si="13"/>
        <v>10521</v>
      </c>
      <c r="P243" s="2">
        <v>5215</v>
      </c>
      <c r="Q243" s="2">
        <v>5918</v>
      </c>
      <c r="R243" s="5">
        <f t="shared" si="11"/>
        <v>-612</v>
      </c>
    </row>
    <row r="244" spans="1:18" ht="18.75" customHeight="1">
      <c r="A244" s="6" t="s">
        <v>19</v>
      </c>
      <c r="B244" s="20">
        <v>44804</v>
      </c>
      <c r="C244" s="2">
        <v>0</v>
      </c>
      <c r="D244" s="2">
        <v>3584</v>
      </c>
      <c r="E244" s="2">
        <v>783</v>
      </c>
      <c r="F244" s="2">
        <v>1444</v>
      </c>
      <c r="G244" s="2">
        <v>910</v>
      </c>
      <c r="H244" s="2">
        <v>710</v>
      </c>
      <c r="I244" s="2">
        <v>1090</v>
      </c>
      <c r="J244" s="2">
        <v>1560</v>
      </c>
      <c r="K244" s="2">
        <v>0</v>
      </c>
      <c r="L244" s="2">
        <v>6450</v>
      </c>
      <c r="M244" s="2">
        <v>458</v>
      </c>
      <c r="N244" s="2">
        <v>0</v>
      </c>
      <c r="O244" s="2">
        <f t="shared" si="13"/>
        <v>12622</v>
      </c>
      <c r="P244" s="2">
        <v>4060</v>
      </c>
      <c r="Q244" s="2">
        <v>9699</v>
      </c>
      <c r="R244" s="5">
        <f t="shared" si="11"/>
        <v>-1137</v>
      </c>
    </row>
    <row r="245" spans="1:18" ht="18.75" customHeight="1">
      <c r="A245" s="6" t="s">
        <v>24</v>
      </c>
      <c r="B245" s="20">
        <v>44805</v>
      </c>
      <c r="C245" s="2">
        <v>673</v>
      </c>
      <c r="D245" s="2">
        <v>3355</v>
      </c>
      <c r="E245" s="2">
        <v>670</v>
      </c>
      <c r="F245" s="2">
        <v>1604</v>
      </c>
      <c r="G245" s="2">
        <v>840</v>
      </c>
      <c r="H245" s="2">
        <v>1090</v>
      </c>
      <c r="I245" s="2">
        <v>0</v>
      </c>
      <c r="J245" s="2">
        <v>1550</v>
      </c>
      <c r="K245" s="2">
        <v>0</v>
      </c>
      <c r="L245" s="2">
        <v>7374</v>
      </c>
      <c r="M245" s="2">
        <v>1198</v>
      </c>
      <c r="N245" s="2">
        <v>0</v>
      </c>
      <c r="O245" s="2">
        <f>SUM(F245:M245)</f>
        <v>13656</v>
      </c>
      <c r="P245" s="2">
        <v>4185</v>
      </c>
      <c r="Q245" s="2">
        <v>10558</v>
      </c>
      <c r="R245" s="5">
        <f t="shared" si="11"/>
        <v>-1087</v>
      </c>
    </row>
    <row r="246" spans="1:18" ht="18.75" customHeight="1">
      <c r="A246" s="6" t="s">
        <v>21</v>
      </c>
      <c r="B246" s="20">
        <v>44806</v>
      </c>
      <c r="C246" s="2">
        <v>500</v>
      </c>
      <c r="D246" s="2">
        <v>3137</v>
      </c>
      <c r="E246" s="2">
        <v>1320</v>
      </c>
      <c r="F246" s="2">
        <v>1200</v>
      </c>
      <c r="G246" s="2">
        <v>1000</v>
      </c>
      <c r="H246" s="2">
        <v>1620</v>
      </c>
      <c r="I246" s="2">
        <v>0</v>
      </c>
      <c r="J246" s="2">
        <v>1254</v>
      </c>
      <c r="K246" s="2">
        <v>0</v>
      </c>
      <c r="L246" s="2">
        <v>8968</v>
      </c>
      <c r="M246" s="2">
        <v>463</v>
      </c>
      <c r="N246" s="2">
        <v>0</v>
      </c>
      <c r="O246" s="2">
        <f>SUM(F246:M246)</f>
        <v>14505</v>
      </c>
      <c r="P246" s="2">
        <v>4540</v>
      </c>
      <c r="Q246" s="2">
        <v>9757</v>
      </c>
      <c r="R246" s="5">
        <f t="shared" si="11"/>
        <v>208</v>
      </c>
    </row>
    <row r="247" spans="1:18" ht="18.75" customHeight="1">
      <c r="A247" s="6" t="s">
        <v>22</v>
      </c>
      <c r="B247" s="20">
        <v>44807</v>
      </c>
      <c r="C247" s="2">
        <v>0</v>
      </c>
      <c r="D247" s="2">
        <v>3217</v>
      </c>
      <c r="E247" s="2">
        <v>1180</v>
      </c>
      <c r="F247" s="2">
        <v>1546</v>
      </c>
      <c r="G247" s="2">
        <v>1600</v>
      </c>
      <c r="H247" s="2">
        <v>1730</v>
      </c>
      <c r="I247" s="2">
        <v>930</v>
      </c>
      <c r="J247" s="2">
        <v>550</v>
      </c>
      <c r="K247" s="2">
        <v>0</v>
      </c>
      <c r="L247" s="2">
        <v>9636</v>
      </c>
      <c r="M247" s="2">
        <v>337</v>
      </c>
      <c r="N247" s="2">
        <v>0</v>
      </c>
      <c r="O247" s="2">
        <f>SUM(F247:M247)</f>
        <v>16329</v>
      </c>
      <c r="P247" s="2">
        <v>3860</v>
      </c>
      <c r="Q247" s="2">
        <v>10526</v>
      </c>
      <c r="R247" s="5">
        <f t="shared" si="11"/>
        <v>1943</v>
      </c>
    </row>
    <row r="248" spans="1:18" ht="18.75" customHeight="1">
      <c r="A248" s="6" t="s">
        <v>23</v>
      </c>
      <c r="B248" s="20">
        <v>44808</v>
      </c>
      <c r="C248" s="2">
        <v>518</v>
      </c>
      <c r="D248" s="2">
        <v>2204</v>
      </c>
      <c r="E248" s="2">
        <v>760</v>
      </c>
      <c r="F248" s="2">
        <v>835</v>
      </c>
      <c r="G248" s="2">
        <v>3290</v>
      </c>
      <c r="H248" s="2">
        <v>1150</v>
      </c>
      <c r="I248" s="2">
        <v>0</v>
      </c>
      <c r="J248" s="2">
        <v>2166</v>
      </c>
      <c r="K248" s="2">
        <v>0</v>
      </c>
      <c r="L248" s="2">
        <v>8997</v>
      </c>
      <c r="M248" s="2">
        <v>481</v>
      </c>
      <c r="N248" s="2">
        <v>603</v>
      </c>
      <c r="O248" s="2">
        <f t="shared" ref="O248:O279" si="14">SUM(F248:N248)</f>
        <v>17522</v>
      </c>
      <c r="P248" s="2">
        <v>5180</v>
      </c>
      <c r="Q248" s="2">
        <v>9034</v>
      </c>
      <c r="R248" s="5">
        <f t="shared" si="11"/>
        <v>3308</v>
      </c>
    </row>
    <row r="249" spans="1:18" ht="18.75" customHeight="1">
      <c r="A249" s="6" t="s">
        <v>17</v>
      </c>
      <c r="B249" s="20">
        <v>44809</v>
      </c>
      <c r="C249" s="2">
        <v>722</v>
      </c>
      <c r="D249" s="2">
        <v>1820</v>
      </c>
      <c r="E249" s="2">
        <v>710</v>
      </c>
      <c r="F249" s="2">
        <v>820</v>
      </c>
      <c r="G249" s="2">
        <v>600</v>
      </c>
      <c r="H249" s="2">
        <v>1700</v>
      </c>
      <c r="I249" s="2">
        <v>240</v>
      </c>
      <c r="J249" s="2">
        <v>1990</v>
      </c>
      <c r="K249" s="2">
        <v>0</v>
      </c>
      <c r="L249" s="2">
        <v>4868</v>
      </c>
      <c r="M249" s="2">
        <v>993</v>
      </c>
      <c r="N249" s="2">
        <v>0</v>
      </c>
      <c r="O249" s="2">
        <f t="shared" si="14"/>
        <v>11211</v>
      </c>
      <c r="P249" s="2">
        <v>3720</v>
      </c>
      <c r="Q249" s="2">
        <v>12081</v>
      </c>
      <c r="R249" s="5">
        <f t="shared" si="11"/>
        <v>-4590</v>
      </c>
    </row>
    <row r="250" spans="1:18" ht="18.75" customHeight="1">
      <c r="A250" s="6" t="s">
        <v>18</v>
      </c>
      <c r="B250" s="20">
        <v>44810</v>
      </c>
      <c r="C250" s="2">
        <v>938</v>
      </c>
      <c r="D250" s="2">
        <v>1966</v>
      </c>
      <c r="E250" s="2">
        <v>540</v>
      </c>
      <c r="F250" s="2">
        <v>1041</v>
      </c>
      <c r="G250" s="2">
        <v>0</v>
      </c>
      <c r="H250" s="2">
        <v>1950</v>
      </c>
      <c r="I250" s="2">
        <v>460</v>
      </c>
      <c r="J250" s="2">
        <v>980</v>
      </c>
      <c r="K250" s="2">
        <v>0</v>
      </c>
      <c r="L250" s="2">
        <v>5441</v>
      </c>
      <c r="M250" s="2">
        <v>735</v>
      </c>
      <c r="N250" s="2">
        <v>170</v>
      </c>
      <c r="O250" s="2">
        <f t="shared" si="14"/>
        <v>10777</v>
      </c>
      <c r="P250" s="2">
        <v>4005</v>
      </c>
      <c r="Q250" s="2">
        <v>8182</v>
      </c>
      <c r="R250" s="5">
        <f t="shared" si="11"/>
        <v>-1410</v>
      </c>
    </row>
    <row r="251" spans="1:18" ht="18.75" customHeight="1">
      <c r="A251" s="6" t="s">
        <v>19</v>
      </c>
      <c r="B251" s="20">
        <v>44811</v>
      </c>
      <c r="C251" s="2">
        <v>0</v>
      </c>
      <c r="D251" s="2">
        <v>1489</v>
      </c>
      <c r="E251" s="2">
        <v>1090</v>
      </c>
      <c r="F251" s="2">
        <v>655</v>
      </c>
      <c r="G251" s="2">
        <v>0</v>
      </c>
      <c r="H251" s="2">
        <v>2384</v>
      </c>
      <c r="I251" s="2">
        <v>100</v>
      </c>
      <c r="J251" s="2">
        <v>1820</v>
      </c>
      <c r="K251" s="2">
        <v>0</v>
      </c>
      <c r="L251" s="2">
        <v>5101</v>
      </c>
      <c r="M251" s="2">
        <v>1638</v>
      </c>
      <c r="N251" s="2">
        <v>419</v>
      </c>
      <c r="O251" s="2">
        <f t="shared" si="14"/>
        <v>12117</v>
      </c>
      <c r="P251" s="2">
        <v>4110</v>
      </c>
      <c r="Q251" s="2">
        <v>6976</v>
      </c>
      <c r="R251" s="5">
        <f t="shared" si="11"/>
        <v>1031</v>
      </c>
    </row>
    <row r="252" spans="1:18" ht="18.75" customHeight="1">
      <c r="A252" s="6" t="s">
        <v>20</v>
      </c>
      <c r="B252" s="20">
        <v>44812</v>
      </c>
      <c r="C252" s="2">
        <v>746</v>
      </c>
      <c r="D252" s="2">
        <v>0</v>
      </c>
      <c r="E252" s="2">
        <v>520</v>
      </c>
      <c r="F252" s="2">
        <v>1458</v>
      </c>
      <c r="G252" s="2">
        <v>0</v>
      </c>
      <c r="H252" s="2">
        <v>860</v>
      </c>
      <c r="I252" s="2">
        <v>1358</v>
      </c>
      <c r="J252" s="2">
        <v>1453</v>
      </c>
      <c r="K252" s="2">
        <v>0</v>
      </c>
      <c r="L252" s="2">
        <v>5612</v>
      </c>
      <c r="M252" s="2">
        <v>417</v>
      </c>
      <c r="N252" s="2">
        <v>470</v>
      </c>
      <c r="O252" s="2">
        <f t="shared" si="14"/>
        <v>11628</v>
      </c>
      <c r="P252" s="2">
        <v>3860</v>
      </c>
      <c r="Q252" s="2">
        <v>5858</v>
      </c>
      <c r="R252" s="5">
        <f t="shared" si="11"/>
        <v>1910</v>
      </c>
    </row>
    <row r="253" spans="1:18" ht="18.75" customHeight="1">
      <c r="A253" s="6" t="s">
        <v>21</v>
      </c>
      <c r="B253" s="20">
        <v>44813</v>
      </c>
      <c r="C253" s="2">
        <v>614</v>
      </c>
      <c r="D253" s="2">
        <v>1823</v>
      </c>
      <c r="E253" s="2">
        <v>980</v>
      </c>
      <c r="F253" s="2">
        <v>1116</v>
      </c>
      <c r="G253" s="2">
        <v>0</v>
      </c>
      <c r="H253" s="2">
        <v>2740</v>
      </c>
      <c r="I253" s="2">
        <v>0</v>
      </c>
      <c r="J253" s="2">
        <v>1700</v>
      </c>
      <c r="K253" s="2">
        <v>0</v>
      </c>
      <c r="L253" s="2">
        <v>4437</v>
      </c>
      <c r="M253" s="2">
        <v>85</v>
      </c>
      <c r="N253" s="2">
        <v>0</v>
      </c>
      <c r="O253" s="2">
        <f t="shared" si="14"/>
        <v>10078</v>
      </c>
      <c r="P253" s="2">
        <v>3715</v>
      </c>
      <c r="Q253" s="2">
        <v>5739</v>
      </c>
      <c r="R253" s="5">
        <f t="shared" si="11"/>
        <v>624</v>
      </c>
    </row>
    <row r="254" spans="1:18" ht="18.75" customHeight="1">
      <c r="A254" s="6" t="s">
        <v>22</v>
      </c>
      <c r="B254" s="20">
        <v>44814</v>
      </c>
      <c r="C254" s="2">
        <v>425</v>
      </c>
      <c r="D254" s="2">
        <v>1935</v>
      </c>
      <c r="E254" s="2">
        <v>1070</v>
      </c>
      <c r="F254" s="2">
        <v>1280</v>
      </c>
      <c r="G254" s="2">
        <v>0</v>
      </c>
      <c r="H254" s="2">
        <v>1625</v>
      </c>
      <c r="I254" s="2">
        <v>750</v>
      </c>
      <c r="J254" s="2">
        <v>1824</v>
      </c>
      <c r="K254" s="2">
        <v>0</v>
      </c>
      <c r="L254" s="2">
        <v>8739</v>
      </c>
      <c r="M254" s="2">
        <v>1829</v>
      </c>
      <c r="N254" s="2">
        <v>0</v>
      </c>
      <c r="O254" s="2">
        <f t="shared" si="14"/>
        <v>16047</v>
      </c>
      <c r="P254" s="2">
        <v>4695</v>
      </c>
      <c r="Q254" s="2">
        <v>8446</v>
      </c>
      <c r="R254" s="5">
        <f t="shared" si="11"/>
        <v>2906</v>
      </c>
    </row>
    <row r="255" spans="1:18" ht="18.75" customHeight="1">
      <c r="A255" s="6" t="s">
        <v>23</v>
      </c>
      <c r="B255" s="20">
        <v>44815</v>
      </c>
      <c r="C255" s="2">
        <v>629</v>
      </c>
      <c r="D255" s="2">
        <v>1827</v>
      </c>
      <c r="E255" s="2">
        <v>1030</v>
      </c>
      <c r="F255" s="2">
        <v>1430</v>
      </c>
      <c r="G255" s="2">
        <v>0</v>
      </c>
      <c r="H255" s="2">
        <v>1848</v>
      </c>
      <c r="I255" s="2">
        <v>1690</v>
      </c>
      <c r="J255" s="2">
        <v>1410</v>
      </c>
      <c r="K255" s="2">
        <v>0</v>
      </c>
      <c r="L255" s="2">
        <v>8219</v>
      </c>
      <c r="M255" s="2">
        <v>360</v>
      </c>
      <c r="N255" s="2">
        <v>0</v>
      </c>
      <c r="O255" s="2">
        <f t="shared" si="14"/>
        <v>14957</v>
      </c>
      <c r="P255" s="2">
        <v>5190</v>
      </c>
      <c r="Q255" s="2">
        <v>8257</v>
      </c>
      <c r="R255" s="5">
        <f t="shared" si="11"/>
        <v>1510</v>
      </c>
    </row>
    <row r="256" spans="1:18" ht="18.75" customHeight="1">
      <c r="A256" s="6" t="s">
        <v>17</v>
      </c>
      <c r="B256" s="20">
        <v>44816</v>
      </c>
      <c r="C256" s="2">
        <v>526</v>
      </c>
      <c r="D256" s="2">
        <v>790</v>
      </c>
      <c r="E256" s="2">
        <v>660</v>
      </c>
      <c r="F256" s="2">
        <v>1646</v>
      </c>
      <c r="G256" s="2">
        <v>0</v>
      </c>
      <c r="H256" s="2">
        <v>1660</v>
      </c>
      <c r="I256" s="2">
        <v>670</v>
      </c>
      <c r="J256" s="2">
        <v>1010</v>
      </c>
      <c r="K256" s="2">
        <v>0</v>
      </c>
      <c r="L256" s="2">
        <v>5653</v>
      </c>
      <c r="M256" s="2">
        <v>85</v>
      </c>
      <c r="N256" s="2">
        <v>120</v>
      </c>
      <c r="O256" s="2">
        <f t="shared" si="14"/>
        <v>10844</v>
      </c>
      <c r="P256" s="2">
        <v>2980</v>
      </c>
      <c r="Q256" s="2">
        <v>9624</v>
      </c>
      <c r="R256" s="5">
        <f t="shared" si="11"/>
        <v>-1760</v>
      </c>
    </row>
    <row r="257" spans="1:18" ht="18.75" customHeight="1">
      <c r="A257" s="6" t="s">
        <v>18</v>
      </c>
      <c r="B257" s="20">
        <v>44817</v>
      </c>
      <c r="C257" s="2">
        <v>562</v>
      </c>
      <c r="D257" s="2">
        <v>1846</v>
      </c>
      <c r="E257" s="2">
        <v>885</v>
      </c>
      <c r="F257" s="2">
        <v>1016</v>
      </c>
      <c r="G257" s="2">
        <v>260</v>
      </c>
      <c r="H257" s="2">
        <v>1560</v>
      </c>
      <c r="I257" s="2">
        <v>50</v>
      </c>
      <c r="J257" s="2">
        <v>730</v>
      </c>
      <c r="K257" s="2">
        <v>0</v>
      </c>
      <c r="L257" s="2">
        <v>5683</v>
      </c>
      <c r="M257" s="2">
        <v>378</v>
      </c>
      <c r="N257" s="2">
        <v>0</v>
      </c>
      <c r="O257" s="2">
        <f t="shared" si="14"/>
        <v>9677</v>
      </c>
      <c r="P257" s="2">
        <v>3735</v>
      </c>
      <c r="Q257" s="2">
        <v>5073</v>
      </c>
      <c r="R257" s="5">
        <f t="shared" si="11"/>
        <v>869</v>
      </c>
    </row>
    <row r="258" spans="1:18" ht="18.75" customHeight="1">
      <c r="A258" s="6" t="s">
        <v>19</v>
      </c>
      <c r="B258" s="20">
        <v>44818</v>
      </c>
      <c r="C258" s="2">
        <v>692</v>
      </c>
      <c r="D258" s="2">
        <v>2226</v>
      </c>
      <c r="E258" s="2">
        <v>370</v>
      </c>
      <c r="F258" s="2">
        <v>1390</v>
      </c>
      <c r="G258" s="2">
        <v>0</v>
      </c>
      <c r="H258" s="2">
        <v>1660</v>
      </c>
      <c r="I258" s="2">
        <v>580</v>
      </c>
      <c r="J258" s="2">
        <v>1200</v>
      </c>
      <c r="K258" s="2">
        <v>0</v>
      </c>
      <c r="L258" s="2">
        <v>9243</v>
      </c>
      <c r="M258" s="2">
        <v>949</v>
      </c>
      <c r="N258" s="2">
        <v>77</v>
      </c>
      <c r="O258" s="2">
        <f t="shared" si="14"/>
        <v>15099</v>
      </c>
      <c r="P258" s="2">
        <v>4310</v>
      </c>
      <c r="Q258" s="2">
        <v>8315</v>
      </c>
      <c r="R258" s="5">
        <f t="shared" si="11"/>
        <v>2474</v>
      </c>
    </row>
    <row r="259" spans="1:18" ht="18.75" customHeight="1">
      <c r="A259" s="6" t="s">
        <v>20</v>
      </c>
      <c r="B259" s="20">
        <v>44819</v>
      </c>
      <c r="C259" s="2">
        <v>514</v>
      </c>
      <c r="D259" s="2">
        <v>0</v>
      </c>
      <c r="E259" s="2">
        <v>830</v>
      </c>
      <c r="F259" s="2">
        <v>1593</v>
      </c>
      <c r="G259" s="2">
        <v>0</v>
      </c>
      <c r="H259" s="2">
        <v>1450</v>
      </c>
      <c r="I259" s="2">
        <v>2137</v>
      </c>
      <c r="J259" s="2">
        <v>1990</v>
      </c>
      <c r="K259" s="2">
        <v>0</v>
      </c>
      <c r="L259" s="2">
        <v>10363</v>
      </c>
      <c r="M259" s="2">
        <v>879</v>
      </c>
      <c r="N259" s="2">
        <v>0</v>
      </c>
      <c r="O259" s="2">
        <f t="shared" si="14"/>
        <v>18412</v>
      </c>
      <c r="P259" s="2">
        <v>4130</v>
      </c>
      <c r="Q259" s="2">
        <v>8005</v>
      </c>
      <c r="R259" s="5">
        <f t="shared" ref="R259:R322" si="15">O259-P259-Q259</f>
        <v>6277</v>
      </c>
    </row>
    <row r="260" spans="1:18" ht="18.75" customHeight="1">
      <c r="A260" s="6" t="s">
        <v>21</v>
      </c>
      <c r="B260" s="20">
        <v>44820</v>
      </c>
      <c r="C260" s="2">
        <v>674</v>
      </c>
      <c r="D260" s="2">
        <v>2601</v>
      </c>
      <c r="E260" s="2">
        <v>760</v>
      </c>
      <c r="F260" s="2">
        <v>954</v>
      </c>
      <c r="G260" s="2">
        <v>0</v>
      </c>
      <c r="H260" s="2">
        <v>1430</v>
      </c>
      <c r="I260" s="2">
        <v>0</v>
      </c>
      <c r="J260" s="2">
        <v>870</v>
      </c>
      <c r="K260" s="2">
        <v>0</v>
      </c>
      <c r="L260" s="2">
        <v>12376</v>
      </c>
      <c r="M260" s="2">
        <v>428</v>
      </c>
      <c r="N260" s="2">
        <v>0</v>
      </c>
      <c r="O260" s="2">
        <f t="shared" si="14"/>
        <v>16058</v>
      </c>
      <c r="P260" s="2">
        <v>4880</v>
      </c>
      <c r="Q260" s="2">
        <v>9156</v>
      </c>
      <c r="R260" s="5">
        <f t="shared" si="15"/>
        <v>2022</v>
      </c>
    </row>
    <row r="261" spans="1:18" ht="18.75" customHeight="1">
      <c r="A261" s="6" t="s">
        <v>22</v>
      </c>
      <c r="B261" s="20">
        <v>44821</v>
      </c>
      <c r="C261" s="2">
        <v>658</v>
      </c>
      <c r="D261" s="2">
        <v>2925</v>
      </c>
      <c r="E261" s="2">
        <v>150</v>
      </c>
      <c r="F261" s="2">
        <v>680</v>
      </c>
      <c r="G261" s="2">
        <v>0</v>
      </c>
      <c r="H261" s="2">
        <v>2362</v>
      </c>
      <c r="I261" s="2">
        <v>530</v>
      </c>
      <c r="J261" s="2">
        <v>1200</v>
      </c>
      <c r="K261" s="2">
        <v>0</v>
      </c>
      <c r="L261" s="2">
        <v>13021</v>
      </c>
      <c r="M261" s="2">
        <v>1388</v>
      </c>
      <c r="N261" s="2">
        <v>0</v>
      </c>
      <c r="O261" s="2">
        <f t="shared" si="14"/>
        <v>19181</v>
      </c>
      <c r="P261" s="2">
        <v>4765</v>
      </c>
      <c r="Q261" s="2">
        <v>7577</v>
      </c>
      <c r="R261" s="5">
        <f t="shared" si="15"/>
        <v>6839</v>
      </c>
    </row>
    <row r="262" spans="1:18" ht="18.75" customHeight="1">
      <c r="A262" s="6" t="s">
        <v>23</v>
      </c>
      <c r="B262" s="20">
        <v>44822</v>
      </c>
      <c r="C262" s="2">
        <v>428</v>
      </c>
      <c r="D262" s="2">
        <v>2910</v>
      </c>
      <c r="E262" s="2">
        <v>190</v>
      </c>
      <c r="F262" s="2">
        <v>1163</v>
      </c>
      <c r="G262" s="2">
        <v>0</v>
      </c>
      <c r="H262" s="2">
        <v>1730</v>
      </c>
      <c r="I262" s="2">
        <v>0</v>
      </c>
      <c r="J262" s="2">
        <v>1786</v>
      </c>
      <c r="K262" s="2">
        <v>0</v>
      </c>
      <c r="L262" s="2">
        <v>11550</v>
      </c>
      <c r="M262" s="2">
        <v>275</v>
      </c>
      <c r="N262" s="2">
        <v>0</v>
      </c>
      <c r="O262" s="2">
        <f t="shared" si="14"/>
        <v>16504</v>
      </c>
      <c r="P262" s="2">
        <v>5390</v>
      </c>
      <c r="Q262" s="2">
        <v>5187</v>
      </c>
      <c r="R262" s="5">
        <f t="shared" si="15"/>
        <v>5927</v>
      </c>
    </row>
    <row r="263" spans="1:18" ht="18.75" customHeight="1">
      <c r="A263" s="6" t="s">
        <v>17</v>
      </c>
      <c r="B263" s="20">
        <v>44823</v>
      </c>
      <c r="C263" s="2">
        <v>466</v>
      </c>
      <c r="D263" s="2">
        <v>2574</v>
      </c>
      <c r="E263" s="2">
        <v>480</v>
      </c>
      <c r="F263" s="2">
        <v>1146</v>
      </c>
      <c r="G263" s="2">
        <v>0</v>
      </c>
      <c r="H263" s="2">
        <v>1680</v>
      </c>
      <c r="I263" s="2">
        <v>0</v>
      </c>
      <c r="J263" s="2">
        <v>1250</v>
      </c>
      <c r="K263" s="2">
        <v>0</v>
      </c>
      <c r="L263" s="2">
        <v>6023</v>
      </c>
      <c r="M263" s="2">
        <v>926</v>
      </c>
      <c r="N263" s="2">
        <v>0</v>
      </c>
      <c r="O263" s="2">
        <f t="shared" si="14"/>
        <v>11025</v>
      </c>
      <c r="P263" s="2">
        <v>3860</v>
      </c>
      <c r="Q263" s="2">
        <v>15853</v>
      </c>
      <c r="R263" s="5">
        <f t="shared" si="15"/>
        <v>-8688</v>
      </c>
    </row>
    <row r="264" spans="1:18" ht="18.75" customHeight="1">
      <c r="A264" s="6" t="s">
        <v>18</v>
      </c>
      <c r="B264" s="20">
        <v>44824</v>
      </c>
      <c r="C264" s="2">
        <v>520</v>
      </c>
      <c r="D264" s="2">
        <v>2287</v>
      </c>
      <c r="E264" s="2">
        <v>353</v>
      </c>
      <c r="F264" s="2">
        <v>602</v>
      </c>
      <c r="G264" s="2">
        <v>0</v>
      </c>
      <c r="H264" s="2">
        <v>1093</v>
      </c>
      <c r="I264" s="2">
        <v>280</v>
      </c>
      <c r="J264" s="2">
        <v>1140</v>
      </c>
      <c r="K264" s="2">
        <v>0</v>
      </c>
      <c r="L264" s="2">
        <v>6816</v>
      </c>
      <c r="M264" s="2">
        <v>840</v>
      </c>
      <c r="N264" s="2">
        <v>115</v>
      </c>
      <c r="O264" s="2">
        <f t="shared" si="14"/>
        <v>10886</v>
      </c>
      <c r="P264" s="2">
        <v>4125</v>
      </c>
      <c r="Q264" s="2">
        <v>6311</v>
      </c>
      <c r="R264" s="5">
        <f t="shared" si="15"/>
        <v>450</v>
      </c>
    </row>
    <row r="265" spans="1:18" ht="18.75" customHeight="1">
      <c r="A265" s="6" t="s">
        <v>19</v>
      </c>
      <c r="B265" s="20">
        <v>44825</v>
      </c>
      <c r="C265" s="2">
        <v>391</v>
      </c>
      <c r="D265" s="2">
        <v>2156</v>
      </c>
      <c r="E265" s="2">
        <v>940</v>
      </c>
      <c r="F265" s="2">
        <v>1696</v>
      </c>
      <c r="G265" s="2">
        <v>0</v>
      </c>
      <c r="H265" s="2">
        <v>840</v>
      </c>
      <c r="I265" s="2">
        <v>0</v>
      </c>
      <c r="J265" s="2">
        <v>560</v>
      </c>
      <c r="K265" s="2">
        <v>0</v>
      </c>
      <c r="L265" s="2">
        <v>4620</v>
      </c>
      <c r="M265" s="2">
        <v>600</v>
      </c>
      <c r="N265" s="2">
        <v>0</v>
      </c>
      <c r="O265" s="2">
        <f t="shared" si="14"/>
        <v>8316</v>
      </c>
      <c r="P265" s="2">
        <v>3665</v>
      </c>
      <c r="Q265" s="2">
        <v>6583</v>
      </c>
      <c r="R265" s="5">
        <f t="shared" si="15"/>
        <v>-1932</v>
      </c>
    </row>
    <row r="266" spans="1:18" ht="18.75" customHeight="1">
      <c r="A266" s="6" t="s">
        <v>20</v>
      </c>
      <c r="B266" s="20">
        <v>44826</v>
      </c>
      <c r="C266" s="2">
        <v>314</v>
      </c>
      <c r="D266" s="2">
        <v>2391</v>
      </c>
      <c r="E266" s="2">
        <v>1930</v>
      </c>
      <c r="F266" s="2">
        <v>1154</v>
      </c>
      <c r="G266" s="2">
        <v>0</v>
      </c>
      <c r="H266" s="2">
        <v>1040</v>
      </c>
      <c r="I266" s="2">
        <v>0</v>
      </c>
      <c r="J266" s="2">
        <v>1510</v>
      </c>
      <c r="K266" s="2">
        <v>0</v>
      </c>
      <c r="L266" s="2">
        <v>6894</v>
      </c>
      <c r="M266" s="2">
        <v>380</v>
      </c>
      <c r="N266" s="2">
        <v>165</v>
      </c>
      <c r="O266" s="2">
        <f t="shared" si="14"/>
        <v>11143</v>
      </c>
      <c r="P266" s="2">
        <v>4160</v>
      </c>
      <c r="Q266" s="2">
        <v>7406</v>
      </c>
      <c r="R266" s="5">
        <f t="shared" si="15"/>
        <v>-423</v>
      </c>
    </row>
    <row r="267" spans="1:18" ht="18.75" customHeight="1">
      <c r="A267" s="6" t="s">
        <v>21</v>
      </c>
      <c r="B267" s="20">
        <v>44827</v>
      </c>
      <c r="C267" s="2">
        <v>269</v>
      </c>
      <c r="D267" s="2">
        <v>1074</v>
      </c>
      <c r="E267" s="2">
        <v>1080</v>
      </c>
      <c r="F267" s="2">
        <v>890</v>
      </c>
      <c r="G267" s="2">
        <v>0</v>
      </c>
      <c r="H267" s="2">
        <v>600</v>
      </c>
      <c r="I267" s="2">
        <v>190</v>
      </c>
      <c r="J267" s="2">
        <v>1687</v>
      </c>
      <c r="K267" s="2">
        <v>0</v>
      </c>
      <c r="L267" s="2">
        <v>7467</v>
      </c>
      <c r="M267" s="2">
        <v>1293</v>
      </c>
      <c r="N267" s="2">
        <v>240</v>
      </c>
      <c r="O267" s="2">
        <f t="shared" si="14"/>
        <v>12367</v>
      </c>
      <c r="P267" s="2">
        <v>4260</v>
      </c>
      <c r="Q267" s="2">
        <v>7853</v>
      </c>
      <c r="R267" s="5">
        <f t="shared" si="15"/>
        <v>254</v>
      </c>
    </row>
    <row r="268" spans="1:18" ht="18.75" customHeight="1">
      <c r="A268" s="6" t="s">
        <v>22</v>
      </c>
      <c r="B268" s="20">
        <v>44828</v>
      </c>
      <c r="C268" s="2">
        <v>540</v>
      </c>
      <c r="D268" s="2">
        <v>1957</v>
      </c>
      <c r="E268" s="2">
        <v>776</v>
      </c>
      <c r="F268" s="2">
        <v>1912</v>
      </c>
      <c r="G268" s="2">
        <v>0</v>
      </c>
      <c r="H268" s="2">
        <v>1565</v>
      </c>
      <c r="I268" s="2">
        <v>0</v>
      </c>
      <c r="J268" s="2">
        <v>1106</v>
      </c>
      <c r="K268" s="2">
        <v>0</v>
      </c>
      <c r="L268" s="2">
        <v>13840</v>
      </c>
      <c r="M268" s="2">
        <v>255</v>
      </c>
      <c r="N268" s="2">
        <v>0</v>
      </c>
      <c r="O268" s="2">
        <f t="shared" si="14"/>
        <v>18678</v>
      </c>
      <c r="P268" s="2">
        <v>4635</v>
      </c>
      <c r="Q268" s="2">
        <v>7140</v>
      </c>
      <c r="R268" s="5">
        <f t="shared" si="15"/>
        <v>6903</v>
      </c>
    </row>
    <row r="269" spans="1:18" ht="18.75" customHeight="1">
      <c r="A269" s="6" t="s">
        <v>23</v>
      </c>
      <c r="B269" s="20">
        <v>44829</v>
      </c>
      <c r="C269" s="2">
        <v>534</v>
      </c>
      <c r="D269" s="2">
        <v>3371</v>
      </c>
      <c r="E269" s="2">
        <v>1080</v>
      </c>
      <c r="F269" s="2">
        <v>1500</v>
      </c>
      <c r="G269" s="2">
        <v>0</v>
      </c>
      <c r="H269" s="2">
        <v>1321</v>
      </c>
      <c r="I269" s="2">
        <v>0</v>
      </c>
      <c r="J269" s="2">
        <v>1384</v>
      </c>
      <c r="K269" s="2">
        <v>0</v>
      </c>
      <c r="L269" s="2">
        <v>10456</v>
      </c>
      <c r="M269" s="2">
        <v>855</v>
      </c>
      <c r="N269" s="2">
        <v>0</v>
      </c>
      <c r="O269" s="2">
        <f t="shared" si="14"/>
        <v>15516</v>
      </c>
      <c r="P269" s="2">
        <v>6110</v>
      </c>
      <c r="Q269" s="2">
        <v>5510</v>
      </c>
      <c r="R269" s="5">
        <f t="shared" si="15"/>
        <v>3896</v>
      </c>
    </row>
    <row r="270" spans="1:18" ht="18.75" customHeight="1">
      <c r="A270" s="6" t="s">
        <v>17</v>
      </c>
      <c r="B270" s="20">
        <v>44830</v>
      </c>
      <c r="C270" s="2">
        <v>0</v>
      </c>
      <c r="D270" s="2">
        <v>3522</v>
      </c>
      <c r="E270" s="2">
        <v>410</v>
      </c>
      <c r="F270" s="2">
        <v>1419</v>
      </c>
      <c r="G270" s="2">
        <v>0</v>
      </c>
      <c r="H270" s="2">
        <v>1270</v>
      </c>
      <c r="I270" s="2">
        <v>0</v>
      </c>
      <c r="J270" s="2">
        <v>2134</v>
      </c>
      <c r="K270" s="2">
        <v>0</v>
      </c>
      <c r="L270" s="2">
        <v>6915</v>
      </c>
      <c r="M270" s="2">
        <v>432</v>
      </c>
      <c r="N270" s="2">
        <v>249</v>
      </c>
      <c r="O270" s="2">
        <f t="shared" si="14"/>
        <v>12419</v>
      </c>
      <c r="P270" s="2">
        <v>4280</v>
      </c>
      <c r="Q270" s="2">
        <v>11620</v>
      </c>
      <c r="R270" s="5">
        <f t="shared" si="15"/>
        <v>-3481</v>
      </c>
    </row>
    <row r="271" spans="1:18" ht="18.75" customHeight="1">
      <c r="A271" s="6" t="s">
        <v>18</v>
      </c>
      <c r="B271" s="20">
        <v>44831</v>
      </c>
      <c r="C271" s="2">
        <v>0</v>
      </c>
      <c r="D271" s="2">
        <v>2060</v>
      </c>
      <c r="E271" s="2">
        <v>1342</v>
      </c>
      <c r="F271" s="2">
        <v>1260</v>
      </c>
      <c r="G271" s="2">
        <v>0</v>
      </c>
      <c r="H271" s="2">
        <v>1541</v>
      </c>
      <c r="I271" s="2">
        <v>844</v>
      </c>
      <c r="J271" s="2">
        <v>1030</v>
      </c>
      <c r="K271" s="2">
        <v>0</v>
      </c>
      <c r="L271" s="2">
        <v>6787</v>
      </c>
      <c r="M271" s="2">
        <v>593</v>
      </c>
      <c r="N271" s="2">
        <v>398</v>
      </c>
      <c r="O271" s="2">
        <f t="shared" si="14"/>
        <v>12453</v>
      </c>
      <c r="P271" s="2">
        <v>3690</v>
      </c>
      <c r="Q271" s="2">
        <v>5679</v>
      </c>
      <c r="R271" s="5">
        <f t="shared" si="15"/>
        <v>3084</v>
      </c>
    </row>
    <row r="272" spans="1:18" ht="18.75" customHeight="1">
      <c r="A272" s="6" t="s">
        <v>19</v>
      </c>
      <c r="B272" s="20">
        <v>44832</v>
      </c>
      <c r="C272" s="2">
        <v>0</v>
      </c>
      <c r="D272" s="2">
        <v>1470</v>
      </c>
      <c r="E272" s="2">
        <v>533</v>
      </c>
      <c r="F272" s="2">
        <v>1861</v>
      </c>
      <c r="G272" s="2">
        <v>0</v>
      </c>
      <c r="H272" s="2">
        <v>970</v>
      </c>
      <c r="I272" s="2">
        <v>640</v>
      </c>
      <c r="J272" s="2">
        <v>1590</v>
      </c>
      <c r="K272" s="2">
        <v>0</v>
      </c>
      <c r="L272" s="2">
        <v>5547</v>
      </c>
      <c r="M272" s="2">
        <v>1361</v>
      </c>
      <c r="N272" s="2">
        <v>67</v>
      </c>
      <c r="O272" s="2">
        <f t="shared" si="14"/>
        <v>12036</v>
      </c>
      <c r="P272" s="2">
        <v>3830</v>
      </c>
      <c r="Q272" s="2">
        <v>4786</v>
      </c>
      <c r="R272" s="5">
        <f t="shared" si="15"/>
        <v>3420</v>
      </c>
    </row>
    <row r="273" spans="1:18" ht="18.75" customHeight="1">
      <c r="A273" s="6" t="s">
        <v>20</v>
      </c>
      <c r="B273" s="20">
        <v>44833</v>
      </c>
      <c r="C273" s="2">
        <v>648</v>
      </c>
      <c r="D273" s="2">
        <v>1916</v>
      </c>
      <c r="E273" s="2">
        <v>1558</v>
      </c>
      <c r="F273" s="2">
        <v>730</v>
      </c>
      <c r="G273" s="2">
        <v>0</v>
      </c>
      <c r="H273" s="2">
        <v>1700</v>
      </c>
      <c r="I273" s="2">
        <v>0</v>
      </c>
      <c r="J273" s="2">
        <v>1170</v>
      </c>
      <c r="K273" s="2">
        <v>0</v>
      </c>
      <c r="L273" s="2">
        <v>6442</v>
      </c>
      <c r="M273" s="2">
        <v>1694</v>
      </c>
      <c r="N273" s="2">
        <v>85</v>
      </c>
      <c r="O273" s="2">
        <f t="shared" si="14"/>
        <v>11821</v>
      </c>
      <c r="P273" s="2">
        <v>3880</v>
      </c>
      <c r="Q273" s="2">
        <v>7953</v>
      </c>
      <c r="R273" s="5">
        <f t="shared" si="15"/>
        <v>-12</v>
      </c>
    </row>
    <row r="274" spans="1:18" ht="18.75" customHeight="1">
      <c r="A274" s="6" t="s">
        <v>21</v>
      </c>
      <c r="B274" s="20">
        <v>44834</v>
      </c>
      <c r="C274" s="2">
        <v>0</v>
      </c>
      <c r="D274" s="2">
        <v>1568</v>
      </c>
      <c r="E274" s="2">
        <v>1006</v>
      </c>
      <c r="F274" s="2">
        <v>1414</v>
      </c>
      <c r="G274" s="2">
        <v>370</v>
      </c>
      <c r="H274" s="2">
        <v>1480</v>
      </c>
      <c r="I274" s="2">
        <v>566</v>
      </c>
      <c r="J274" s="2">
        <v>2742</v>
      </c>
      <c r="K274" s="2">
        <v>0</v>
      </c>
      <c r="L274" s="2">
        <v>7605</v>
      </c>
      <c r="M274" s="2">
        <v>1386</v>
      </c>
      <c r="N274" s="2">
        <v>55</v>
      </c>
      <c r="O274" s="2">
        <f t="shared" si="14"/>
        <v>15618</v>
      </c>
      <c r="P274" s="2">
        <v>4300</v>
      </c>
      <c r="Q274" s="2">
        <v>8067</v>
      </c>
      <c r="R274" s="5">
        <f t="shared" si="15"/>
        <v>3251</v>
      </c>
    </row>
    <row r="275" spans="1:18" ht="18.75" customHeight="1">
      <c r="A275" s="6" t="s">
        <v>22</v>
      </c>
      <c r="B275" s="20">
        <v>44835</v>
      </c>
      <c r="C275" s="2">
        <v>687</v>
      </c>
      <c r="D275" s="2">
        <v>1680</v>
      </c>
      <c r="E275" s="2">
        <v>1090</v>
      </c>
      <c r="F275" s="2">
        <v>1170</v>
      </c>
      <c r="G275" s="2">
        <v>760</v>
      </c>
      <c r="H275" s="2">
        <v>1775</v>
      </c>
      <c r="I275" s="2">
        <v>352</v>
      </c>
      <c r="J275" s="2">
        <v>1798</v>
      </c>
      <c r="K275" s="2">
        <v>0</v>
      </c>
      <c r="L275" s="2">
        <v>8949</v>
      </c>
      <c r="M275" s="2">
        <v>1447</v>
      </c>
      <c r="N275" s="2">
        <v>110</v>
      </c>
      <c r="O275" s="2">
        <f t="shared" si="14"/>
        <v>16361</v>
      </c>
      <c r="P275" s="2">
        <v>5140</v>
      </c>
      <c r="Q275" s="2">
        <v>9086</v>
      </c>
      <c r="R275" s="5">
        <f t="shared" si="15"/>
        <v>2135</v>
      </c>
    </row>
    <row r="276" spans="1:18" ht="18.75" customHeight="1">
      <c r="A276" s="6" t="s">
        <v>16</v>
      </c>
      <c r="B276" s="20">
        <v>44836</v>
      </c>
      <c r="C276" s="2">
        <v>0</v>
      </c>
      <c r="D276" s="2">
        <v>2383</v>
      </c>
      <c r="E276" s="2">
        <v>470</v>
      </c>
      <c r="F276" s="2">
        <v>1660</v>
      </c>
      <c r="G276" s="2">
        <v>970</v>
      </c>
      <c r="H276" s="2">
        <v>1190</v>
      </c>
      <c r="I276" s="2">
        <v>668</v>
      </c>
      <c r="J276" s="2">
        <v>1246</v>
      </c>
      <c r="K276" s="2">
        <v>0</v>
      </c>
      <c r="L276" s="2">
        <v>11274</v>
      </c>
      <c r="M276" s="2">
        <v>1429</v>
      </c>
      <c r="N276" s="2">
        <v>0</v>
      </c>
      <c r="O276" s="2">
        <f t="shared" si="14"/>
        <v>18437</v>
      </c>
      <c r="P276" s="2">
        <v>6880</v>
      </c>
      <c r="Q276" s="2">
        <v>5071</v>
      </c>
      <c r="R276" s="5">
        <f t="shared" si="15"/>
        <v>6486</v>
      </c>
    </row>
    <row r="277" spans="1:18" ht="18.75" customHeight="1">
      <c r="A277" s="6" t="s">
        <v>17</v>
      </c>
      <c r="B277" s="20">
        <v>44837</v>
      </c>
      <c r="C277" s="2">
        <v>529</v>
      </c>
      <c r="D277" s="2">
        <v>2663</v>
      </c>
      <c r="E277" s="2">
        <v>540</v>
      </c>
      <c r="F277" s="2">
        <v>1200</v>
      </c>
      <c r="G277" s="2">
        <v>0</v>
      </c>
      <c r="H277" s="2">
        <v>1070</v>
      </c>
      <c r="I277" s="2">
        <v>566</v>
      </c>
      <c r="J277" s="2">
        <v>1482</v>
      </c>
      <c r="K277" s="2">
        <v>0</v>
      </c>
      <c r="L277" s="2">
        <v>8405</v>
      </c>
      <c r="M277" s="2">
        <v>549</v>
      </c>
      <c r="N277" s="2">
        <v>582</v>
      </c>
      <c r="O277" s="2">
        <f t="shared" si="14"/>
        <v>13854</v>
      </c>
      <c r="P277" s="2">
        <v>6225</v>
      </c>
      <c r="Q277" s="2">
        <v>10140</v>
      </c>
      <c r="R277" s="5">
        <f t="shared" si="15"/>
        <v>-2511</v>
      </c>
    </row>
    <row r="278" spans="1:18" ht="18.75" customHeight="1">
      <c r="A278" s="6" t="s">
        <v>18</v>
      </c>
      <c r="B278" s="20">
        <v>44838</v>
      </c>
      <c r="C278" s="2">
        <v>358</v>
      </c>
      <c r="D278" s="2">
        <v>2605</v>
      </c>
      <c r="E278" s="2">
        <v>800</v>
      </c>
      <c r="F278" s="2">
        <v>840</v>
      </c>
      <c r="G278" s="2">
        <v>0</v>
      </c>
      <c r="H278" s="2">
        <v>1335</v>
      </c>
      <c r="I278" s="2">
        <v>220</v>
      </c>
      <c r="J278" s="2">
        <v>1110</v>
      </c>
      <c r="K278" s="2">
        <v>0</v>
      </c>
      <c r="L278" s="2">
        <v>6812</v>
      </c>
      <c r="M278" s="2">
        <v>40</v>
      </c>
      <c r="N278" s="2">
        <v>0</v>
      </c>
      <c r="O278" s="2">
        <f t="shared" si="14"/>
        <v>10357</v>
      </c>
      <c r="P278" s="2">
        <v>4575</v>
      </c>
      <c r="Q278" s="2">
        <v>5907</v>
      </c>
      <c r="R278" s="5">
        <f t="shared" si="15"/>
        <v>-125</v>
      </c>
    </row>
    <row r="279" spans="1:18" ht="18.75" customHeight="1">
      <c r="A279" s="6" t="s">
        <v>19</v>
      </c>
      <c r="B279" s="20">
        <v>44839</v>
      </c>
      <c r="C279" s="2">
        <v>289</v>
      </c>
      <c r="D279" s="2">
        <v>2199</v>
      </c>
      <c r="E279" s="2">
        <v>330</v>
      </c>
      <c r="F279" s="2">
        <v>807</v>
      </c>
      <c r="G279" s="2">
        <v>0</v>
      </c>
      <c r="H279" s="2">
        <v>1095</v>
      </c>
      <c r="I279" s="2">
        <v>0</v>
      </c>
      <c r="J279" s="2">
        <v>1232</v>
      </c>
      <c r="K279" s="2">
        <v>0</v>
      </c>
      <c r="L279" s="2">
        <v>7034</v>
      </c>
      <c r="M279" s="2">
        <v>944</v>
      </c>
      <c r="N279" s="2">
        <v>0</v>
      </c>
      <c r="O279" s="2">
        <f t="shared" si="14"/>
        <v>11112</v>
      </c>
      <c r="P279" s="2">
        <v>4160</v>
      </c>
      <c r="Q279" s="2">
        <v>5999</v>
      </c>
      <c r="R279" s="5">
        <f t="shared" si="15"/>
        <v>953</v>
      </c>
    </row>
    <row r="280" spans="1:18" ht="18.75" customHeight="1">
      <c r="A280" s="6" t="s">
        <v>20</v>
      </c>
      <c r="B280" s="20">
        <v>44840</v>
      </c>
      <c r="C280" s="2">
        <v>489</v>
      </c>
      <c r="D280" s="2">
        <v>1859</v>
      </c>
      <c r="E280" s="2">
        <v>896</v>
      </c>
      <c r="F280" s="2">
        <v>1090</v>
      </c>
      <c r="G280" s="2">
        <v>0</v>
      </c>
      <c r="H280" s="2">
        <v>1535</v>
      </c>
      <c r="I280" s="2">
        <v>280</v>
      </c>
      <c r="J280" s="2">
        <v>1458</v>
      </c>
      <c r="K280" s="2">
        <v>0</v>
      </c>
      <c r="L280" s="2">
        <v>6438</v>
      </c>
      <c r="M280" s="2">
        <v>471</v>
      </c>
      <c r="N280" s="2">
        <v>129</v>
      </c>
      <c r="O280" s="2">
        <f t="shared" ref="O280:O311" si="16">SUM(F280:N280)</f>
        <v>11401</v>
      </c>
      <c r="P280" s="2">
        <v>3600</v>
      </c>
      <c r="Q280" s="2">
        <v>7570</v>
      </c>
      <c r="R280" s="5">
        <f t="shared" si="15"/>
        <v>231</v>
      </c>
    </row>
    <row r="281" spans="1:18" ht="18.75" customHeight="1">
      <c r="A281" s="6" t="s">
        <v>21</v>
      </c>
      <c r="B281" s="20">
        <v>44841</v>
      </c>
      <c r="C281" s="2">
        <v>965</v>
      </c>
      <c r="D281" s="2">
        <v>1642</v>
      </c>
      <c r="E281" s="2">
        <v>660</v>
      </c>
      <c r="F281" s="2">
        <v>1220</v>
      </c>
      <c r="G281" s="2">
        <v>0</v>
      </c>
      <c r="H281" s="2">
        <v>1115</v>
      </c>
      <c r="I281" s="2">
        <v>296</v>
      </c>
      <c r="J281" s="2">
        <v>810</v>
      </c>
      <c r="K281" s="2">
        <v>0</v>
      </c>
      <c r="L281" s="2">
        <v>7976</v>
      </c>
      <c r="M281" s="2">
        <v>226</v>
      </c>
      <c r="N281" s="2">
        <v>326</v>
      </c>
      <c r="O281" s="2">
        <f t="shared" si="16"/>
        <v>11969</v>
      </c>
      <c r="P281" s="2">
        <v>4368</v>
      </c>
      <c r="Q281" s="2">
        <v>8398</v>
      </c>
      <c r="R281" s="5">
        <f t="shared" si="15"/>
        <v>-797</v>
      </c>
    </row>
    <row r="282" spans="1:18" ht="18.75" customHeight="1">
      <c r="A282" s="6" t="s">
        <v>22</v>
      </c>
      <c r="B282" s="20">
        <v>44842</v>
      </c>
      <c r="C282" s="2">
        <v>388</v>
      </c>
      <c r="D282" s="2">
        <v>3390</v>
      </c>
      <c r="E282" s="2">
        <v>810</v>
      </c>
      <c r="F282" s="2">
        <v>1684</v>
      </c>
      <c r="G282" s="2">
        <v>0</v>
      </c>
      <c r="H282" s="2">
        <v>1106</v>
      </c>
      <c r="I282" s="2">
        <v>270</v>
      </c>
      <c r="J282" s="2">
        <v>1045</v>
      </c>
      <c r="K282" s="2">
        <v>0</v>
      </c>
      <c r="L282" s="2">
        <v>8455</v>
      </c>
      <c r="M282" s="2">
        <v>1647</v>
      </c>
      <c r="N282" s="2">
        <v>205</v>
      </c>
      <c r="O282" s="2">
        <f t="shared" si="16"/>
        <v>14412</v>
      </c>
      <c r="P282" s="2">
        <v>4740</v>
      </c>
      <c r="Q282" s="2">
        <v>8608</v>
      </c>
      <c r="R282" s="5">
        <f t="shared" si="15"/>
        <v>1064</v>
      </c>
    </row>
    <row r="283" spans="1:18" ht="18.75" customHeight="1">
      <c r="A283" s="6" t="s">
        <v>23</v>
      </c>
      <c r="B283" s="20">
        <v>44843</v>
      </c>
      <c r="C283" s="2">
        <v>0</v>
      </c>
      <c r="D283" s="2">
        <v>2349</v>
      </c>
      <c r="E283" s="2">
        <v>678</v>
      </c>
      <c r="F283" s="2">
        <v>1579</v>
      </c>
      <c r="G283" s="2">
        <v>0</v>
      </c>
      <c r="H283" s="2">
        <v>1255</v>
      </c>
      <c r="I283" s="2">
        <v>700</v>
      </c>
      <c r="J283" s="2">
        <v>1130</v>
      </c>
      <c r="K283" s="2">
        <v>0</v>
      </c>
      <c r="L283" s="2">
        <v>9556</v>
      </c>
      <c r="M283" s="2">
        <v>0</v>
      </c>
      <c r="N283" s="2">
        <v>0</v>
      </c>
      <c r="O283" s="2">
        <f t="shared" si="16"/>
        <v>14220</v>
      </c>
      <c r="P283" s="2">
        <v>5340</v>
      </c>
      <c r="Q283" s="2">
        <v>4758</v>
      </c>
      <c r="R283" s="5">
        <f t="shared" si="15"/>
        <v>4122</v>
      </c>
    </row>
    <row r="284" spans="1:18" ht="18.75" customHeight="1">
      <c r="A284" s="6" t="s">
        <v>17</v>
      </c>
      <c r="B284" s="20">
        <v>44844</v>
      </c>
      <c r="C284" s="2">
        <v>1138</v>
      </c>
      <c r="D284" s="2">
        <v>1669</v>
      </c>
      <c r="E284" s="2">
        <v>480</v>
      </c>
      <c r="F284" s="2">
        <v>1156</v>
      </c>
      <c r="G284" s="2">
        <v>0</v>
      </c>
      <c r="H284" s="2">
        <v>1660</v>
      </c>
      <c r="I284" s="2">
        <v>280</v>
      </c>
      <c r="J284" s="2">
        <v>690</v>
      </c>
      <c r="K284" s="2">
        <v>0</v>
      </c>
      <c r="L284" s="2">
        <v>7515</v>
      </c>
      <c r="M284" s="2">
        <v>90</v>
      </c>
      <c r="N284" s="2">
        <v>843</v>
      </c>
      <c r="O284" s="2">
        <f t="shared" si="16"/>
        <v>12234</v>
      </c>
      <c r="P284" s="2">
        <v>3830</v>
      </c>
      <c r="Q284" s="2">
        <v>13809</v>
      </c>
      <c r="R284" s="5">
        <f t="shared" si="15"/>
        <v>-5405</v>
      </c>
    </row>
    <row r="285" spans="1:18" ht="18.75" customHeight="1">
      <c r="A285" s="6" t="s">
        <v>18</v>
      </c>
      <c r="B285" s="20">
        <v>44845</v>
      </c>
      <c r="C285" s="2">
        <v>0</v>
      </c>
      <c r="D285" s="2">
        <v>1666</v>
      </c>
      <c r="E285" s="2">
        <v>656</v>
      </c>
      <c r="F285" s="2">
        <v>1446</v>
      </c>
      <c r="G285" s="2">
        <v>0</v>
      </c>
      <c r="H285" s="2">
        <v>780</v>
      </c>
      <c r="I285" s="2">
        <v>1515</v>
      </c>
      <c r="J285" s="2">
        <v>980</v>
      </c>
      <c r="K285" s="2">
        <v>0</v>
      </c>
      <c r="L285" s="2">
        <v>4857</v>
      </c>
      <c r="M285" s="2">
        <v>40</v>
      </c>
      <c r="N285" s="2">
        <v>280</v>
      </c>
      <c r="O285" s="2">
        <f t="shared" si="16"/>
        <v>9898</v>
      </c>
      <c r="P285" s="2">
        <v>3730</v>
      </c>
      <c r="Q285" s="2">
        <v>6130</v>
      </c>
      <c r="R285" s="5">
        <f t="shared" si="15"/>
        <v>38</v>
      </c>
    </row>
    <row r="286" spans="1:18" ht="18.75" customHeight="1">
      <c r="A286" s="6" t="s">
        <v>19</v>
      </c>
      <c r="B286" s="20">
        <v>44846</v>
      </c>
      <c r="C286" s="2">
        <v>455</v>
      </c>
      <c r="D286" s="2">
        <v>1900</v>
      </c>
      <c r="E286" s="2">
        <v>410</v>
      </c>
      <c r="F286" s="2">
        <v>1570</v>
      </c>
      <c r="G286" s="2">
        <v>0</v>
      </c>
      <c r="H286" s="2">
        <v>690</v>
      </c>
      <c r="I286" s="2">
        <v>940</v>
      </c>
      <c r="J286" s="2">
        <v>1435</v>
      </c>
      <c r="K286" s="2">
        <v>0</v>
      </c>
      <c r="L286" s="2">
        <v>5556</v>
      </c>
      <c r="M286" s="2">
        <v>1880</v>
      </c>
      <c r="N286" s="2">
        <v>0</v>
      </c>
      <c r="O286" s="2">
        <f t="shared" si="16"/>
        <v>12071</v>
      </c>
      <c r="P286" s="2">
        <v>4270</v>
      </c>
      <c r="Q286" s="2">
        <v>5357</v>
      </c>
      <c r="R286" s="5">
        <f t="shared" si="15"/>
        <v>2444</v>
      </c>
    </row>
    <row r="287" spans="1:18" ht="18.75" customHeight="1">
      <c r="A287" s="6" t="s">
        <v>20</v>
      </c>
      <c r="B287" s="20">
        <v>44847</v>
      </c>
      <c r="C287" s="2">
        <v>476</v>
      </c>
      <c r="D287" s="2">
        <v>1621</v>
      </c>
      <c r="E287" s="2">
        <v>680</v>
      </c>
      <c r="F287" s="2">
        <v>1632</v>
      </c>
      <c r="G287" s="2">
        <v>0</v>
      </c>
      <c r="H287" s="2">
        <v>1000</v>
      </c>
      <c r="I287" s="2">
        <v>770</v>
      </c>
      <c r="J287" s="2">
        <v>720</v>
      </c>
      <c r="K287" s="2">
        <v>0</v>
      </c>
      <c r="L287" s="2">
        <v>7031</v>
      </c>
      <c r="M287" s="2">
        <v>1331</v>
      </c>
      <c r="N287" s="2">
        <v>295</v>
      </c>
      <c r="O287" s="2">
        <f t="shared" si="16"/>
        <v>12779</v>
      </c>
      <c r="P287" s="2">
        <v>4160</v>
      </c>
      <c r="Q287" s="2">
        <v>8104</v>
      </c>
      <c r="R287" s="5">
        <f t="shared" si="15"/>
        <v>515</v>
      </c>
    </row>
    <row r="288" spans="1:18" ht="18.75" customHeight="1">
      <c r="A288" s="6" t="s">
        <v>21</v>
      </c>
      <c r="B288" s="20">
        <v>44848</v>
      </c>
      <c r="C288" s="2">
        <v>220</v>
      </c>
      <c r="D288" s="2">
        <v>1260</v>
      </c>
      <c r="E288" s="2">
        <v>690</v>
      </c>
      <c r="F288" s="2">
        <v>840</v>
      </c>
      <c r="G288" s="2">
        <v>0</v>
      </c>
      <c r="H288" s="2">
        <v>2070</v>
      </c>
      <c r="I288" s="2">
        <v>770</v>
      </c>
      <c r="J288" s="2">
        <v>1314</v>
      </c>
      <c r="K288" s="2">
        <v>0</v>
      </c>
      <c r="L288" s="2">
        <v>7273</v>
      </c>
      <c r="M288" s="2">
        <v>1221</v>
      </c>
      <c r="N288" s="2">
        <v>318</v>
      </c>
      <c r="O288" s="2">
        <f t="shared" si="16"/>
        <v>13806</v>
      </c>
      <c r="P288" s="2">
        <v>5230</v>
      </c>
      <c r="Q288" s="2">
        <v>5778</v>
      </c>
      <c r="R288" s="5">
        <f t="shared" si="15"/>
        <v>2798</v>
      </c>
    </row>
    <row r="289" spans="1:18" ht="18.75" customHeight="1">
      <c r="A289" s="6" t="s">
        <v>22</v>
      </c>
      <c r="B289" s="20">
        <v>44849</v>
      </c>
      <c r="C289" s="2">
        <v>483</v>
      </c>
      <c r="D289" s="2">
        <v>1072</v>
      </c>
      <c r="E289" s="2">
        <v>871</v>
      </c>
      <c r="F289" s="2">
        <v>1035</v>
      </c>
      <c r="G289" s="2">
        <v>0</v>
      </c>
      <c r="H289" s="2">
        <v>1677</v>
      </c>
      <c r="I289" s="2">
        <v>160</v>
      </c>
      <c r="J289" s="2">
        <v>670</v>
      </c>
      <c r="K289" s="2">
        <v>0</v>
      </c>
      <c r="L289" s="2">
        <v>7747</v>
      </c>
      <c r="M289" s="2">
        <v>1674</v>
      </c>
      <c r="N289" s="2">
        <v>0</v>
      </c>
      <c r="O289" s="2">
        <f t="shared" si="16"/>
        <v>12963</v>
      </c>
      <c r="P289" s="2">
        <v>4555</v>
      </c>
      <c r="Q289" s="2">
        <v>7097</v>
      </c>
      <c r="R289" s="5">
        <f t="shared" si="15"/>
        <v>1311</v>
      </c>
    </row>
    <row r="290" spans="1:18" ht="18.75" customHeight="1">
      <c r="A290" s="6" t="s">
        <v>23</v>
      </c>
      <c r="B290" s="20">
        <v>44850</v>
      </c>
      <c r="C290" s="2">
        <v>572</v>
      </c>
      <c r="D290" s="2">
        <v>2944</v>
      </c>
      <c r="E290" s="2">
        <v>1680</v>
      </c>
      <c r="F290" s="2">
        <v>680</v>
      </c>
      <c r="G290" s="2">
        <v>0</v>
      </c>
      <c r="H290" s="2">
        <v>1240</v>
      </c>
      <c r="I290" s="2">
        <v>580</v>
      </c>
      <c r="J290" s="2">
        <v>1195</v>
      </c>
      <c r="K290" s="2">
        <v>0</v>
      </c>
      <c r="L290" s="2">
        <v>9117</v>
      </c>
      <c r="M290" s="2">
        <v>2548</v>
      </c>
      <c r="N290" s="2">
        <v>0</v>
      </c>
      <c r="O290" s="2">
        <f t="shared" si="16"/>
        <v>15360</v>
      </c>
      <c r="P290" s="2">
        <v>5210</v>
      </c>
      <c r="Q290" s="2">
        <v>6800</v>
      </c>
      <c r="R290" s="5">
        <f t="shared" si="15"/>
        <v>3350</v>
      </c>
    </row>
    <row r="291" spans="1:18" ht="18.75" customHeight="1">
      <c r="A291" s="6" t="s">
        <v>17</v>
      </c>
      <c r="B291" s="20">
        <v>44851</v>
      </c>
      <c r="C291" s="2">
        <v>710</v>
      </c>
      <c r="D291" s="2">
        <v>999</v>
      </c>
      <c r="E291" s="2">
        <v>510</v>
      </c>
      <c r="F291" s="2">
        <v>1610</v>
      </c>
      <c r="G291" s="2">
        <v>0</v>
      </c>
      <c r="H291" s="2">
        <v>1860</v>
      </c>
      <c r="I291" s="2">
        <v>290</v>
      </c>
      <c r="J291" s="2">
        <v>810</v>
      </c>
      <c r="K291" s="2">
        <v>0</v>
      </c>
      <c r="L291" s="2">
        <v>6142</v>
      </c>
      <c r="M291" s="2">
        <v>927</v>
      </c>
      <c r="N291" s="2">
        <v>205</v>
      </c>
      <c r="O291" s="2">
        <f t="shared" si="16"/>
        <v>11844</v>
      </c>
      <c r="P291" s="2">
        <v>4480</v>
      </c>
      <c r="Q291" s="2">
        <v>10706</v>
      </c>
      <c r="R291" s="5">
        <f t="shared" si="15"/>
        <v>-3342</v>
      </c>
    </row>
    <row r="292" spans="1:18" ht="18.75" customHeight="1">
      <c r="A292" s="6" t="s">
        <v>18</v>
      </c>
      <c r="B292" s="20">
        <v>44852</v>
      </c>
      <c r="C292" s="2">
        <v>651</v>
      </c>
      <c r="D292" s="2">
        <v>2535</v>
      </c>
      <c r="E292" s="2">
        <v>340</v>
      </c>
      <c r="F292" s="2">
        <v>1372</v>
      </c>
      <c r="G292" s="2">
        <v>0</v>
      </c>
      <c r="H292" s="2">
        <v>1589</v>
      </c>
      <c r="I292" s="2">
        <v>8210</v>
      </c>
      <c r="J292" s="2">
        <v>870</v>
      </c>
      <c r="K292" s="2">
        <v>0</v>
      </c>
      <c r="L292" s="2">
        <v>4488</v>
      </c>
      <c r="M292" s="2">
        <v>475</v>
      </c>
      <c r="N292" s="2">
        <v>0</v>
      </c>
      <c r="O292" s="2">
        <f t="shared" si="16"/>
        <v>17004</v>
      </c>
      <c r="P292" s="2">
        <v>4260</v>
      </c>
      <c r="Q292" s="2">
        <v>5318</v>
      </c>
      <c r="R292" s="5">
        <f t="shared" si="15"/>
        <v>7426</v>
      </c>
    </row>
    <row r="293" spans="1:18" ht="18.75" customHeight="1">
      <c r="A293" s="6" t="s">
        <v>19</v>
      </c>
      <c r="B293" s="20">
        <v>44853</v>
      </c>
      <c r="C293" s="2">
        <v>4940</v>
      </c>
      <c r="D293" s="2">
        <v>1515</v>
      </c>
      <c r="E293" s="2">
        <v>680</v>
      </c>
      <c r="F293" s="2">
        <v>1156</v>
      </c>
      <c r="G293" s="2">
        <v>0</v>
      </c>
      <c r="H293" s="2">
        <v>1930</v>
      </c>
      <c r="I293" s="2">
        <v>471</v>
      </c>
      <c r="J293" s="2">
        <v>970</v>
      </c>
      <c r="K293" s="2">
        <v>0</v>
      </c>
      <c r="L293" s="2">
        <v>7966</v>
      </c>
      <c r="M293" s="2">
        <v>1021</v>
      </c>
      <c r="N293" s="2">
        <v>0</v>
      </c>
      <c r="O293" s="2">
        <f t="shared" si="16"/>
        <v>13514</v>
      </c>
      <c r="P293" s="2">
        <v>4520</v>
      </c>
      <c r="Q293" s="2">
        <v>6817</v>
      </c>
      <c r="R293" s="5">
        <f t="shared" si="15"/>
        <v>2177</v>
      </c>
    </row>
    <row r="294" spans="1:18" ht="18.75" customHeight="1">
      <c r="A294" s="6" t="s">
        <v>20</v>
      </c>
      <c r="B294" s="20">
        <v>44854</v>
      </c>
      <c r="C294" s="2">
        <v>440</v>
      </c>
      <c r="D294" s="2">
        <v>1514</v>
      </c>
      <c r="E294" s="2">
        <v>790</v>
      </c>
      <c r="F294" s="2">
        <v>1404</v>
      </c>
      <c r="G294" s="2">
        <v>0</v>
      </c>
      <c r="H294" s="2">
        <v>1500</v>
      </c>
      <c r="I294" s="2">
        <v>0</v>
      </c>
      <c r="J294" s="2">
        <v>880</v>
      </c>
      <c r="K294" s="2">
        <v>0</v>
      </c>
      <c r="L294" s="2">
        <v>3267</v>
      </c>
      <c r="M294" s="2">
        <v>2578</v>
      </c>
      <c r="N294" s="2">
        <v>315</v>
      </c>
      <c r="O294" s="2">
        <f t="shared" si="16"/>
        <v>9944</v>
      </c>
      <c r="P294" s="2">
        <v>3932</v>
      </c>
      <c r="Q294" s="2">
        <v>7491</v>
      </c>
      <c r="R294" s="5">
        <f t="shared" si="15"/>
        <v>-1479</v>
      </c>
    </row>
    <row r="295" spans="1:18" ht="18.75" customHeight="1">
      <c r="A295" s="6" t="s">
        <v>21</v>
      </c>
      <c r="B295" s="20">
        <v>44855</v>
      </c>
      <c r="C295" s="2">
        <v>507</v>
      </c>
      <c r="D295" s="2">
        <v>1464</v>
      </c>
      <c r="E295" s="2">
        <v>692</v>
      </c>
      <c r="F295" s="2">
        <v>1050</v>
      </c>
      <c r="G295" s="2">
        <v>0</v>
      </c>
      <c r="H295" s="2">
        <v>2220</v>
      </c>
      <c r="I295" s="2">
        <v>920</v>
      </c>
      <c r="J295" s="2">
        <v>1400</v>
      </c>
      <c r="K295" s="2">
        <v>0</v>
      </c>
      <c r="L295" s="2">
        <v>6588</v>
      </c>
      <c r="M295" s="2">
        <v>1956</v>
      </c>
      <c r="N295" s="2">
        <v>75</v>
      </c>
      <c r="O295" s="2">
        <f t="shared" si="16"/>
        <v>14209</v>
      </c>
      <c r="P295" s="2">
        <v>4540</v>
      </c>
      <c r="Q295" s="2">
        <v>10748</v>
      </c>
      <c r="R295" s="5">
        <f t="shared" si="15"/>
        <v>-1079</v>
      </c>
    </row>
    <row r="296" spans="1:18" ht="18.75" customHeight="1">
      <c r="A296" s="6" t="s">
        <v>22</v>
      </c>
      <c r="B296" s="20">
        <v>44856</v>
      </c>
      <c r="C296" s="2">
        <v>609</v>
      </c>
      <c r="D296" s="2">
        <v>1109</v>
      </c>
      <c r="E296" s="2">
        <v>670</v>
      </c>
      <c r="F296" s="2">
        <v>1760</v>
      </c>
      <c r="G296" s="2">
        <v>0</v>
      </c>
      <c r="H296" s="2">
        <v>1505</v>
      </c>
      <c r="I296" s="2">
        <v>1215</v>
      </c>
      <c r="J296" s="2">
        <v>720</v>
      </c>
      <c r="K296" s="2">
        <v>0</v>
      </c>
      <c r="L296" s="2">
        <v>5301</v>
      </c>
      <c r="M296" s="2">
        <v>1988</v>
      </c>
      <c r="N296" s="2">
        <v>260</v>
      </c>
      <c r="O296" s="2">
        <f t="shared" si="16"/>
        <v>12749</v>
      </c>
      <c r="P296" s="2">
        <v>4660</v>
      </c>
      <c r="Q296" s="2">
        <v>7309</v>
      </c>
      <c r="R296" s="5">
        <f t="shared" si="15"/>
        <v>780</v>
      </c>
    </row>
    <row r="297" spans="1:18" ht="18.75" customHeight="1">
      <c r="A297" s="6" t="s">
        <v>23</v>
      </c>
      <c r="B297" s="20">
        <v>44857</v>
      </c>
      <c r="C297" s="2">
        <v>518</v>
      </c>
      <c r="D297" s="2">
        <v>1828</v>
      </c>
      <c r="E297" s="2">
        <v>350</v>
      </c>
      <c r="F297" s="2">
        <v>880</v>
      </c>
      <c r="G297" s="2">
        <v>0</v>
      </c>
      <c r="H297" s="2">
        <v>1095</v>
      </c>
      <c r="I297" s="2">
        <v>0</v>
      </c>
      <c r="J297" s="2">
        <v>1210</v>
      </c>
      <c r="K297" s="2">
        <v>0</v>
      </c>
      <c r="L297" s="2">
        <v>8302</v>
      </c>
      <c r="M297" s="2">
        <v>1821</v>
      </c>
      <c r="N297" s="2">
        <v>0</v>
      </c>
      <c r="O297" s="2">
        <f t="shared" si="16"/>
        <v>13308</v>
      </c>
      <c r="P297" s="2">
        <v>4910</v>
      </c>
      <c r="Q297" s="2">
        <v>6097</v>
      </c>
      <c r="R297" s="5">
        <f t="shared" si="15"/>
        <v>2301</v>
      </c>
    </row>
    <row r="298" spans="1:18" ht="18.75" customHeight="1">
      <c r="A298" s="6" t="s">
        <v>17</v>
      </c>
      <c r="B298" s="20">
        <v>44858</v>
      </c>
      <c r="C298" s="2">
        <v>648</v>
      </c>
      <c r="D298" s="2">
        <v>1550</v>
      </c>
      <c r="E298" s="2">
        <v>600</v>
      </c>
      <c r="F298" s="2">
        <v>1482</v>
      </c>
      <c r="G298" s="2">
        <v>0</v>
      </c>
      <c r="H298" s="2">
        <v>1680</v>
      </c>
      <c r="I298" s="2">
        <v>530</v>
      </c>
      <c r="J298" s="2">
        <v>1550</v>
      </c>
      <c r="K298" s="2">
        <v>0</v>
      </c>
      <c r="L298" s="2">
        <v>7346</v>
      </c>
      <c r="M298" s="2">
        <v>1664</v>
      </c>
      <c r="N298" s="2">
        <v>150</v>
      </c>
      <c r="O298" s="2">
        <f t="shared" si="16"/>
        <v>14402</v>
      </c>
      <c r="P298" s="2">
        <v>7801</v>
      </c>
      <c r="Q298" s="2">
        <v>8406</v>
      </c>
      <c r="R298" s="5">
        <f t="shared" si="15"/>
        <v>-1805</v>
      </c>
    </row>
    <row r="299" spans="1:18" ht="18.75" customHeight="1">
      <c r="A299" s="6" t="s">
        <v>18</v>
      </c>
      <c r="B299" s="20">
        <v>44859</v>
      </c>
      <c r="C299" s="2">
        <v>453</v>
      </c>
      <c r="D299" s="2">
        <v>2071</v>
      </c>
      <c r="E299" s="2">
        <v>670</v>
      </c>
      <c r="F299" s="2">
        <v>1194</v>
      </c>
      <c r="G299" s="2">
        <v>0</v>
      </c>
      <c r="H299" s="2">
        <v>1170</v>
      </c>
      <c r="I299" s="2">
        <v>320</v>
      </c>
      <c r="J299" s="2">
        <v>720</v>
      </c>
      <c r="K299" s="2">
        <v>0</v>
      </c>
      <c r="L299" s="2">
        <v>6476</v>
      </c>
      <c r="M299" s="2">
        <v>947</v>
      </c>
      <c r="N299" s="2">
        <v>205</v>
      </c>
      <c r="O299" s="2">
        <f t="shared" si="16"/>
        <v>11032</v>
      </c>
      <c r="P299" s="2">
        <v>4960</v>
      </c>
      <c r="Q299" s="2">
        <v>6544</v>
      </c>
      <c r="R299" s="5">
        <f t="shared" si="15"/>
        <v>-472</v>
      </c>
    </row>
    <row r="300" spans="1:18" ht="18.75" customHeight="1">
      <c r="A300" s="6" t="s">
        <v>19</v>
      </c>
      <c r="B300" s="20">
        <v>44860</v>
      </c>
      <c r="C300" s="2">
        <v>207</v>
      </c>
      <c r="D300" s="2">
        <v>1087</v>
      </c>
      <c r="E300" s="2">
        <v>540</v>
      </c>
      <c r="F300" s="2">
        <v>1470</v>
      </c>
      <c r="G300" s="2">
        <v>0</v>
      </c>
      <c r="H300" s="2">
        <v>1330</v>
      </c>
      <c r="I300" s="2">
        <v>480</v>
      </c>
      <c r="J300" s="2">
        <v>750</v>
      </c>
      <c r="K300" s="2">
        <v>0</v>
      </c>
      <c r="L300" s="2">
        <v>6356</v>
      </c>
      <c r="M300" s="2">
        <v>844</v>
      </c>
      <c r="N300" s="2">
        <v>293</v>
      </c>
      <c r="O300" s="2">
        <f t="shared" si="16"/>
        <v>11523</v>
      </c>
      <c r="P300" s="2">
        <v>4180</v>
      </c>
      <c r="Q300" s="2">
        <v>6478</v>
      </c>
      <c r="R300" s="5">
        <f t="shared" si="15"/>
        <v>865</v>
      </c>
    </row>
    <row r="301" spans="1:18" ht="18.75" customHeight="1">
      <c r="A301" s="6" t="s">
        <v>20</v>
      </c>
      <c r="B301" s="20">
        <v>44861</v>
      </c>
      <c r="C301" s="2">
        <v>147</v>
      </c>
      <c r="D301" s="2">
        <v>1944</v>
      </c>
      <c r="E301" s="2">
        <v>780</v>
      </c>
      <c r="F301" s="2">
        <v>1246</v>
      </c>
      <c r="G301" s="2">
        <v>0</v>
      </c>
      <c r="H301" s="2">
        <v>1579</v>
      </c>
      <c r="I301" s="2">
        <v>0</v>
      </c>
      <c r="J301" s="2">
        <v>1495</v>
      </c>
      <c r="K301" s="2">
        <v>0</v>
      </c>
      <c r="L301" s="2">
        <v>5226</v>
      </c>
      <c r="M301" s="2">
        <v>639</v>
      </c>
      <c r="N301" s="2">
        <v>515</v>
      </c>
      <c r="O301" s="2">
        <f t="shared" si="16"/>
        <v>10700</v>
      </c>
      <c r="P301" s="2">
        <v>4000</v>
      </c>
      <c r="Q301" s="2">
        <v>9084</v>
      </c>
      <c r="R301" s="5">
        <f t="shared" si="15"/>
        <v>-2384</v>
      </c>
    </row>
    <row r="302" spans="1:18" ht="18.75" customHeight="1">
      <c r="A302" s="6" t="s">
        <v>21</v>
      </c>
      <c r="B302" s="20">
        <v>44862</v>
      </c>
      <c r="C302" s="2">
        <v>470</v>
      </c>
      <c r="D302" s="2">
        <v>1772</v>
      </c>
      <c r="E302" s="2">
        <v>1490</v>
      </c>
      <c r="F302" s="2">
        <v>1484</v>
      </c>
      <c r="G302" s="2">
        <v>0</v>
      </c>
      <c r="H302" s="2">
        <v>1560</v>
      </c>
      <c r="I302" s="2">
        <v>97</v>
      </c>
      <c r="J302" s="2">
        <v>650</v>
      </c>
      <c r="K302" s="2">
        <v>0</v>
      </c>
      <c r="L302" s="2">
        <v>7510</v>
      </c>
      <c r="M302" s="2">
        <v>1573</v>
      </c>
      <c r="N302" s="2">
        <v>260</v>
      </c>
      <c r="O302" s="2">
        <f t="shared" si="16"/>
        <v>13134</v>
      </c>
      <c r="P302" s="2">
        <v>4880</v>
      </c>
      <c r="Q302" s="2">
        <v>7497</v>
      </c>
      <c r="R302" s="5">
        <f t="shared" si="15"/>
        <v>757</v>
      </c>
    </row>
    <row r="303" spans="1:18" ht="18.75" customHeight="1">
      <c r="A303" s="6" t="s">
        <v>22</v>
      </c>
      <c r="B303" s="20">
        <v>44863</v>
      </c>
      <c r="C303" s="2">
        <v>0</v>
      </c>
      <c r="D303" s="2">
        <v>1885</v>
      </c>
      <c r="E303" s="2">
        <v>580</v>
      </c>
      <c r="F303" s="2">
        <v>262</v>
      </c>
      <c r="G303" s="2">
        <v>0</v>
      </c>
      <c r="H303" s="2">
        <v>1605</v>
      </c>
      <c r="I303" s="2">
        <v>200</v>
      </c>
      <c r="J303" s="2">
        <v>1536</v>
      </c>
      <c r="K303" s="2">
        <v>0</v>
      </c>
      <c r="L303" s="2">
        <v>8140</v>
      </c>
      <c r="M303" s="2">
        <v>1268</v>
      </c>
      <c r="N303" s="2">
        <v>677</v>
      </c>
      <c r="O303" s="2">
        <f t="shared" si="16"/>
        <v>13688</v>
      </c>
      <c r="P303" s="2">
        <v>4385</v>
      </c>
      <c r="Q303" s="2">
        <v>8613</v>
      </c>
      <c r="R303" s="5">
        <f t="shared" si="15"/>
        <v>690</v>
      </c>
    </row>
    <row r="304" spans="1:18" ht="18.75" customHeight="1">
      <c r="A304" s="6" t="s">
        <v>23</v>
      </c>
      <c r="B304" s="20">
        <v>44864</v>
      </c>
      <c r="C304" s="2">
        <v>0</v>
      </c>
      <c r="D304" s="2">
        <v>1950</v>
      </c>
      <c r="E304" s="2">
        <v>463</v>
      </c>
      <c r="F304" s="2">
        <v>1610</v>
      </c>
      <c r="G304" s="2">
        <v>0</v>
      </c>
      <c r="H304" s="2">
        <v>1817</v>
      </c>
      <c r="I304" s="2">
        <v>200</v>
      </c>
      <c r="J304" s="2">
        <v>740</v>
      </c>
      <c r="K304" s="2">
        <v>0</v>
      </c>
      <c r="L304" s="2">
        <v>12005</v>
      </c>
      <c r="M304" s="2">
        <v>1801</v>
      </c>
      <c r="N304" s="2">
        <v>125</v>
      </c>
      <c r="O304" s="2">
        <f t="shared" si="16"/>
        <v>18298</v>
      </c>
      <c r="P304" s="2">
        <v>5790</v>
      </c>
      <c r="Q304" s="2">
        <v>6970</v>
      </c>
      <c r="R304" s="5">
        <f t="shared" si="15"/>
        <v>5538</v>
      </c>
    </row>
    <row r="305" spans="1:19" ht="18.75" customHeight="1">
      <c r="A305" s="6" t="s">
        <v>17</v>
      </c>
      <c r="B305" s="20">
        <v>44865</v>
      </c>
      <c r="C305" s="2">
        <v>1100</v>
      </c>
      <c r="D305" s="2">
        <v>1962</v>
      </c>
      <c r="E305" s="2">
        <v>593</v>
      </c>
      <c r="F305" s="2">
        <v>1250</v>
      </c>
      <c r="G305" s="2">
        <v>1395</v>
      </c>
      <c r="H305" s="2">
        <v>850</v>
      </c>
      <c r="I305" s="2">
        <v>740</v>
      </c>
      <c r="J305" s="2">
        <v>710</v>
      </c>
      <c r="K305" s="2">
        <v>0</v>
      </c>
      <c r="L305" s="2">
        <v>5775</v>
      </c>
      <c r="M305" s="2">
        <v>339</v>
      </c>
      <c r="N305" s="2">
        <v>130</v>
      </c>
      <c r="O305" s="2">
        <f t="shared" si="16"/>
        <v>11189</v>
      </c>
      <c r="P305" s="2">
        <v>3935</v>
      </c>
      <c r="Q305" s="2">
        <v>9560</v>
      </c>
      <c r="R305" s="5">
        <f t="shared" si="15"/>
        <v>-2306</v>
      </c>
    </row>
    <row r="306" spans="1:19" ht="18.75" customHeight="1">
      <c r="A306" s="6" t="s">
        <v>18</v>
      </c>
      <c r="B306" s="20">
        <v>44866</v>
      </c>
      <c r="C306" s="2">
        <v>669</v>
      </c>
      <c r="D306" s="2">
        <v>1192</v>
      </c>
      <c r="E306" s="2">
        <v>540</v>
      </c>
      <c r="F306" s="2">
        <v>750</v>
      </c>
      <c r="G306" s="2">
        <v>0</v>
      </c>
      <c r="H306" s="2">
        <v>1434</v>
      </c>
      <c r="I306" s="2">
        <v>520</v>
      </c>
      <c r="J306" s="2">
        <v>1952</v>
      </c>
      <c r="K306" s="2">
        <v>0</v>
      </c>
      <c r="L306" s="2">
        <v>4303</v>
      </c>
      <c r="M306" s="2">
        <v>2036</v>
      </c>
      <c r="N306" s="2">
        <v>0</v>
      </c>
      <c r="O306" s="2">
        <f t="shared" si="16"/>
        <v>10995</v>
      </c>
      <c r="P306" s="2">
        <v>4480</v>
      </c>
      <c r="Q306" s="2">
        <v>6093</v>
      </c>
      <c r="R306" s="5">
        <f t="shared" si="15"/>
        <v>422</v>
      </c>
    </row>
    <row r="307" spans="1:19" ht="18.75" customHeight="1">
      <c r="A307" s="6" t="s">
        <v>19</v>
      </c>
      <c r="B307" s="20">
        <v>44867</v>
      </c>
      <c r="C307" s="2">
        <v>590</v>
      </c>
      <c r="D307" s="2">
        <v>1820</v>
      </c>
      <c r="E307" s="2">
        <v>190</v>
      </c>
      <c r="F307" s="2">
        <v>1884</v>
      </c>
      <c r="G307" s="2">
        <v>480</v>
      </c>
      <c r="H307" s="2">
        <v>1605</v>
      </c>
      <c r="I307" s="2">
        <v>320</v>
      </c>
      <c r="J307" s="2">
        <v>439</v>
      </c>
      <c r="K307" s="2">
        <v>0</v>
      </c>
      <c r="L307" s="2">
        <v>5725</v>
      </c>
      <c r="M307" s="2">
        <v>523</v>
      </c>
      <c r="N307" s="2">
        <v>235</v>
      </c>
      <c r="O307" s="2">
        <f t="shared" si="16"/>
        <v>11211</v>
      </c>
      <c r="P307" s="2">
        <v>4335</v>
      </c>
      <c r="Q307" s="2">
        <v>5825</v>
      </c>
      <c r="R307" s="5">
        <f t="shared" si="15"/>
        <v>1051</v>
      </c>
    </row>
    <row r="308" spans="1:19" ht="18.75" customHeight="1">
      <c r="A308" s="6" t="s">
        <v>20</v>
      </c>
      <c r="B308" s="20">
        <v>44868</v>
      </c>
      <c r="C308" s="2">
        <v>335</v>
      </c>
      <c r="D308" s="2">
        <v>1846</v>
      </c>
      <c r="E308" s="2">
        <v>1060</v>
      </c>
      <c r="F308" s="2">
        <v>1080</v>
      </c>
      <c r="G308" s="2">
        <v>890</v>
      </c>
      <c r="H308" s="2">
        <v>1218</v>
      </c>
      <c r="I308" s="2">
        <v>310</v>
      </c>
      <c r="J308" s="2">
        <v>1596</v>
      </c>
      <c r="K308" s="2">
        <v>0</v>
      </c>
      <c r="L308" s="2">
        <v>4459</v>
      </c>
      <c r="M308" s="2">
        <v>365</v>
      </c>
      <c r="N308" s="2">
        <v>0</v>
      </c>
      <c r="O308" s="2">
        <f t="shared" si="16"/>
        <v>9918</v>
      </c>
      <c r="P308" s="2">
        <v>4220</v>
      </c>
      <c r="Q308" s="2">
        <v>5693</v>
      </c>
      <c r="R308" s="5">
        <f t="shared" si="15"/>
        <v>5</v>
      </c>
    </row>
    <row r="309" spans="1:19" ht="18.75" customHeight="1">
      <c r="A309" s="6" t="s">
        <v>21</v>
      </c>
      <c r="B309" s="20">
        <v>44869</v>
      </c>
      <c r="C309" s="2">
        <v>380</v>
      </c>
      <c r="D309" s="2">
        <v>2420</v>
      </c>
      <c r="E309" s="2">
        <v>1380</v>
      </c>
      <c r="F309" s="2">
        <v>1662</v>
      </c>
      <c r="G309" s="2">
        <v>820</v>
      </c>
      <c r="H309" s="2">
        <v>1915</v>
      </c>
      <c r="I309" s="2">
        <v>690</v>
      </c>
      <c r="J309" s="2">
        <v>1852</v>
      </c>
      <c r="K309" s="2">
        <v>0</v>
      </c>
      <c r="L309" s="2">
        <v>5054</v>
      </c>
      <c r="M309" s="2">
        <v>801</v>
      </c>
      <c r="N309" s="2">
        <v>931</v>
      </c>
      <c r="O309" s="2">
        <f t="shared" si="16"/>
        <v>13725</v>
      </c>
      <c r="P309" s="2">
        <v>3760</v>
      </c>
      <c r="Q309" s="2">
        <v>8772</v>
      </c>
      <c r="R309" s="5">
        <f t="shared" si="15"/>
        <v>1193</v>
      </c>
    </row>
    <row r="310" spans="1:19" ht="18.75" customHeight="1">
      <c r="A310" s="6" t="s">
        <v>22</v>
      </c>
      <c r="B310" s="20">
        <v>44870</v>
      </c>
      <c r="C310" s="2">
        <v>356</v>
      </c>
      <c r="D310" s="2">
        <v>1699</v>
      </c>
      <c r="E310" s="2">
        <v>360</v>
      </c>
      <c r="F310" s="2">
        <v>1534</v>
      </c>
      <c r="G310" s="2">
        <v>0</v>
      </c>
      <c r="H310" s="2">
        <v>1728</v>
      </c>
      <c r="I310" s="2">
        <v>540</v>
      </c>
      <c r="J310" s="2">
        <v>1420</v>
      </c>
      <c r="K310" s="2">
        <v>0</v>
      </c>
      <c r="L310" s="2">
        <v>7566</v>
      </c>
      <c r="M310" s="2">
        <v>935</v>
      </c>
      <c r="N310" s="2">
        <v>350</v>
      </c>
      <c r="O310" s="2">
        <f t="shared" si="16"/>
        <v>14073</v>
      </c>
      <c r="P310" s="2">
        <v>4065</v>
      </c>
      <c r="Q310" s="2">
        <v>7916</v>
      </c>
      <c r="R310" s="5">
        <f t="shared" si="15"/>
        <v>2092</v>
      </c>
    </row>
    <row r="311" spans="1:19" ht="18.75" customHeight="1">
      <c r="A311" s="6" t="s">
        <v>23</v>
      </c>
      <c r="B311" s="20">
        <v>44871</v>
      </c>
      <c r="C311" s="2">
        <v>1915</v>
      </c>
      <c r="D311" s="2">
        <v>2245</v>
      </c>
      <c r="E311" s="2">
        <v>790</v>
      </c>
      <c r="F311" s="2">
        <v>1776</v>
      </c>
      <c r="G311" s="2">
        <v>0</v>
      </c>
      <c r="H311" s="2">
        <v>1495</v>
      </c>
      <c r="I311" s="2">
        <v>460</v>
      </c>
      <c r="J311" s="2">
        <v>510</v>
      </c>
      <c r="K311" s="2">
        <v>0</v>
      </c>
      <c r="L311" s="2">
        <v>11204</v>
      </c>
      <c r="M311" s="2">
        <v>805</v>
      </c>
      <c r="N311" s="2">
        <v>400</v>
      </c>
      <c r="O311" s="2">
        <f t="shared" si="16"/>
        <v>16650</v>
      </c>
      <c r="P311" s="2">
        <v>5900</v>
      </c>
      <c r="Q311" s="2">
        <v>5340</v>
      </c>
      <c r="R311" s="5">
        <f t="shared" si="15"/>
        <v>5410</v>
      </c>
    </row>
    <row r="312" spans="1:19" ht="18.75" customHeight="1">
      <c r="A312" s="6" t="s">
        <v>17</v>
      </c>
      <c r="B312" s="20">
        <v>44872</v>
      </c>
      <c r="C312" s="2">
        <v>665</v>
      </c>
      <c r="D312" s="2">
        <v>3146</v>
      </c>
      <c r="E312" s="2">
        <v>540</v>
      </c>
      <c r="F312" s="2">
        <v>790</v>
      </c>
      <c r="G312" s="2">
        <v>640</v>
      </c>
      <c r="H312" s="2">
        <v>1736</v>
      </c>
      <c r="I312" s="2">
        <v>480</v>
      </c>
      <c r="J312" s="2">
        <v>1183</v>
      </c>
      <c r="K312" s="2">
        <v>0</v>
      </c>
      <c r="L312" s="2">
        <v>7043</v>
      </c>
      <c r="M312" s="2">
        <v>648</v>
      </c>
      <c r="N312" s="2">
        <v>205</v>
      </c>
      <c r="O312" s="2">
        <f t="shared" ref="O312:O343" si="17">SUM(F312:N312)</f>
        <v>12725</v>
      </c>
      <c r="P312" s="2">
        <v>4230</v>
      </c>
      <c r="Q312" s="2">
        <v>9109</v>
      </c>
      <c r="R312" s="5">
        <f t="shared" si="15"/>
        <v>-614</v>
      </c>
    </row>
    <row r="313" spans="1:19" ht="18.75" customHeight="1">
      <c r="A313" s="6" t="s">
        <v>18</v>
      </c>
      <c r="B313" s="20">
        <v>44873</v>
      </c>
      <c r="C313" s="2">
        <v>330</v>
      </c>
      <c r="D313" s="2">
        <v>2515</v>
      </c>
      <c r="E313" s="2">
        <v>520</v>
      </c>
      <c r="F313" s="2">
        <v>1439</v>
      </c>
      <c r="G313" s="2">
        <v>0</v>
      </c>
      <c r="H313" s="2">
        <v>1020</v>
      </c>
      <c r="I313" s="2">
        <v>695</v>
      </c>
      <c r="J313" s="2">
        <v>843</v>
      </c>
      <c r="K313" s="2">
        <v>0</v>
      </c>
      <c r="L313" s="2">
        <v>5152</v>
      </c>
      <c r="M313" s="2">
        <v>1951</v>
      </c>
      <c r="N313" s="2">
        <v>0</v>
      </c>
      <c r="O313" s="2">
        <f t="shared" si="17"/>
        <v>11100</v>
      </c>
      <c r="P313" s="2">
        <v>4150</v>
      </c>
      <c r="Q313" s="2">
        <v>6686</v>
      </c>
      <c r="R313" s="5">
        <f t="shared" si="15"/>
        <v>264</v>
      </c>
    </row>
    <row r="314" spans="1:19" ht="18.75" customHeight="1">
      <c r="A314" s="6" t="s">
        <v>19</v>
      </c>
      <c r="B314" s="20">
        <v>44874</v>
      </c>
      <c r="C314" s="2">
        <v>223</v>
      </c>
      <c r="D314" s="2">
        <v>2291</v>
      </c>
      <c r="E314" s="2">
        <v>491</v>
      </c>
      <c r="F314" s="2">
        <v>1100</v>
      </c>
      <c r="G314" s="2">
        <v>420</v>
      </c>
      <c r="H314" s="2">
        <v>1841</v>
      </c>
      <c r="I314" s="2">
        <v>210</v>
      </c>
      <c r="J314" s="2">
        <v>1510</v>
      </c>
      <c r="K314" s="2">
        <v>0</v>
      </c>
      <c r="L314" s="2">
        <v>7230</v>
      </c>
      <c r="M314" s="2">
        <v>739</v>
      </c>
      <c r="N314" s="2">
        <v>315</v>
      </c>
      <c r="O314" s="2">
        <f t="shared" si="17"/>
        <v>13365</v>
      </c>
      <c r="P314" s="2">
        <v>3995</v>
      </c>
      <c r="Q314" s="2">
        <v>8642</v>
      </c>
      <c r="R314" s="5">
        <f t="shared" si="15"/>
        <v>728</v>
      </c>
      <c r="S314" t="s">
        <v>37</v>
      </c>
    </row>
    <row r="315" spans="1:19" ht="18.75" customHeight="1">
      <c r="A315" s="6" t="s">
        <v>20</v>
      </c>
      <c r="B315" s="20">
        <v>44875</v>
      </c>
      <c r="C315" s="2">
        <v>119</v>
      </c>
      <c r="D315" s="2">
        <v>2936</v>
      </c>
      <c r="E315" s="2">
        <v>250</v>
      </c>
      <c r="F315" s="2">
        <v>1598</v>
      </c>
      <c r="G315" s="2">
        <v>880</v>
      </c>
      <c r="H315" s="2">
        <v>1205</v>
      </c>
      <c r="I315" s="2">
        <v>460</v>
      </c>
      <c r="J315" s="2">
        <v>680</v>
      </c>
      <c r="K315" s="2">
        <v>0</v>
      </c>
      <c r="L315" s="2">
        <v>5413</v>
      </c>
      <c r="M315" s="2">
        <v>1077</v>
      </c>
      <c r="N315" s="2">
        <v>100</v>
      </c>
      <c r="O315" s="2">
        <f t="shared" si="17"/>
        <v>11413</v>
      </c>
      <c r="P315" s="2">
        <v>3970</v>
      </c>
      <c r="Q315" s="2">
        <v>7372</v>
      </c>
      <c r="R315" s="5">
        <f t="shared" si="15"/>
        <v>71</v>
      </c>
    </row>
    <row r="316" spans="1:19" ht="18.75" customHeight="1">
      <c r="A316" s="6" t="s">
        <v>21</v>
      </c>
      <c r="B316" s="20">
        <v>44876</v>
      </c>
      <c r="C316" s="2">
        <v>390</v>
      </c>
      <c r="D316" s="2">
        <v>1582</v>
      </c>
      <c r="E316" s="2">
        <v>870</v>
      </c>
      <c r="F316" s="2">
        <v>1430</v>
      </c>
      <c r="G316" s="2">
        <v>470</v>
      </c>
      <c r="H316" s="2">
        <v>1747</v>
      </c>
      <c r="I316" s="2">
        <v>440</v>
      </c>
      <c r="J316" s="2">
        <v>2466</v>
      </c>
      <c r="K316" s="2">
        <v>0</v>
      </c>
      <c r="L316" s="2">
        <v>7051</v>
      </c>
      <c r="M316" s="2">
        <v>442</v>
      </c>
      <c r="N316" s="2">
        <v>265</v>
      </c>
      <c r="O316" s="2">
        <f t="shared" si="17"/>
        <v>14311</v>
      </c>
      <c r="P316" s="2">
        <v>4240</v>
      </c>
      <c r="Q316" s="2">
        <v>13551</v>
      </c>
      <c r="R316" s="5">
        <f t="shared" si="15"/>
        <v>-3480</v>
      </c>
    </row>
    <row r="317" spans="1:19" ht="18.75" customHeight="1">
      <c r="A317" s="6" t="s">
        <v>22</v>
      </c>
      <c r="B317" s="20">
        <v>44877</v>
      </c>
      <c r="C317" s="2">
        <v>0</v>
      </c>
      <c r="D317" s="2">
        <v>2360</v>
      </c>
      <c r="E317" s="2">
        <v>607</v>
      </c>
      <c r="F317" s="2">
        <v>780</v>
      </c>
      <c r="G317" s="2">
        <v>1790</v>
      </c>
      <c r="H317" s="2">
        <v>1780</v>
      </c>
      <c r="I317" s="2">
        <v>0</v>
      </c>
      <c r="J317" s="2">
        <v>1600</v>
      </c>
      <c r="K317" s="2">
        <v>0</v>
      </c>
      <c r="L317" s="2">
        <v>9863</v>
      </c>
      <c r="M317" s="2">
        <v>867</v>
      </c>
      <c r="N317" s="2">
        <v>757</v>
      </c>
      <c r="O317" s="2">
        <f t="shared" si="17"/>
        <v>17437</v>
      </c>
      <c r="P317" s="2">
        <v>4630</v>
      </c>
      <c r="Q317" s="2">
        <v>8803</v>
      </c>
      <c r="R317" s="5">
        <f t="shared" si="15"/>
        <v>4004</v>
      </c>
    </row>
    <row r="318" spans="1:19" ht="18.75" customHeight="1">
      <c r="A318" s="6" t="s">
        <v>23</v>
      </c>
      <c r="B318" s="20">
        <v>44878</v>
      </c>
      <c r="C318" s="2">
        <v>570</v>
      </c>
      <c r="D318" s="2">
        <v>1956</v>
      </c>
      <c r="E318" s="2">
        <v>850</v>
      </c>
      <c r="F318" s="2">
        <v>1750</v>
      </c>
      <c r="G318" s="2">
        <v>1100</v>
      </c>
      <c r="H318" s="2">
        <v>1570</v>
      </c>
      <c r="I318" s="2">
        <v>363</v>
      </c>
      <c r="J318" s="2">
        <v>580</v>
      </c>
      <c r="K318" s="2">
        <v>0</v>
      </c>
      <c r="L318" s="2">
        <v>14528</v>
      </c>
      <c r="M318" s="2">
        <v>1826</v>
      </c>
      <c r="N318" s="2">
        <v>0</v>
      </c>
      <c r="O318" s="2">
        <f t="shared" si="17"/>
        <v>21717</v>
      </c>
      <c r="P318" s="2">
        <v>4030</v>
      </c>
      <c r="Q318" s="2">
        <v>8302</v>
      </c>
      <c r="R318" s="5">
        <f t="shared" si="15"/>
        <v>9385</v>
      </c>
    </row>
    <row r="319" spans="1:19" ht="18.75" customHeight="1">
      <c r="A319" s="6" t="s">
        <v>17</v>
      </c>
      <c r="B319" s="20">
        <v>44879</v>
      </c>
      <c r="C319" s="2">
        <v>0</v>
      </c>
      <c r="D319" s="2">
        <v>2017</v>
      </c>
      <c r="E319" s="2">
        <v>570</v>
      </c>
      <c r="F319" s="2">
        <v>650</v>
      </c>
      <c r="G319" s="2">
        <v>514</v>
      </c>
      <c r="H319" s="2">
        <v>1170</v>
      </c>
      <c r="I319" s="2">
        <v>360</v>
      </c>
      <c r="J319" s="2">
        <v>1444</v>
      </c>
      <c r="K319" s="2">
        <v>0</v>
      </c>
      <c r="L319" s="2">
        <v>7182</v>
      </c>
      <c r="M319" s="2">
        <v>453</v>
      </c>
      <c r="N319" s="2">
        <v>743</v>
      </c>
      <c r="O319" s="2">
        <f t="shared" si="17"/>
        <v>12516</v>
      </c>
      <c r="P319" s="2">
        <v>4355</v>
      </c>
      <c r="Q319" s="2">
        <v>8650</v>
      </c>
      <c r="R319" s="5">
        <f t="shared" si="15"/>
        <v>-489</v>
      </c>
    </row>
    <row r="320" spans="1:19" ht="18.75" customHeight="1">
      <c r="A320" s="6" t="s">
        <v>18</v>
      </c>
      <c r="B320" s="20">
        <v>44880</v>
      </c>
      <c r="C320" s="2">
        <v>291</v>
      </c>
      <c r="D320" s="2">
        <v>2210</v>
      </c>
      <c r="E320" s="2">
        <v>590</v>
      </c>
      <c r="F320" s="2">
        <v>770</v>
      </c>
      <c r="G320" s="2">
        <v>0</v>
      </c>
      <c r="H320" s="2">
        <v>1700</v>
      </c>
      <c r="I320" s="2">
        <v>560</v>
      </c>
      <c r="J320" s="2">
        <v>1590</v>
      </c>
      <c r="K320" s="2">
        <v>0</v>
      </c>
      <c r="L320" s="2">
        <v>5589</v>
      </c>
      <c r="M320" s="2">
        <v>1074</v>
      </c>
      <c r="N320" s="2" t="s">
        <v>38</v>
      </c>
      <c r="O320" s="2">
        <f t="shared" si="17"/>
        <v>11283</v>
      </c>
      <c r="P320" s="2">
        <v>3765</v>
      </c>
      <c r="Q320" s="2">
        <v>5907</v>
      </c>
      <c r="R320" s="5">
        <f t="shared" si="15"/>
        <v>1611</v>
      </c>
    </row>
    <row r="321" spans="1:18" ht="18.75" customHeight="1">
      <c r="A321" s="6" t="s">
        <v>19</v>
      </c>
      <c r="B321" s="20">
        <v>44881</v>
      </c>
      <c r="C321" s="2">
        <v>0</v>
      </c>
      <c r="D321" s="2">
        <v>2285</v>
      </c>
      <c r="E321" s="2">
        <v>710</v>
      </c>
      <c r="F321" s="2">
        <v>435</v>
      </c>
      <c r="G321" s="2">
        <v>1700</v>
      </c>
      <c r="H321" s="2">
        <v>870</v>
      </c>
      <c r="I321" s="2">
        <v>240</v>
      </c>
      <c r="J321" s="2">
        <v>2008</v>
      </c>
      <c r="K321" s="2">
        <v>0</v>
      </c>
      <c r="L321" s="2">
        <v>3391</v>
      </c>
      <c r="M321" s="2">
        <v>234</v>
      </c>
      <c r="N321" s="2">
        <v>295</v>
      </c>
      <c r="O321" s="2">
        <f t="shared" si="17"/>
        <v>9173</v>
      </c>
      <c r="P321" s="2">
        <v>6292</v>
      </c>
      <c r="Q321" s="2">
        <v>6214</v>
      </c>
      <c r="R321" s="5">
        <f t="shared" si="15"/>
        <v>-3333</v>
      </c>
    </row>
    <row r="322" spans="1:18" ht="18.75" customHeight="1">
      <c r="A322" s="6" t="s">
        <v>20</v>
      </c>
      <c r="B322" s="20">
        <v>44882</v>
      </c>
      <c r="C322" s="2">
        <v>0</v>
      </c>
      <c r="D322" s="2">
        <v>2348</v>
      </c>
      <c r="E322" s="2">
        <v>430</v>
      </c>
      <c r="F322" s="2">
        <v>790</v>
      </c>
      <c r="G322" s="2">
        <v>1884</v>
      </c>
      <c r="H322" s="2">
        <v>1410</v>
      </c>
      <c r="I322" s="2">
        <v>0</v>
      </c>
      <c r="J322" s="2">
        <v>1020</v>
      </c>
      <c r="K322" s="2">
        <v>0</v>
      </c>
      <c r="L322" s="2">
        <v>7091</v>
      </c>
      <c r="M322" s="2">
        <v>819</v>
      </c>
      <c r="N322" s="2">
        <v>450</v>
      </c>
      <c r="O322" s="2">
        <f t="shared" si="17"/>
        <v>13464</v>
      </c>
      <c r="P322" s="2">
        <v>3605</v>
      </c>
      <c r="Q322" s="2">
        <v>7528</v>
      </c>
      <c r="R322" s="5">
        <f t="shared" si="15"/>
        <v>2331</v>
      </c>
    </row>
    <row r="323" spans="1:18" ht="18.75" customHeight="1">
      <c r="A323" s="6" t="s">
        <v>21</v>
      </c>
      <c r="B323" s="20">
        <v>44883</v>
      </c>
      <c r="C323" s="2">
        <v>1000</v>
      </c>
      <c r="D323" s="2">
        <v>2066</v>
      </c>
      <c r="E323" s="2">
        <v>790</v>
      </c>
      <c r="F323" s="2">
        <v>1380</v>
      </c>
      <c r="G323" s="2">
        <v>0</v>
      </c>
      <c r="H323" s="2">
        <v>1698</v>
      </c>
      <c r="I323" s="2">
        <v>600</v>
      </c>
      <c r="J323" s="2">
        <v>1710</v>
      </c>
      <c r="K323" s="2">
        <v>0</v>
      </c>
      <c r="L323" s="2">
        <v>7815</v>
      </c>
      <c r="M323" s="2">
        <v>926</v>
      </c>
      <c r="N323" s="2">
        <v>575</v>
      </c>
      <c r="O323" s="2">
        <f t="shared" si="17"/>
        <v>14704</v>
      </c>
      <c r="P323" s="2">
        <v>4030</v>
      </c>
      <c r="Q323" s="2">
        <v>6124</v>
      </c>
      <c r="R323" s="5">
        <f t="shared" ref="R323:R366" si="18">O323-P323-Q323</f>
        <v>4550</v>
      </c>
    </row>
    <row r="324" spans="1:18" ht="18.75" customHeight="1">
      <c r="A324" s="6" t="s">
        <v>22</v>
      </c>
      <c r="B324" s="20">
        <v>44884</v>
      </c>
      <c r="C324" s="2">
        <v>140</v>
      </c>
      <c r="D324" s="2">
        <v>2553</v>
      </c>
      <c r="E324" s="2">
        <v>932</v>
      </c>
      <c r="F324" s="2">
        <v>1320</v>
      </c>
      <c r="G324" s="2">
        <v>550</v>
      </c>
      <c r="H324" s="2">
        <v>703</v>
      </c>
      <c r="I324" s="2">
        <v>433</v>
      </c>
      <c r="J324" s="2">
        <v>1395</v>
      </c>
      <c r="K324" s="2">
        <v>0</v>
      </c>
      <c r="L324" s="2">
        <v>8623</v>
      </c>
      <c r="M324" s="2">
        <v>510</v>
      </c>
      <c r="N324" s="2">
        <v>200</v>
      </c>
      <c r="O324" s="2">
        <f t="shared" si="17"/>
        <v>13734</v>
      </c>
      <c r="P324" s="2">
        <v>4730</v>
      </c>
      <c r="Q324" s="2">
        <v>7179</v>
      </c>
      <c r="R324" s="5">
        <f t="shared" si="18"/>
        <v>1825</v>
      </c>
    </row>
    <row r="325" spans="1:18" ht="18.75" customHeight="1">
      <c r="A325" s="6" t="s">
        <v>23</v>
      </c>
      <c r="B325" s="20">
        <v>44885</v>
      </c>
      <c r="C325" s="2">
        <v>0</v>
      </c>
      <c r="D325" s="2">
        <v>1185</v>
      </c>
      <c r="E325" s="2">
        <v>600</v>
      </c>
      <c r="F325" s="2">
        <v>1000</v>
      </c>
      <c r="G325" s="2">
        <v>0</v>
      </c>
      <c r="H325" s="2">
        <v>1988</v>
      </c>
      <c r="I325" s="2">
        <v>250</v>
      </c>
      <c r="J325" s="2">
        <v>603</v>
      </c>
      <c r="K325" s="2">
        <v>0</v>
      </c>
      <c r="L325" s="2">
        <v>9689</v>
      </c>
      <c r="M325" s="2">
        <v>2625</v>
      </c>
      <c r="N325" s="2">
        <v>879</v>
      </c>
      <c r="O325" s="2">
        <f t="shared" si="17"/>
        <v>17034</v>
      </c>
      <c r="P325" s="2">
        <v>4550</v>
      </c>
      <c r="Q325" s="2">
        <v>7222</v>
      </c>
      <c r="R325" s="5">
        <f t="shared" si="18"/>
        <v>5262</v>
      </c>
    </row>
    <row r="326" spans="1:18" ht="18.75" customHeight="1">
      <c r="A326" s="6" t="s">
        <v>17</v>
      </c>
      <c r="B326" s="20">
        <v>44886</v>
      </c>
      <c r="C326" s="2">
        <v>0</v>
      </c>
      <c r="D326" s="2">
        <v>1959</v>
      </c>
      <c r="E326" s="2">
        <v>410</v>
      </c>
      <c r="F326" s="2">
        <v>770</v>
      </c>
      <c r="G326" s="2">
        <v>480</v>
      </c>
      <c r="H326" s="2">
        <v>802</v>
      </c>
      <c r="I326" s="2">
        <v>1390</v>
      </c>
      <c r="J326" s="2">
        <v>1245</v>
      </c>
      <c r="K326" s="2">
        <v>0</v>
      </c>
      <c r="L326" s="2">
        <v>9540</v>
      </c>
      <c r="M326" s="2">
        <v>2035</v>
      </c>
      <c r="N326" s="2">
        <v>216</v>
      </c>
      <c r="O326" s="2">
        <f t="shared" si="17"/>
        <v>16478</v>
      </c>
      <c r="P326" s="2">
        <v>4615</v>
      </c>
      <c r="Q326" s="2">
        <v>9500</v>
      </c>
      <c r="R326" s="5">
        <f t="shared" si="18"/>
        <v>2363</v>
      </c>
    </row>
    <row r="327" spans="1:18" ht="18.75" customHeight="1">
      <c r="A327" s="6" t="s">
        <v>18</v>
      </c>
      <c r="B327" s="20">
        <v>44887</v>
      </c>
      <c r="C327" s="2">
        <v>596</v>
      </c>
      <c r="D327" s="2">
        <v>1457</v>
      </c>
      <c r="E327" s="2">
        <v>820</v>
      </c>
      <c r="F327" s="2">
        <v>1192</v>
      </c>
      <c r="G327" s="2">
        <v>0</v>
      </c>
      <c r="H327" s="2">
        <v>1725</v>
      </c>
      <c r="I327" s="2">
        <v>320</v>
      </c>
      <c r="J327" s="2">
        <v>1120</v>
      </c>
      <c r="K327" s="2">
        <v>0</v>
      </c>
      <c r="L327" s="2">
        <v>5342</v>
      </c>
      <c r="M327" s="2">
        <v>266</v>
      </c>
      <c r="N327" s="2">
        <v>0</v>
      </c>
      <c r="O327" s="2">
        <f t="shared" si="17"/>
        <v>9965</v>
      </c>
      <c r="P327" s="2">
        <v>3960</v>
      </c>
      <c r="Q327" s="2">
        <v>5951</v>
      </c>
      <c r="R327" s="5">
        <f t="shared" si="18"/>
        <v>54</v>
      </c>
    </row>
    <row r="328" spans="1:18" ht="18.75" customHeight="1">
      <c r="A328" s="6" t="s">
        <v>19</v>
      </c>
      <c r="B328" s="20">
        <v>44888</v>
      </c>
      <c r="C328" s="2">
        <v>0</v>
      </c>
      <c r="D328" s="2">
        <v>1614</v>
      </c>
      <c r="E328" s="2">
        <v>800</v>
      </c>
      <c r="F328" s="2">
        <v>1360</v>
      </c>
      <c r="G328" s="2">
        <v>0</v>
      </c>
      <c r="H328" s="2">
        <v>1225</v>
      </c>
      <c r="I328" s="2">
        <v>418</v>
      </c>
      <c r="J328" s="2">
        <v>1776</v>
      </c>
      <c r="K328" s="2">
        <v>0</v>
      </c>
      <c r="L328" s="2">
        <v>6918</v>
      </c>
      <c r="M328" s="2">
        <v>577</v>
      </c>
      <c r="N328" s="2">
        <v>397</v>
      </c>
      <c r="O328" s="2">
        <f t="shared" si="17"/>
        <v>12671</v>
      </c>
      <c r="P328" s="2">
        <v>3765</v>
      </c>
      <c r="Q328" s="2">
        <v>4476</v>
      </c>
      <c r="R328" s="5">
        <f t="shared" si="18"/>
        <v>4430</v>
      </c>
    </row>
    <row r="329" spans="1:18" ht="18.75" customHeight="1">
      <c r="A329" s="6" t="s">
        <v>24</v>
      </c>
      <c r="B329" s="20">
        <v>44889</v>
      </c>
      <c r="C329" s="2">
        <v>702</v>
      </c>
      <c r="D329" s="2">
        <v>1641</v>
      </c>
      <c r="E329" s="2">
        <v>930</v>
      </c>
      <c r="F329" s="2">
        <v>1104</v>
      </c>
      <c r="G329" s="2">
        <v>0</v>
      </c>
      <c r="H329" s="2">
        <v>930</v>
      </c>
      <c r="I329" s="2">
        <v>1255</v>
      </c>
      <c r="J329" s="2">
        <v>630</v>
      </c>
      <c r="K329" s="2">
        <v>0</v>
      </c>
      <c r="L329" s="2">
        <v>3680</v>
      </c>
      <c r="M329" s="2">
        <v>638</v>
      </c>
      <c r="N329" s="2">
        <v>937</v>
      </c>
      <c r="O329" s="2">
        <f t="shared" si="17"/>
        <v>9174</v>
      </c>
      <c r="P329" s="2">
        <v>4580</v>
      </c>
      <c r="Q329" s="2">
        <v>6867</v>
      </c>
      <c r="R329" s="5">
        <f t="shared" si="18"/>
        <v>-2273</v>
      </c>
    </row>
    <row r="330" spans="1:18" ht="18.75" customHeight="1">
      <c r="A330" s="6" t="s">
        <v>21</v>
      </c>
      <c r="B330" s="20">
        <v>44890</v>
      </c>
      <c r="C330" s="2">
        <v>590</v>
      </c>
      <c r="D330" s="2">
        <v>1502</v>
      </c>
      <c r="E330" s="2">
        <v>730</v>
      </c>
      <c r="F330" s="2">
        <v>900</v>
      </c>
      <c r="G330" s="2">
        <v>0</v>
      </c>
      <c r="H330" s="2">
        <v>1973</v>
      </c>
      <c r="I330" s="2">
        <v>352</v>
      </c>
      <c r="J330" s="2">
        <v>1565</v>
      </c>
      <c r="K330" s="2">
        <v>0</v>
      </c>
      <c r="L330" s="2">
        <v>6833</v>
      </c>
      <c r="M330" s="2">
        <v>571</v>
      </c>
      <c r="N330" s="2">
        <v>1050</v>
      </c>
      <c r="O330" s="2">
        <f t="shared" si="17"/>
        <v>13244</v>
      </c>
      <c r="P330" s="2">
        <v>3140</v>
      </c>
      <c r="Q330" s="2">
        <v>8470</v>
      </c>
      <c r="R330" s="5">
        <f t="shared" si="18"/>
        <v>1634</v>
      </c>
    </row>
    <row r="331" spans="1:18" ht="18.75" customHeight="1">
      <c r="A331" s="6" t="s">
        <v>22</v>
      </c>
      <c r="B331" s="20">
        <v>44891</v>
      </c>
      <c r="C331" s="2">
        <v>375</v>
      </c>
      <c r="D331" s="2">
        <v>1043</v>
      </c>
      <c r="E331" s="2">
        <v>920</v>
      </c>
      <c r="F331" s="2">
        <v>850</v>
      </c>
      <c r="G331" s="2">
        <v>0</v>
      </c>
      <c r="H331" s="2">
        <v>2336</v>
      </c>
      <c r="I331" s="2">
        <v>0</v>
      </c>
      <c r="J331" s="2">
        <v>945</v>
      </c>
      <c r="K331" s="2">
        <v>0</v>
      </c>
      <c r="L331" s="2">
        <v>6894</v>
      </c>
      <c r="M331" s="2">
        <v>1403</v>
      </c>
      <c r="N331" s="2">
        <v>125</v>
      </c>
      <c r="O331" s="2">
        <f t="shared" si="17"/>
        <v>12553</v>
      </c>
      <c r="P331" s="2">
        <v>4465</v>
      </c>
      <c r="Q331" s="2">
        <v>7649</v>
      </c>
      <c r="R331" s="5">
        <f t="shared" si="18"/>
        <v>439</v>
      </c>
    </row>
    <row r="332" spans="1:18" ht="18.75" customHeight="1">
      <c r="A332" s="6" t="s">
        <v>16</v>
      </c>
      <c r="B332" s="20">
        <v>44892</v>
      </c>
      <c r="C332" s="2">
        <v>0</v>
      </c>
      <c r="D332" s="2">
        <v>1792</v>
      </c>
      <c r="E332" s="2">
        <v>311</v>
      </c>
      <c r="F332" s="2">
        <v>660</v>
      </c>
      <c r="G332" s="2">
        <v>0</v>
      </c>
      <c r="H332" s="2">
        <v>1545</v>
      </c>
      <c r="I332" s="2">
        <v>530</v>
      </c>
      <c r="J332" s="2">
        <v>1937</v>
      </c>
      <c r="K332" s="2">
        <v>0</v>
      </c>
      <c r="L332" s="2">
        <v>8882</v>
      </c>
      <c r="M332" s="2">
        <v>1292</v>
      </c>
      <c r="N332" s="2">
        <v>780</v>
      </c>
      <c r="O332" s="2">
        <f t="shared" si="17"/>
        <v>15626</v>
      </c>
      <c r="P332" s="2">
        <v>4200</v>
      </c>
      <c r="Q332" s="2">
        <v>8989</v>
      </c>
      <c r="R332" s="5">
        <f t="shared" si="18"/>
        <v>2437</v>
      </c>
    </row>
    <row r="333" spans="1:18" ht="18.75" customHeight="1">
      <c r="A333" s="6" t="s">
        <v>17</v>
      </c>
      <c r="B333" s="20">
        <v>44893</v>
      </c>
      <c r="C333" s="2">
        <v>600</v>
      </c>
      <c r="D333" s="2">
        <v>1768</v>
      </c>
      <c r="E333" s="2">
        <v>340</v>
      </c>
      <c r="F333" s="2">
        <v>1015</v>
      </c>
      <c r="G333" s="2">
        <v>0</v>
      </c>
      <c r="H333" s="2">
        <v>1200</v>
      </c>
      <c r="I333" s="2">
        <v>490</v>
      </c>
      <c r="J333" s="2">
        <v>1290</v>
      </c>
      <c r="K333" s="2">
        <v>0</v>
      </c>
      <c r="L333" s="2">
        <v>6067</v>
      </c>
      <c r="M333" s="2">
        <v>901</v>
      </c>
      <c r="N333" s="2">
        <v>554</v>
      </c>
      <c r="O333" s="2">
        <f t="shared" si="17"/>
        <v>11517</v>
      </c>
      <c r="P333" s="2">
        <v>3835</v>
      </c>
      <c r="Q333" s="2">
        <v>7177</v>
      </c>
      <c r="R333" s="5">
        <f t="shared" si="18"/>
        <v>505</v>
      </c>
    </row>
    <row r="334" spans="1:18" ht="18.75" customHeight="1">
      <c r="A334" s="6" t="s">
        <v>18</v>
      </c>
      <c r="B334" s="20">
        <v>44894</v>
      </c>
      <c r="C334" s="2">
        <v>418</v>
      </c>
      <c r="D334" s="2">
        <v>1381</v>
      </c>
      <c r="E334" s="2">
        <v>660</v>
      </c>
      <c r="F334" s="2">
        <v>1230</v>
      </c>
      <c r="G334" s="2">
        <v>0</v>
      </c>
      <c r="H334" s="2">
        <v>1350</v>
      </c>
      <c r="I334" s="2">
        <v>0</v>
      </c>
      <c r="J334" s="2">
        <v>1412</v>
      </c>
      <c r="K334" s="2">
        <v>0</v>
      </c>
      <c r="L334" s="2">
        <v>4056</v>
      </c>
      <c r="M334" s="2">
        <v>1412</v>
      </c>
      <c r="N334" s="2">
        <v>0</v>
      </c>
      <c r="O334" s="2">
        <f t="shared" si="17"/>
        <v>9460</v>
      </c>
      <c r="P334" s="2">
        <v>3796</v>
      </c>
      <c r="Q334" s="2">
        <v>6244</v>
      </c>
      <c r="R334" s="5">
        <f t="shared" si="18"/>
        <v>-580</v>
      </c>
    </row>
    <row r="335" spans="1:18" ht="18.75" customHeight="1">
      <c r="A335" s="6" t="s">
        <v>19</v>
      </c>
      <c r="B335" s="20">
        <v>44895</v>
      </c>
      <c r="C335" s="2">
        <v>0</v>
      </c>
      <c r="D335" s="2">
        <v>1058</v>
      </c>
      <c r="E335" s="2">
        <v>980</v>
      </c>
      <c r="F335" s="2">
        <v>870</v>
      </c>
      <c r="G335" s="2">
        <v>0</v>
      </c>
      <c r="H335" s="2">
        <v>2058</v>
      </c>
      <c r="I335" s="2">
        <v>960</v>
      </c>
      <c r="J335" s="2">
        <v>1265</v>
      </c>
      <c r="K335" s="2">
        <v>0</v>
      </c>
      <c r="L335" s="2">
        <v>11282</v>
      </c>
      <c r="M335" s="2">
        <v>747</v>
      </c>
      <c r="N335" s="2">
        <v>0</v>
      </c>
      <c r="O335" s="2">
        <f t="shared" si="17"/>
        <v>17182</v>
      </c>
      <c r="P335" s="2">
        <v>3915</v>
      </c>
      <c r="Q335" s="2">
        <v>5938</v>
      </c>
      <c r="R335" s="5">
        <f t="shared" si="18"/>
        <v>7329</v>
      </c>
    </row>
    <row r="336" spans="1:18" ht="18.75" customHeight="1">
      <c r="A336" s="6" t="s">
        <v>24</v>
      </c>
      <c r="B336" s="20">
        <v>44896</v>
      </c>
      <c r="C336" s="2">
        <v>489</v>
      </c>
      <c r="D336" s="2">
        <v>1193</v>
      </c>
      <c r="E336" s="2">
        <v>785</v>
      </c>
      <c r="F336" s="2">
        <v>1150</v>
      </c>
      <c r="G336" s="2">
        <v>0</v>
      </c>
      <c r="H336" s="2">
        <v>1908</v>
      </c>
      <c r="I336" s="2">
        <v>740</v>
      </c>
      <c r="J336" s="2">
        <v>1125</v>
      </c>
      <c r="K336" s="2">
        <v>0</v>
      </c>
      <c r="L336" s="2">
        <v>6926</v>
      </c>
      <c r="M336" s="2">
        <v>895</v>
      </c>
      <c r="N336" s="2">
        <v>245</v>
      </c>
      <c r="O336" s="2">
        <f t="shared" si="17"/>
        <v>12989</v>
      </c>
      <c r="P336" s="2">
        <v>3485</v>
      </c>
      <c r="Q336" s="2">
        <v>6750</v>
      </c>
      <c r="R336" s="5">
        <f t="shared" si="18"/>
        <v>2754</v>
      </c>
    </row>
    <row r="337" spans="1:18" ht="18.75" customHeight="1">
      <c r="A337" s="6" t="s">
        <v>21</v>
      </c>
      <c r="B337" s="20">
        <v>44897</v>
      </c>
      <c r="C337" s="2">
        <v>0</v>
      </c>
      <c r="D337" s="2">
        <v>1338</v>
      </c>
      <c r="E337" s="2">
        <v>440</v>
      </c>
      <c r="F337" s="2">
        <v>1410</v>
      </c>
      <c r="G337" s="2">
        <v>0</v>
      </c>
      <c r="H337" s="2">
        <v>1854</v>
      </c>
      <c r="I337" s="2">
        <v>270</v>
      </c>
      <c r="J337" s="2">
        <v>1565</v>
      </c>
      <c r="K337" s="2">
        <v>0</v>
      </c>
      <c r="L337" s="2">
        <v>8186</v>
      </c>
      <c r="M337" s="2">
        <v>1862</v>
      </c>
      <c r="N337" s="2">
        <v>262</v>
      </c>
      <c r="O337" s="2">
        <f t="shared" si="17"/>
        <v>15409</v>
      </c>
      <c r="P337" s="2">
        <v>3960</v>
      </c>
      <c r="Q337" s="2">
        <v>8195</v>
      </c>
      <c r="R337" s="5">
        <f t="shared" si="18"/>
        <v>3254</v>
      </c>
    </row>
    <row r="338" spans="1:18" ht="18.75" customHeight="1">
      <c r="A338" s="6" t="s">
        <v>22</v>
      </c>
      <c r="B338" s="20">
        <v>44898</v>
      </c>
      <c r="C338" s="2">
        <v>0</v>
      </c>
      <c r="D338" s="2">
        <v>2100</v>
      </c>
      <c r="E338" s="2">
        <v>850</v>
      </c>
      <c r="F338" s="2">
        <v>1640</v>
      </c>
      <c r="G338" s="2">
        <v>320</v>
      </c>
      <c r="H338" s="2">
        <v>1230</v>
      </c>
      <c r="I338" s="2">
        <v>314</v>
      </c>
      <c r="J338" s="2">
        <v>850</v>
      </c>
      <c r="K338" s="2">
        <v>0</v>
      </c>
      <c r="L338" s="2">
        <v>9144</v>
      </c>
      <c r="M338" s="2">
        <v>680</v>
      </c>
      <c r="N338" s="2">
        <v>0</v>
      </c>
      <c r="O338" s="2">
        <f t="shared" si="17"/>
        <v>14178</v>
      </c>
      <c r="P338" s="2">
        <v>7315</v>
      </c>
      <c r="Q338" s="2">
        <v>6708</v>
      </c>
      <c r="R338" s="5">
        <f t="shared" si="18"/>
        <v>155</v>
      </c>
    </row>
    <row r="339" spans="1:18" ht="18.75" customHeight="1">
      <c r="A339" s="6" t="s">
        <v>23</v>
      </c>
      <c r="B339" s="20">
        <v>44899</v>
      </c>
      <c r="C339" s="2">
        <v>0</v>
      </c>
      <c r="D339" s="2">
        <v>2200</v>
      </c>
      <c r="E339" s="2">
        <v>410</v>
      </c>
      <c r="F339" s="2">
        <v>1610</v>
      </c>
      <c r="G339" s="2">
        <v>0</v>
      </c>
      <c r="H339" s="2">
        <v>790</v>
      </c>
      <c r="I339" s="2">
        <v>315</v>
      </c>
      <c r="J339" s="2">
        <v>1140</v>
      </c>
      <c r="K339" s="2">
        <v>0</v>
      </c>
      <c r="L339" s="2">
        <v>8577</v>
      </c>
      <c r="M339" s="2">
        <v>1165</v>
      </c>
      <c r="N339" s="2">
        <v>0</v>
      </c>
      <c r="O339" s="2">
        <f t="shared" si="17"/>
        <v>13597</v>
      </c>
      <c r="P339" s="2">
        <v>4620</v>
      </c>
      <c r="Q339" s="2">
        <v>6856</v>
      </c>
      <c r="R339" s="5">
        <f t="shared" si="18"/>
        <v>2121</v>
      </c>
    </row>
    <row r="340" spans="1:18" ht="18.75" customHeight="1">
      <c r="A340" s="6" t="s">
        <v>17</v>
      </c>
      <c r="B340" s="20">
        <v>44900</v>
      </c>
      <c r="C340" s="2">
        <v>331</v>
      </c>
      <c r="D340" s="2">
        <v>1700</v>
      </c>
      <c r="E340" s="2">
        <v>610</v>
      </c>
      <c r="F340" s="2">
        <v>1504</v>
      </c>
      <c r="G340" s="2">
        <v>0</v>
      </c>
      <c r="H340" s="2">
        <v>920</v>
      </c>
      <c r="I340" s="2">
        <v>480</v>
      </c>
      <c r="J340" s="2">
        <v>1155</v>
      </c>
      <c r="K340" s="2">
        <v>0</v>
      </c>
      <c r="L340" s="2">
        <v>6786</v>
      </c>
      <c r="M340" s="2">
        <v>758</v>
      </c>
      <c r="N340" s="2">
        <v>461</v>
      </c>
      <c r="O340" s="2">
        <f t="shared" si="17"/>
        <v>12064</v>
      </c>
      <c r="P340" s="2">
        <v>4020</v>
      </c>
      <c r="Q340" s="2">
        <v>7489</v>
      </c>
      <c r="R340" s="5">
        <f t="shared" si="18"/>
        <v>555</v>
      </c>
    </row>
    <row r="341" spans="1:18" ht="18.75" customHeight="1">
      <c r="A341" s="6" t="s">
        <v>18</v>
      </c>
      <c r="B341" s="20">
        <v>44901</v>
      </c>
      <c r="C341" s="2">
        <v>335</v>
      </c>
      <c r="D341" s="2">
        <v>1211</v>
      </c>
      <c r="E341" s="2">
        <v>610</v>
      </c>
      <c r="F341" s="2">
        <v>2320</v>
      </c>
      <c r="G341" s="2">
        <v>0</v>
      </c>
      <c r="H341" s="2">
        <v>1030</v>
      </c>
      <c r="I341" s="2">
        <v>710</v>
      </c>
      <c r="J341" s="2">
        <v>1540</v>
      </c>
      <c r="K341" s="2">
        <v>0</v>
      </c>
      <c r="L341" s="2">
        <v>5617</v>
      </c>
      <c r="M341" s="2">
        <v>1562</v>
      </c>
      <c r="N341" s="2">
        <v>680</v>
      </c>
      <c r="O341" s="2">
        <f t="shared" si="17"/>
        <v>13459</v>
      </c>
      <c r="P341" s="2">
        <v>4580</v>
      </c>
      <c r="Q341" s="2">
        <v>5280</v>
      </c>
      <c r="R341" s="5">
        <f t="shared" si="18"/>
        <v>3599</v>
      </c>
    </row>
    <row r="342" spans="1:18" ht="18.75" customHeight="1">
      <c r="A342" s="6" t="s">
        <v>19</v>
      </c>
      <c r="B342" s="20">
        <v>44902</v>
      </c>
      <c r="C342" s="2">
        <v>309</v>
      </c>
      <c r="D342" s="2">
        <v>1583</v>
      </c>
      <c r="E342" s="2">
        <v>672</v>
      </c>
      <c r="F342" s="2">
        <v>1960</v>
      </c>
      <c r="G342" s="2">
        <v>0</v>
      </c>
      <c r="H342" s="2">
        <v>1366</v>
      </c>
      <c r="I342" s="2">
        <v>830</v>
      </c>
      <c r="J342" s="2">
        <v>1695</v>
      </c>
      <c r="K342" s="2">
        <v>0</v>
      </c>
      <c r="L342" s="2">
        <v>5353</v>
      </c>
      <c r="M342" s="2">
        <v>1145</v>
      </c>
      <c r="N342" s="2">
        <v>95</v>
      </c>
      <c r="O342" s="2">
        <f t="shared" si="17"/>
        <v>12444</v>
      </c>
      <c r="P342" s="2">
        <v>4150</v>
      </c>
      <c r="Q342" s="2">
        <v>8239</v>
      </c>
      <c r="R342" s="5">
        <f t="shared" si="18"/>
        <v>55</v>
      </c>
    </row>
    <row r="343" spans="1:18" ht="18.75" customHeight="1">
      <c r="A343" s="6" t="s">
        <v>20</v>
      </c>
      <c r="B343" s="20">
        <v>44903</v>
      </c>
      <c r="C343" s="2">
        <v>209</v>
      </c>
      <c r="D343" s="2">
        <v>1766</v>
      </c>
      <c r="E343" s="2">
        <v>690</v>
      </c>
      <c r="F343" s="2">
        <v>1150</v>
      </c>
      <c r="G343" s="2">
        <v>0</v>
      </c>
      <c r="H343" s="2">
        <v>2180</v>
      </c>
      <c r="I343" s="2">
        <v>760</v>
      </c>
      <c r="J343" s="2">
        <v>1807</v>
      </c>
      <c r="K343" s="2">
        <v>0</v>
      </c>
      <c r="L343" s="2">
        <v>4475</v>
      </c>
      <c r="M343" s="2">
        <v>0</v>
      </c>
      <c r="N343" s="2">
        <v>364</v>
      </c>
      <c r="O343" s="2">
        <f t="shared" si="17"/>
        <v>10736</v>
      </c>
      <c r="P343" s="2">
        <v>3850</v>
      </c>
      <c r="Q343" s="2">
        <v>7822</v>
      </c>
      <c r="R343" s="5">
        <f t="shared" si="18"/>
        <v>-936</v>
      </c>
    </row>
    <row r="344" spans="1:18" ht="18.75" customHeight="1">
      <c r="A344" s="6" t="s">
        <v>21</v>
      </c>
      <c r="B344" s="20">
        <v>44904</v>
      </c>
      <c r="C344" s="2">
        <v>0</v>
      </c>
      <c r="D344" s="2">
        <v>2345</v>
      </c>
      <c r="E344" s="2">
        <v>0</v>
      </c>
      <c r="F344" s="2">
        <v>1830</v>
      </c>
      <c r="G344" s="2">
        <v>820</v>
      </c>
      <c r="H344" s="2">
        <v>1050</v>
      </c>
      <c r="I344" s="2">
        <v>550</v>
      </c>
      <c r="J344" s="2">
        <v>1620</v>
      </c>
      <c r="K344" s="2">
        <v>0</v>
      </c>
      <c r="L344" s="2">
        <v>10957</v>
      </c>
      <c r="M344" s="2">
        <v>0</v>
      </c>
      <c r="N344" s="2">
        <v>1119</v>
      </c>
      <c r="O344" s="2">
        <f t="shared" ref="O344:O366" si="19">SUM(F344:N344)</f>
        <v>17946</v>
      </c>
      <c r="P344" s="2">
        <v>4970</v>
      </c>
      <c r="Q344" s="2">
        <v>7993</v>
      </c>
      <c r="R344" s="5">
        <f t="shared" si="18"/>
        <v>4983</v>
      </c>
    </row>
    <row r="345" spans="1:18" ht="18.75" customHeight="1">
      <c r="A345" s="6" t="s">
        <v>22</v>
      </c>
      <c r="B345" s="20">
        <v>44905</v>
      </c>
      <c r="C345" s="2">
        <v>0</v>
      </c>
      <c r="D345" s="2">
        <v>1038</v>
      </c>
      <c r="E345" s="2">
        <v>600</v>
      </c>
      <c r="F345" s="2">
        <v>1140</v>
      </c>
      <c r="G345" s="2">
        <v>1930</v>
      </c>
      <c r="H345" s="2">
        <v>2310</v>
      </c>
      <c r="I345" s="2">
        <v>790</v>
      </c>
      <c r="J345" s="2">
        <v>1300</v>
      </c>
      <c r="K345" s="2">
        <v>0</v>
      </c>
      <c r="L345" s="2">
        <v>5428</v>
      </c>
      <c r="M345" s="2">
        <v>763</v>
      </c>
      <c r="N345" s="2">
        <v>0</v>
      </c>
      <c r="O345" s="2">
        <f t="shared" si="19"/>
        <v>13661</v>
      </c>
      <c r="P345" s="2">
        <v>4410</v>
      </c>
      <c r="Q345" s="2">
        <v>8467</v>
      </c>
      <c r="R345" s="5">
        <f t="shared" si="18"/>
        <v>784</v>
      </c>
    </row>
    <row r="346" spans="1:18" ht="18.75" customHeight="1">
      <c r="A346" s="6" t="s">
        <v>23</v>
      </c>
      <c r="B346" s="20">
        <v>44906</v>
      </c>
      <c r="C346" s="2">
        <v>537</v>
      </c>
      <c r="D346" s="2">
        <v>1983</v>
      </c>
      <c r="E346" s="2">
        <v>620</v>
      </c>
      <c r="F346" s="2">
        <v>1870</v>
      </c>
      <c r="G346" s="2">
        <v>1550</v>
      </c>
      <c r="H346" s="2">
        <v>3224</v>
      </c>
      <c r="I346" s="2">
        <v>780</v>
      </c>
      <c r="J346" s="2">
        <v>2500</v>
      </c>
      <c r="K346" s="2">
        <v>0</v>
      </c>
      <c r="L346" s="2">
        <v>11306</v>
      </c>
      <c r="M346" s="2">
        <v>1742</v>
      </c>
      <c r="N346" s="2">
        <v>0</v>
      </c>
      <c r="O346" s="2">
        <f t="shared" si="19"/>
        <v>22972</v>
      </c>
      <c r="P346" s="2">
        <v>4288</v>
      </c>
      <c r="Q346" s="2">
        <v>4890</v>
      </c>
      <c r="R346" s="5">
        <f t="shared" si="18"/>
        <v>13794</v>
      </c>
    </row>
    <row r="347" spans="1:18" ht="18.75" customHeight="1">
      <c r="A347" s="6" t="s">
        <v>17</v>
      </c>
      <c r="B347" s="20">
        <v>44907</v>
      </c>
      <c r="C347" s="2">
        <v>0</v>
      </c>
      <c r="D347" s="2">
        <v>1252</v>
      </c>
      <c r="E347" s="2">
        <v>930</v>
      </c>
      <c r="F347" s="2">
        <v>2010</v>
      </c>
      <c r="G347" s="2">
        <v>0</v>
      </c>
      <c r="H347" s="2">
        <v>712</v>
      </c>
      <c r="I347" s="2">
        <v>1340</v>
      </c>
      <c r="J347" s="2">
        <v>2785</v>
      </c>
      <c r="K347" s="2">
        <v>0</v>
      </c>
      <c r="L347" s="2">
        <v>7128</v>
      </c>
      <c r="M347" s="2">
        <v>221</v>
      </c>
      <c r="N347" s="2">
        <v>410</v>
      </c>
      <c r="O347" s="2">
        <f t="shared" si="19"/>
        <v>14606</v>
      </c>
      <c r="P347" s="2">
        <v>5320</v>
      </c>
      <c r="Q347" s="2">
        <v>7660</v>
      </c>
      <c r="R347" s="5">
        <f t="shared" si="18"/>
        <v>1626</v>
      </c>
    </row>
    <row r="348" spans="1:18" ht="18.75" customHeight="1">
      <c r="A348" s="6" t="s">
        <v>18</v>
      </c>
      <c r="B348" s="20">
        <v>44908</v>
      </c>
      <c r="C348" s="2">
        <v>580</v>
      </c>
      <c r="D348" s="2">
        <v>2441</v>
      </c>
      <c r="E348" s="2">
        <v>455</v>
      </c>
      <c r="F348" s="2">
        <v>1280</v>
      </c>
      <c r="G348" s="2">
        <v>820</v>
      </c>
      <c r="H348" s="2">
        <v>2387</v>
      </c>
      <c r="I348" s="2">
        <v>0</v>
      </c>
      <c r="J348" s="2">
        <v>1940</v>
      </c>
      <c r="K348" s="2">
        <v>0</v>
      </c>
      <c r="L348" s="2">
        <v>7634</v>
      </c>
      <c r="M348" s="2">
        <v>604</v>
      </c>
      <c r="N348" s="2">
        <v>457</v>
      </c>
      <c r="O348" s="2">
        <f t="shared" si="19"/>
        <v>15122</v>
      </c>
      <c r="P348" s="2">
        <v>3830</v>
      </c>
      <c r="Q348" s="2">
        <v>6371</v>
      </c>
      <c r="R348" s="5">
        <f t="shared" si="18"/>
        <v>4921</v>
      </c>
    </row>
    <row r="349" spans="1:18" ht="18.75" customHeight="1">
      <c r="A349" s="6" t="s">
        <v>19</v>
      </c>
      <c r="B349" s="20">
        <v>44909</v>
      </c>
      <c r="C349" s="2">
        <v>399</v>
      </c>
      <c r="D349" s="2">
        <v>1654</v>
      </c>
      <c r="E349" s="2">
        <v>320</v>
      </c>
      <c r="F349" s="2">
        <v>1380</v>
      </c>
      <c r="G349" s="2">
        <v>0</v>
      </c>
      <c r="H349" s="2">
        <v>600</v>
      </c>
      <c r="I349" s="2">
        <v>680</v>
      </c>
      <c r="J349" s="2">
        <v>1748</v>
      </c>
      <c r="K349" s="2">
        <v>0</v>
      </c>
      <c r="L349" s="2">
        <v>7053</v>
      </c>
      <c r="M349" s="2">
        <v>325</v>
      </c>
      <c r="N349" s="2">
        <v>1643</v>
      </c>
      <c r="O349" s="2">
        <f t="shared" si="19"/>
        <v>13429</v>
      </c>
      <c r="P349" s="2">
        <v>4421</v>
      </c>
      <c r="Q349" s="2">
        <v>7735</v>
      </c>
      <c r="R349" s="5">
        <f t="shared" si="18"/>
        <v>1273</v>
      </c>
    </row>
    <row r="350" spans="1:18" ht="18.75" customHeight="1">
      <c r="A350" s="6" t="s">
        <v>20</v>
      </c>
      <c r="B350" s="20">
        <v>44910</v>
      </c>
      <c r="C350" s="2">
        <v>0</v>
      </c>
      <c r="D350" s="2">
        <v>1629</v>
      </c>
      <c r="E350" s="2">
        <v>459</v>
      </c>
      <c r="F350" s="2">
        <v>2490</v>
      </c>
      <c r="G350" s="2">
        <v>420</v>
      </c>
      <c r="H350" s="2">
        <v>990</v>
      </c>
      <c r="I350" s="2">
        <v>750</v>
      </c>
      <c r="J350" s="2">
        <v>1830</v>
      </c>
      <c r="K350" s="2">
        <v>0</v>
      </c>
      <c r="L350" s="2">
        <v>6197</v>
      </c>
      <c r="M350" s="2">
        <v>834</v>
      </c>
      <c r="N350" s="2">
        <v>741</v>
      </c>
      <c r="O350" s="2">
        <f t="shared" si="19"/>
        <v>14252</v>
      </c>
      <c r="P350" s="2">
        <v>4230</v>
      </c>
      <c r="Q350" s="2">
        <v>8546</v>
      </c>
      <c r="R350" s="5">
        <f t="shared" si="18"/>
        <v>1476</v>
      </c>
    </row>
    <row r="351" spans="1:18" ht="18.75" customHeight="1">
      <c r="A351" s="6" t="s">
        <v>21</v>
      </c>
      <c r="B351" s="20">
        <v>44911</v>
      </c>
      <c r="C351" s="2">
        <v>363</v>
      </c>
      <c r="D351" s="2">
        <v>2672</v>
      </c>
      <c r="E351" s="2">
        <v>710</v>
      </c>
      <c r="F351" s="2">
        <v>1870</v>
      </c>
      <c r="G351" s="2">
        <v>1380</v>
      </c>
      <c r="H351" s="2">
        <v>2326</v>
      </c>
      <c r="I351" s="2">
        <v>860</v>
      </c>
      <c r="J351" s="2">
        <v>1400</v>
      </c>
      <c r="K351" s="2">
        <v>0</v>
      </c>
      <c r="L351" s="2">
        <v>8089</v>
      </c>
      <c r="M351" s="2">
        <v>850</v>
      </c>
      <c r="N351" s="2">
        <v>1050</v>
      </c>
      <c r="O351" s="2">
        <f t="shared" si="19"/>
        <v>17825</v>
      </c>
      <c r="P351" s="2">
        <v>3910</v>
      </c>
      <c r="Q351" s="2">
        <v>8270</v>
      </c>
      <c r="R351" s="5">
        <f t="shared" si="18"/>
        <v>5645</v>
      </c>
    </row>
    <row r="352" spans="1:18" ht="18.75" customHeight="1">
      <c r="A352" s="6" t="s">
        <v>22</v>
      </c>
      <c r="B352" s="20">
        <v>44912</v>
      </c>
      <c r="C352" s="2">
        <v>351</v>
      </c>
      <c r="D352" s="2">
        <v>2068</v>
      </c>
      <c r="E352" s="2">
        <v>410</v>
      </c>
      <c r="F352" s="2">
        <v>1820</v>
      </c>
      <c r="G352" s="2">
        <v>0</v>
      </c>
      <c r="H352" s="2">
        <v>1337</v>
      </c>
      <c r="I352" s="2">
        <v>80</v>
      </c>
      <c r="J352" s="2">
        <v>1670</v>
      </c>
      <c r="K352" s="2">
        <v>0</v>
      </c>
      <c r="L352" s="2">
        <v>7486</v>
      </c>
      <c r="M352" s="2">
        <v>1324</v>
      </c>
      <c r="N352" s="2">
        <v>415</v>
      </c>
      <c r="O352" s="2">
        <f t="shared" si="19"/>
        <v>14132</v>
      </c>
      <c r="P352" s="2">
        <v>4490</v>
      </c>
      <c r="Q352" s="2">
        <v>8805</v>
      </c>
      <c r="R352" s="5">
        <f t="shared" si="18"/>
        <v>837</v>
      </c>
    </row>
    <row r="353" spans="1:18" ht="18.75" customHeight="1">
      <c r="A353" s="6" t="s">
        <v>23</v>
      </c>
      <c r="B353" s="20">
        <v>44913</v>
      </c>
      <c r="C353" s="2">
        <v>721</v>
      </c>
      <c r="D353" s="2">
        <v>2459</v>
      </c>
      <c r="E353" s="2">
        <v>420</v>
      </c>
      <c r="F353" s="2">
        <v>1010</v>
      </c>
      <c r="G353" s="2">
        <v>0</v>
      </c>
      <c r="H353" s="2">
        <v>1510</v>
      </c>
      <c r="I353" s="2">
        <v>1100</v>
      </c>
      <c r="J353" s="2">
        <v>1260</v>
      </c>
      <c r="K353" s="2">
        <v>0</v>
      </c>
      <c r="L353" s="2">
        <v>14219</v>
      </c>
      <c r="M353" s="2">
        <v>1221</v>
      </c>
      <c r="N353" s="2">
        <v>795</v>
      </c>
      <c r="O353" s="2">
        <f t="shared" si="19"/>
        <v>21115</v>
      </c>
      <c r="P353" s="2">
        <v>4660</v>
      </c>
      <c r="Q353" s="2">
        <v>8059</v>
      </c>
      <c r="R353" s="5">
        <f t="shared" si="18"/>
        <v>8396</v>
      </c>
    </row>
    <row r="354" spans="1:18" ht="18.75" customHeight="1">
      <c r="A354" s="6" t="s">
        <v>17</v>
      </c>
      <c r="B354" s="20">
        <v>44914</v>
      </c>
      <c r="C354" s="2">
        <v>1030</v>
      </c>
      <c r="D354" s="2">
        <v>1425</v>
      </c>
      <c r="E354" s="2">
        <v>0</v>
      </c>
      <c r="F354" s="2">
        <v>1923</v>
      </c>
      <c r="G354" s="2">
        <v>0</v>
      </c>
      <c r="H354" s="2">
        <v>1820</v>
      </c>
      <c r="I354" s="2">
        <v>740</v>
      </c>
      <c r="J354" s="2">
        <v>1500</v>
      </c>
      <c r="K354" s="2">
        <v>0</v>
      </c>
      <c r="L354" s="2">
        <v>6326</v>
      </c>
      <c r="M354" s="2">
        <v>110</v>
      </c>
      <c r="N354" s="2">
        <v>687</v>
      </c>
      <c r="O354" s="2">
        <f t="shared" si="19"/>
        <v>13106</v>
      </c>
      <c r="P354" s="2">
        <v>4945</v>
      </c>
      <c r="Q354" s="2">
        <v>6755</v>
      </c>
      <c r="R354" s="5">
        <f t="shared" si="18"/>
        <v>1406</v>
      </c>
    </row>
    <row r="355" spans="1:18" ht="18.75" customHeight="1">
      <c r="A355" s="6" t="s">
        <v>18</v>
      </c>
      <c r="B355" s="20">
        <v>44915</v>
      </c>
      <c r="C355" s="2">
        <v>1000</v>
      </c>
      <c r="D355" s="2">
        <v>2765</v>
      </c>
      <c r="E355" s="2">
        <v>910</v>
      </c>
      <c r="F355" s="2">
        <v>950</v>
      </c>
      <c r="G355" s="2">
        <v>690</v>
      </c>
      <c r="H355" s="2">
        <v>1178</v>
      </c>
      <c r="I355" s="2">
        <v>603</v>
      </c>
      <c r="J355" s="2">
        <v>1670</v>
      </c>
      <c r="K355" s="2">
        <v>0</v>
      </c>
      <c r="L355" s="2">
        <v>7687</v>
      </c>
      <c r="M355" s="2">
        <v>61</v>
      </c>
      <c r="N355" s="2">
        <v>1730</v>
      </c>
      <c r="O355" s="2">
        <f t="shared" si="19"/>
        <v>14569</v>
      </c>
      <c r="P355" s="2">
        <v>4829</v>
      </c>
      <c r="Q355" s="2">
        <v>7295</v>
      </c>
      <c r="R355" s="5">
        <f t="shared" si="18"/>
        <v>2445</v>
      </c>
    </row>
    <row r="356" spans="1:18" ht="18.75" customHeight="1">
      <c r="A356" s="6" t="s">
        <v>19</v>
      </c>
      <c r="B356" s="20">
        <v>44916</v>
      </c>
      <c r="C356" s="2">
        <v>607</v>
      </c>
      <c r="D356" s="2">
        <v>2087</v>
      </c>
      <c r="E356" s="2">
        <v>610</v>
      </c>
      <c r="F356" s="2">
        <v>1400</v>
      </c>
      <c r="G356" s="2">
        <v>0</v>
      </c>
      <c r="H356" s="2">
        <v>1525</v>
      </c>
      <c r="I356" s="2">
        <v>390</v>
      </c>
      <c r="J356" s="2">
        <v>930</v>
      </c>
      <c r="K356" s="2">
        <v>0</v>
      </c>
      <c r="L356" s="2">
        <v>9868</v>
      </c>
      <c r="M356" s="2">
        <v>1148</v>
      </c>
      <c r="N356" s="2">
        <v>526</v>
      </c>
      <c r="O356" s="2">
        <f t="shared" si="19"/>
        <v>15787</v>
      </c>
      <c r="P356" s="2">
        <v>4070</v>
      </c>
      <c r="Q356" s="2">
        <v>6232</v>
      </c>
      <c r="R356" s="5">
        <f t="shared" si="18"/>
        <v>5485</v>
      </c>
    </row>
    <row r="357" spans="1:18" ht="18.75" customHeight="1">
      <c r="A357" s="6" t="s">
        <v>20</v>
      </c>
      <c r="B357" s="20">
        <v>44917</v>
      </c>
      <c r="C357" s="2">
        <v>1150</v>
      </c>
      <c r="D357" s="2">
        <v>1660</v>
      </c>
      <c r="E357" s="2">
        <v>950</v>
      </c>
      <c r="F357" s="2">
        <v>1772</v>
      </c>
      <c r="G357" s="2">
        <v>882</v>
      </c>
      <c r="H357" s="2">
        <v>2265</v>
      </c>
      <c r="I357" s="2">
        <v>550</v>
      </c>
      <c r="J357" s="2">
        <v>1300</v>
      </c>
      <c r="K357" s="2">
        <v>0</v>
      </c>
      <c r="L357" s="2">
        <v>7898</v>
      </c>
      <c r="M357" s="2">
        <v>624</v>
      </c>
      <c r="N357" s="2">
        <v>777</v>
      </c>
      <c r="O357" s="2">
        <f t="shared" si="19"/>
        <v>16068</v>
      </c>
      <c r="P357" s="2">
        <v>4275</v>
      </c>
      <c r="Q357" s="2">
        <v>7071</v>
      </c>
      <c r="R357" s="5">
        <f t="shared" si="18"/>
        <v>4722</v>
      </c>
    </row>
    <row r="358" spans="1:18" ht="18.75" customHeight="1">
      <c r="A358" s="6" t="s">
        <v>21</v>
      </c>
      <c r="B358" s="20">
        <v>44918</v>
      </c>
      <c r="C358" s="2">
        <v>0</v>
      </c>
      <c r="D358" s="2">
        <v>1812</v>
      </c>
      <c r="E358" s="2">
        <v>0</v>
      </c>
      <c r="F358" s="2">
        <v>720</v>
      </c>
      <c r="G358" s="2">
        <v>0</v>
      </c>
      <c r="H358" s="2">
        <v>2330</v>
      </c>
      <c r="I358" s="2">
        <v>0</v>
      </c>
      <c r="J358" s="2">
        <v>0</v>
      </c>
      <c r="K358" s="2">
        <v>0</v>
      </c>
      <c r="L358" s="2">
        <v>9507</v>
      </c>
      <c r="M358" s="2">
        <v>269</v>
      </c>
      <c r="N358" s="2">
        <v>1604</v>
      </c>
      <c r="O358" s="2">
        <f t="shared" si="19"/>
        <v>14430</v>
      </c>
      <c r="P358" s="2">
        <v>2070</v>
      </c>
      <c r="Q358" s="2">
        <v>7599</v>
      </c>
      <c r="R358" s="5">
        <f t="shared" si="18"/>
        <v>4761</v>
      </c>
    </row>
    <row r="359" spans="1:18" ht="18.75" customHeight="1">
      <c r="A359" s="6" t="s">
        <v>22</v>
      </c>
      <c r="B359" s="20">
        <v>44919</v>
      </c>
      <c r="C359" s="2">
        <v>82</v>
      </c>
      <c r="D359" s="2">
        <v>3088</v>
      </c>
      <c r="E359" s="2">
        <v>542</v>
      </c>
      <c r="F359" s="2">
        <v>1500</v>
      </c>
      <c r="G359" s="2">
        <v>1950</v>
      </c>
      <c r="H359" s="2">
        <v>1590</v>
      </c>
      <c r="I359" s="2">
        <v>940</v>
      </c>
      <c r="J359" s="2">
        <v>2210</v>
      </c>
      <c r="K359" s="2">
        <v>0</v>
      </c>
      <c r="L359" s="2">
        <v>8103</v>
      </c>
      <c r="M359" s="2">
        <v>531</v>
      </c>
      <c r="N359" s="2">
        <v>0</v>
      </c>
      <c r="O359" s="2">
        <f t="shared" si="19"/>
        <v>16824</v>
      </c>
      <c r="P359" s="2">
        <v>4450</v>
      </c>
      <c r="Q359" s="2">
        <v>9112</v>
      </c>
      <c r="R359" s="5">
        <f t="shared" si="18"/>
        <v>3262</v>
      </c>
    </row>
    <row r="360" spans="1:18" ht="18.75" customHeight="1">
      <c r="A360" s="6" t="s">
        <v>23</v>
      </c>
      <c r="B360" s="20">
        <v>44920</v>
      </c>
      <c r="C360" s="2">
        <v>0</v>
      </c>
      <c r="D360" s="2">
        <v>0</v>
      </c>
      <c r="E360" s="2">
        <v>0</v>
      </c>
      <c r="F360" s="2">
        <v>0</v>
      </c>
      <c r="G360" s="2">
        <v>0</v>
      </c>
      <c r="H360" s="2">
        <v>0</v>
      </c>
      <c r="I360" s="2">
        <v>0</v>
      </c>
      <c r="J360" s="2">
        <v>0</v>
      </c>
      <c r="K360" s="2">
        <v>0</v>
      </c>
      <c r="L360" s="2">
        <v>4734</v>
      </c>
      <c r="M360" s="2">
        <v>281</v>
      </c>
      <c r="N360" s="2">
        <v>743</v>
      </c>
      <c r="O360" s="2">
        <f t="shared" si="19"/>
        <v>5758</v>
      </c>
      <c r="P360" s="2">
        <v>1600</v>
      </c>
      <c r="Q360" s="2">
        <v>75</v>
      </c>
      <c r="R360" s="5">
        <f t="shared" si="18"/>
        <v>4083</v>
      </c>
    </row>
    <row r="361" spans="1:18" ht="18.75" customHeight="1">
      <c r="A361" s="6" t="s">
        <v>17</v>
      </c>
      <c r="B361" s="20">
        <v>44921</v>
      </c>
      <c r="C361" s="2">
        <v>0</v>
      </c>
      <c r="D361" s="2">
        <v>2238</v>
      </c>
      <c r="E361" s="2">
        <v>783</v>
      </c>
      <c r="F361" s="2">
        <v>1395</v>
      </c>
      <c r="G361" s="2">
        <v>0</v>
      </c>
      <c r="H361" s="2">
        <v>1820</v>
      </c>
      <c r="I361" s="2">
        <v>860</v>
      </c>
      <c r="J361" s="2">
        <v>2700</v>
      </c>
      <c r="K361" s="2">
        <v>0</v>
      </c>
      <c r="L361" s="2">
        <v>9552</v>
      </c>
      <c r="M361" s="2">
        <v>61</v>
      </c>
      <c r="N361" s="2">
        <v>0</v>
      </c>
      <c r="O361" s="2">
        <f t="shared" si="19"/>
        <v>16388</v>
      </c>
      <c r="P361" s="2">
        <v>4250</v>
      </c>
      <c r="Q361" s="2">
        <v>9200</v>
      </c>
      <c r="R361" s="5">
        <f t="shared" si="18"/>
        <v>2938</v>
      </c>
    </row>
    <row r="362" spans="1:18" ht="18.75" customHeight="1">
      <c r="A362" s="6" t="s">
        <v>18</v>
      </c>
      <c r="B362" s="20">
        <v>44922</v>
      </c>
      <c r="C362" s="2">
        <v>2000</v>
      </c>
      <c r="D362" s="2">
        <v>3086</v>
      </c>
      <c r="E362" s="2">
        <v>640</v>
      </c>
      <c r="F362" s="2">
        <v>1780</v>
      </c>
      <c r="G362" s="2">
        <v>876</v>
      </c>
      <c r="H362" s="2">
        <v>2400</v>
      </c>
      <c r="I362" s="2">
        <v>740</v>
      </c>
      <c r="J362" s="2">
        <v>1101</v>
      </c>
      <c r="K362" s="2">
        <v>0</v>
      </c>
      <c r="L362" s="2">
        <v>8652</v>
      </c>
      <c r="M362" s="2">
        <v>1521</v>
      </c>
      <c r="N362" s="2">
        <v>0</v>
      </c>
      <c r="O362" s="2">
        <f t="shared" si="19"/>
        <v>17070</v>
      </c>
      <c r="P362" s="2">
        <v>4520</v>
      </c>
      <c r="Q362" s="2">
        <v>7487</v>
      </c>
      <c r="R362" s="5">
        <f t="shared" si="18"/>
        <v>5063</v>
      </c>
    </row>
    <row r="363" spans="1:18" ht="18.75" customHeight="1">
      <c r="A363" s="6" t="s">
        <v>19</v>
      </c>
      <c r="B363" s="20">
        <v>44923</v>
      </c>
      <c r="C363" s="2">
        <v>500</v>
      </c>
      <c r="D363" s="2">
        <v>2628</v>
      </c>
      <c r="E363" s="2">
        <v>600</v>
      </c>
      <c r="F363" s="2">
        <v>1690</v>
      </c>
      <c r="G363" s="2">
        <v>707</v>
      </c>
      <c r="H363" s="2">
        <v>2610</v>
      </c>
      <c r="I363" s="2">
        <v>1170</v>
      </c>
      <c r="J363" s="2">
        <v>1120</v>
      </c>
      <c r="K363" s="2">
        <v>0</v>
      </c>
      <c r="L363" s="2">
        <v>8421</v>
      </c>
      <c r="M363" s="2">
        <v>1821</v>
      </c>
      <c r="N363" s="2">
        <v>0</v>
      </c>
      <c r="O363" s="2">
        <f t="shared" si="19"/>
        <v>17539</v>
      </c>
      <c r="P363" s="2">
        <v>4320</v>
      </c>
      <c r="Q363" s="2">
        <v>6915</v>
      </c>
      <c r="R363" s="5">
        <f t="shared" si="18"/>
        <v>6304</v>
      </c>
    </row>
    <row r="364" spans="1:18" ht="18.75" customHeight="1">
      <c r="A364" s="6" t="s">
        <v>20</v>
      </c>
      <c r="B364" s="20">
        <v>44924</v>
      </c>
      <c r="C364" s="2">
        <v>800</v>
      </c>
      <c r="D364" s="2">
        <v>2550</v>
      </c>
      <c r="E364" s="2">
        <v>380</v>
      </c>
      <c r="F364" s="2">
        <v>2240</v>
      </c>
      <c r="G364" s="2">
        <v>783</v>
      </c>
      <c r="H364" s="2">
        <v>1280</v>
      </c>
      <c r="I364" s="2">
        <v>820</v>
      </c>
      <c r="J364" s="2">
        <v>2658</v>
      </c>
      <c r="K364" s="2">
        <v>0</v>
      </c>
      <c r="L364" s="2">
        <v>9236</v>
      </c>
      <c r="M364" s="2">
        <v>1704</v>
      </c>
      <c r="N364" s="2">
        <v>436</v>
      </c>
      <c r="O364" s="2">
        <f t="shared" si="19"/>
        <v>19157</v>
      </c>
      <c r="P364" s="2">
        <v>4155</v>
      </c>
      <c r="Q364" s="2">
        <v>9315</v>
      </c>
      <c r="R364" s="5">
        <f t="shared" si="18"/>
        <v>5687</v>
      </c>
    </row>
    <row r="365" spans="1:18" ht="18.75" customHeight="1">
      <c r="A365" s="6" t="s">
        <v>21</v>
      </c>
      <c r="B365" s="20">
        <v>44925</v>
      </c>
      <c r="C365" s="2">
        <v>1080</v>
      </c>
      <c r="D365" s="2">
        <v>1210</v>
      </c>
      <c r="E365" s="2">
        <v>1080</v>
      </c>
      <c r="F365" s="2">
        <v>2510</v>
      </c>
      <c r="G365" s="2">
        <v>2200</v>
      </c>
      <c r="H365" s="2">
        <v>3715</v>
      </c>
      <c r="I365" s="2">
        <v>520</v>
      </c>
      <c r="J365" s="2">
        <v>1380</v>
      </c>
      <c r="K365" s="2">
        <v>0</v>
      </c>
      <c r="L365" s="2">
        <v>8828</v>
      </c>
      <c r="M365" s="2">
        <v>1698</v>
      </c>
      <c r="N365" s="2">
        <v>571</v>
      </c>
      <c r="O365" s="2">
        <f t="shared" si="19"/>
        <v>21422</v>
      </c>
      <c r="P365" s="2">
        <v>4330</v>
      </c>
      <c r="Q365" s="2">
        <v>11305</v>
      </c>
      <c r="R365" s="5">
        <f t="shared" si="18"/>
        <v>5787</v>
      </c>
    </row>
    <row r="366" spans="1:18" ht="18.75" customHeight="1">
      <c r="A366" s="6" t="s">
        <v>22</v>
      </c>
      <c r="B366" s="20">
        <v>44926</v>
      </c>
      <c r="C366" s="2">
        <v>233</v>
      </c>
      <c r="D366" s="2">
        <v>1642</v>
      </c>
      <c r="E366" s="2">
        <v>585</v>
      </c>
      <c r="F366" s="2">
        <v>888</v>
      </c>
      <c r="G366" s="2">
        <v>0</v>
      </c>
      <c r="H366" s="2">
        <v>2610</v>
      </c>
      <c r="I366" s="2">
        <v>0</v>
      </c>
      <c r="J366" s="2">
        <v>910</v>
      </c>
      <c r="K366" s="2">
        <v>0</v>
      </c>
      <c r="L366" s="2">
        <v>11722</v>
      </c>
      <c r="M366" s="2">
        <v>1903</v>
      </c>
      <c r="N366" s="2">
        <v>1081</v>
      </c>
      <c r="O366" s="2">
        <f t="shared" si="19"/>
        <v>19114</v>
      </c>
      <c r="P366" s="2">
        <v>4480</v>
      </c>
      <c r="Q366" s="2">
        <v>9672</v>
      </c>
      <c r="R366" s="5">
        <f t="shared" si="18"/>
        <v>4962</v>
      </c>
    </row>
  </sheetData>
  <conditionalFormatting sqref="R2:R366">
    <cfRule type="cellIs" dxfId="5" priority="1" operator="lessThan">
      <formula>0</formula>
    </cfRule>
  </conditionalFormatting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U366"/>
  <sheetViews>
    <sheetView topLeftCell="F1" zoomScale="58" zoomScaleNormal="58" workbookViewId="0">
      <selection activeCell="P14" sqref="P14"/>
    </sheetView>
  </sheetViews>
  <sheetFormatPr defaultColWidth="11.5703125" defaultRowHeight="15"/>
  <cols>
    <col min="1" max="1" width="12.85546875" customWidth="1"/>
    <col min="2" max="2" width="16.42578125" style="11" customWidth="1"/>
    <col min="3" max="3" width="20.140625" customWidth="1"/>
    <col min="4" max="4" width="31.28515625" customWidth="1"/>
    <col min="5" max="6" width="21.140625" customWidth="1"/>
    <col min="7" max="7" width="21.85546875" customWidth="1"/>
    <col min="8" max="8" width="19" customWidth="1"/>
    <col min="9" max="9" width="21.28515625" customWidth="1"/>
    <col min="10" max="10" width="16.28515625" customWidth="1"/>
    <col min="11" max="11" width="20.5703125" customWidth="1"/>
    <col min="12" max="17" width="18.28515625" customWidth="1"/>
    <col min="18" max="18" width="24.140625" customWidth="1"/>
    <col min="19" max="19" width="18.42578125" customWidth="1"/>
    <col min="20" max="20" width="22.140625" customWidth="1"/>
    <col min="21" max="21" width="24.28515625" bestFit="1" customWidth="1"/>
    <col min="22" max="23" width="14.7109375" bestFit="1" customWidth="1"/>
    <col min="24" max="24" width="17.28515625" customWidth="1"/>
    <col min="25" max="25" width="14.42578125" customWidth="1"/>
    <col min="30" max="33" width="15.140625" bestFit="1" customWidth="1"/>
  </cols>
  <sheetData>
    <row r="1" spans="1:21" ht="18.75" customHeight="1">
      <c r="A1" s="1"/>
      <c r="B1" s="9" t="s">
        <v>0</v>
      </c>
      <c r="C1" s="15" t="s">
        <v>39</v>
      </c>
      <c r="D1" s="15" t="s">
        <v>31</v>
      </c>
      <c r="E1" s="15" t="s">
        <v>40</v>
      </c>
      <c r="F1" s="15" t="s">
        <v>41</v>
      </c>
      <c r="G1" s="15" t="s">
        <v>26</v>
      </c>
      <c r="H1" s="15" t="s">
        <v>42</v>
      </c>
      <c r="I1" s="15" t="s">
        <v>43</v>
      </c>
      <c r="J1" s="15" t="s">
        <v>44</v>
      </c>
      <c r="K1" s="15" t="s">
        <v>45</v>
      </c>
      <c r="L1" s="15" t="s">
        <v>10</v>
      </c>
      <c r="M1" s="15" t="s">
        <v>46</v>
      </c>
      <c r="N1" s="22" t="s">
        <v>47</v>
      </c>
      <c r="O1" s="23" t="s">
        <v>48</v>
      </c>
      <c r="P1" s="23" t="s">
        <v>49</v>
      </c>
      <c r="Q1" s="23" t="s">
        <v>50</v>
      </c>
      <c r="R1" s="16" t="s">
        <v>12</v>
      </c>
      <c r="S1" s="17" t="s">
        <v>13</v>
      </c>
      <c r="T1" s="17" t="s">
        <v>51</v>
      </c>
      <c r="U1" s="17" t="s">
        <v>15</v>
      </c>
    </row>
    <row r="2" spans="1:21" ht="18.75" customHeight="1">
      <c r="A2" s="4" t="s">
        <v>17</v>
      </c>
      <c r="B2" s="10">
        <v>44927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3">
        <v>0</v>
      </c>
      <c r="S2" s="3">
        <v>0</v>
      </c>
      <c r="T2" s="3">
        <v>0</v>
      </c>
      <c r="U2" s="5">
        <v>0</v>
      </c>
    </row>
    <row r="3" spans="1:21" ht="18.75" customHeight="1">
      <c r="A3" s="4" t="s">
        <v>18</v>
      </c>
      <c r="B3" s="10">
        <v>44928</v>
      </c>
      <c r="C3" s="2">
        <v>1117</v>
      </c>
      <c r="D3" s="2">
        <v>2630</v>
      </c>
      <c r="E3" s="2">
        <v>0</v>
      </c>
      <c r="F3" s="2">
        <v>5840</v>
      </c>
      <c r="G3" s="2">
        <v>1597</v>
      </c>
      <c r="H3" s="2">
        <v>0</v>
      </c>
      <c r="I3" s="2">
        <v>1010</v>
      </c>
      <c r="J3" s="2">
        <v>673</v>
      </c>
      <c r="K3" s="2">
        <v>0</v>
      </c>
      <c r="L3" s="2">
        <v>13067</v>
      </c>
      <c r="M3" s="2">
        <v>2510</v>
      </c>
      <c r="N3" s="2">
        <v>462</v>
      </c>
      <c r="O3" s="2">
        <v>0</v>
      </c>
      <c r="P3" s="2">
        <v>0</v>
      </c>
      <c r="Q3" s="2">
        <v>0</v>
      </c>
      <c r="R3" s="3">
        <f t="shared" ref="R3:R34" si="0">SUM(C3:N3)</f>
        <v>28906</v>
      </c>
      <c r="S3" s="3">
        <v>5370</v>
      </c>
      <c r="T3" s="3">
        <v>11138</v>
      </c>
      <c r="U3" s="5">
        <f t="shared" ref="U3:U66" si="1">R3-S3-T3</f>
        <v>12398</v>
      </c>
    </row>
    <row r="4" spans="1:21" ht="18.75" customHeight="1">
      <c r="A4" s="4" t="s">
        <v>19</v>
      </c>
      <c r="B4" s="10">
        <v>44929</v>
      </c>
      <c r="C4" s="2">
        <v>2062</v>
      </c>
      <c r="D4" s="2">
        <v>2015</v>
      </c>
      <c r="E4" s="2">
        <v>790</v>
      </c>
      <c r="F4" s="2">
        <v>4772</v>
      </c>
      <c r="G4" s="2">
        <v>2153</v>
      </c>
      <c r="H4" s="2">
        <v>0</v>
      </c>
      <c r="I4" s="2">
        <v>990</v>
      </c>
      <c r="J4" s="2">
        <v>903</v>
      </c>
      <c r="K4" s="2">
        <v>0</v>
      </c>
      <c r="L4" s="2">
        <v>10370</v>
      </c>
      <c r="M4" s="2">
        <v>653</v>
      </c>
      <c r="N4" s="2">
        <v>170</v>
      </c>
      <c r="O4" s="2">
        <v>0</v>
      </c>
      <c r="P4" s="2">
        <v>0</v>
      </c>
      <c r="Q4" s="2">
        <v>0</v>
      </c>
      <c r="R4" s="3">
        <f t="shared" si="0"/>
        <v>24878</v>
      </c>
      <c r="S4" s="3">
        <v>4890</v>
      </c>
      <c r="T4" s="3">
        <v>8862</v>
      </c>
      <c r="U4" s="5">
        <f t="shared" si="1"/>
        <v>11126</v>
      </c>
    </row>
    <row r="5" spans="1:21" ht="18.75" customHeight="1">
      <c r="A5" s="4" t="s">
        <v>20</v>
      </c>
      <c r="B5" s="10">
        <v>44930</v>
      </c>
      <c r="C5" s="2">
        <v>1056</v>
      </c>
      <c r="D5" s="2">
        <v>1540</v>
      </c>
      <c r="E5" s="2">
        <v>0</v>
      </c>
      <c r="F5" s="2">
        <v>4225</v>
      </c>
      <c r="G5" s="2">
        <v>2577</v>
      </c>
      <c r="H5" s="2">
        <v>0</v>
      </c>
      <c r="I5" s="2">
        <v>330</v>
      </c>
      <c r="J5" s="2">
        <v>289</v>
      </c>
      <c r="K5" s="2">
        <v>0</v>
      </c>
      <c r="L5" s="2">
        <v>10534</v>
      </c>
      <c r="M5" s="2">
        <v>2059</v>
      </c>
      <c r="N5" s="2">
        <v>1260</v>
      </c>
      <c r="O5" s="2">
        <v>0</v>
      </c>
      <c r="P5" s="2">
        <v>0</v>
      </c>
      <c r="Q5" s="2">
        <v>0</v>
      </c>
      <c r="R5" s="3">
        <f t="shared" si="0"/>
        <v>23870</v>
      </c>
      <c r="S5" s="3">
        <v>5250</v>
      </c>
      <c r="T5" s="3">
        <v>9894</v>
      </c>
      <c r="U5" s="5">
        <f t="shared" si="1"/>
        <v>8726</v>
      </c>
    </row>
    <row r="6" spans="1:21" ht="18.75" customHeight="1">
      <c r="A6" s="4" t="s">
        <v>21</v>
      </c>
      <c r="B6" s="10">
        <v>44931</v>
      </c>
      <c r="C6" s="2">
        <v>1435</v>
      </c>
      <c r="D6" s="2">
        <v>980</v>
      </c>
      <c r="E6" s="2">
        <v>940</v>
      </c>
      <c r="F6" s="2">
        <v>1935</v>
      </c>
      <c r="G6" s="2">
        <v>3475</v>
      </c>
      <c r="H6" s="2">
        <v>0</v>
      </c>
      <c r="I6" s="2">
        <v>725</v>
      </c>
      <c r="J6" s="2">
        <v>322</v>
      </c>
      <c r="K6" s="2">
        <v>0</v>
      </c>
      <c r="L6" s="2">
        <v>8668</v>
      </c>
      <c r="M6" s="2">
        <v>1379</v>
      </c>
      <c r="N6" s="2">
        <v>628</v>
      </c>
      <c r="O6" s="2">
        <v>0</v>
      </c>
      <c r="P6" s="2">
        <v>0</v>
      </c>
      <c r="Q6" s="2">
        <v>0</v>
      </c>
      <c r="R6" s="3">
        <f t="shared" si="0"/>
        <v>20487</v>
      </c>
      <c r="S6" s="3">
        <v>4690</v>
      </c>
      <c r="T6" s="3">
        <v>8509</v>
      </c>
      <c r="U6" s="5">
        <f t="shared" si="1"/>
        <v>7288</v>
      </c>
    </row>
    <row r="7" spans="1:21" ht="18.75" customHeight="1">
      <c r="A7" s="4" t="s">
        <v>22</v>
      </c>
      <c r="B7" s="10">
        <v>44932</v>
      </c>
      <c r="C7" s="2">
        <v>1775</v>
      </c>
      <c r="D7" s="2">
        <v>1165</v>
      </c>
      <c r="E7" s="2">
        <v>435</v>
      </c>
      <c r="F7" s="2">
        <v>2548</v>
      </c>
      <c r="G7" s="2">
        <v>3001</v>
      </c>
      <c r="H7" s="2">
        <v>0</v>
      </c>
      <c r="I7" s="2">
        <v>610</v>
      </c>
      <c r="J7" s="2">
        <v>451</v>
      </c>
      <c r="K7" s="2">
        <v>0</v>
      </c>
      <c r="L7" s="2">
        <v>8839</v>
      </c>
      <c r="M7" s="2">
        <v>1072</v>
      </c>
      <c r="N7" s="2">
        <v>669</v>
      </c>
      <c r="O7" s="2">
        <v>0</v>
      </c>
      <c r="P7" s="2">
        <v>0</v>
      </c>
      <c r="Q7" s="2">
        <v>0</v>
      </c>
      <c r="R7" s="3">
        <f t="shared" si="0"/>
        <v>20565</v>
      </c>
      <c r="S7" s="3">
        <v>4745</v>
      </c>
      <c r="T7" s="3">
        <v>11650</v>
      </c>
      <c r="U7" s="5">
        <f t="shared" si="1"/>
        <v>4170</v>
      </c>
    </row>
    <row r="8" spans="1:21" ht="18.75" customHeight="1">
      <c r="A8" s="4" t="s">
        <v>23</v>
      </c>
      <c r="B8" s="10">
        <v>44933</v>
      </c>
      <c r="C8" s="2">
        <v>1810</v>
      </c>
      <c r="D8" s="2">
        <v>1645</v>
      </c>
      <c r="E8" s="2">
        <v>0</v>
      </c>
      <c r="F8" s="2">
        <v>2725</v>
      </c>
      <c r="G8" s="2">
        <v>2077</v>
      </c>
      <c r="H8" s="2">
        <v>0</v>
      </c>
      <c r="I8" s="2">
        <v>600</v>
      </c>
      <c r="J8" s="2">
        <v>446</v>
      </c>
      <c r="K8" s="2">
        <v>0</v>
      </c>
      <c r="L8" s="2">
        <v>7766</v>
      </c>
      <c r="M8" s="2">
        <v>1598</v>
      </c>
      <c r="N8" s="2">
        <v>340</v>
      </c>
      <c r="O8" s="2">
        <v>0</v>
      </c>
      <c r="P8" s="2">
        <v>0</v>
      </c>
      <c r="Q8" s="2">
        <v>0</v>
      </c>
      <c r="R8" s="3">
        <f t="shared" si="0"/>
        <v>19007</v>
      </c>
      <c r="S8" s="3">
        <v>4630</v>
      </c>
      <c r="T8" s="3">
        <v>7442</v>
      </c>
      <c r="U8" s="5">
        <f t="shared" si="1"/>
        <v>6935</v>
      </c>
    </row>
    <row r="9" spans="1:21" ht="18.75" customHeight="1">
      <c r="A9" s="4" t="s">
        <v>17</v>
      </c>
      <c r="B9" s="10">
        <v>44934</v>
      </c>
      <c r="C9" s="2">
        <v>1795</v>
      </c>
      <c r="D9" s="2">
        <v>925</v>
      </c>
      <c r="E9" s="2">
        <v>260</v>
      </c>
      <c r="F9" s="2">
        <v>2046</v>
      </c>
      <c r="G9" s="2">
        <v>1859</v>
      </c>
      <c r="H9" s="2">
        <v>0</v>
      </c>
      <c r="I9" s="2">
        <v>600</v>
      </c>
      <c r="J9" s="2">
        <v>643</v>
      </c>
      <c r="K9" s="2">
        <v>0</v>
      </c>
      <c r="L9" s="2">
        <v>10892</v>
      </c>
      <c r="M9" s="2">
        <v>1731</v>
      </c>
      <c r="N9" s="2">
        <v>120</v>
      </c>
      <c r="O9" s="2">
        <v>0</v>
      </c>
      <c r="P9" s="2">
        <v>0</v>
      </c>
      <c r="Q9" s="2">
        <v>0</v>
      </c>
      <c r="R9" s="3">
        <f t="shared" si="0"/>
        <v>20871</v>
      </c>
      <c r="S9" s="3">
        <v>5185</v>
      </c>
      <c r="T9" s="3">
        <v>6055.5</v>
      </c>
      <c r="U9" s="5">
        <f t="shared" si="1"/>
        <v>9630.5</v>
      </c>
    </row>
    <row r="10" spans="1:21" ht="18.75" customHeight="1">
      <c r="A10" s="4" t="s">
        <v>18</v>
      </c>
      <c r="B10" s="10">
        <v>44935</v>
      </c>
      <c r="C10" s="2">
        <v>1810</v>
      </c>
      <c r="D10" s="2">
        <v>1140</v>
      </c>
      <c r="E10" s="2">
        <v>640</v>
      </c>
      <c r="F10" s="2">
        <v>2646</v>
      </c>
      <c r="G10" s="2">
        <v>1716</v>
      </c>
      <c r="H10" s="2">
        <v>0</v>
      </c>
      <c r="I10" s="2">
        <v>920</v>
      </c>
      <c r="J10" s="2">
        <v>310</v>
      </c>
      <c r="K10" s="2">
        <v>0</v>
      </c>
      <c r="L10" s="2">
        <v>7513</v>
      </c>
      <c r="M10" s="2">
        <v>1214</v>
      </c>
      <c r="N10" s="2">
        <v>95</v>
      </c>
      <c r="O10" s="2">
        <v>0</v>
      </c>
      <c r="P10" s="2">
        <v>0</v>
      </c>
      <c r="Q10" s="2">
        <v>0</v>
      </c>
      <c r="R10" s="3">
        <f t="shared" si="0"/>
        <v>18004</v>
      </c>
      <c r="S10" s="3">
        <v>5791</v>
      </c>
      <c r="T10" s="3">
        <v>11991</v>
      </c>
      <c r="U10" s="5">
        <f t="shared" si="1"/>
        <v>222</v>
      </c>
    </row>
    <row r="11" spans="1:21" ht="18.75" customHeight="1">
      <c r="A11" s="4" t="s">
        <v>19</v>
      </c>
      <c r="B11" s="10">
        <v>44936</v>
      </c>
      <c r="C11" s="2">
        <v>1610</v>
      </c>
      <c r="D11" s="2">
        <v>1255</v>
      </c>
      <c r="E11" s="2">
        <v>845</v>
      </c>
      <c r="F11" s="2">
        <v>1340</v>
      </c>
      <c r="G11" s="2">
        <v>2022</v>
      </c>
      <c r="H11" s="2">
        <v>0</v>
      </c>
      <c r="I11" s="2">
        <v>460</v>
      </c>
      <c r="J11" s="2">
        <v>259</v>
      </c>
      <c r="K11" s="2">
        <v>0</v>
      </c>
      <c r="L11" s="2">
        <v>8386</v>
      </c>
      <c r="M11" s="2">
        <v>506</v>
      </c>
      <c r="N11" s="2">
        <v>0</v>
      </c>
      <c r="O11" s="2">
        <v>0</v>
      </c>
      <c r="P11" s="2">
        <v>0</v>
      </c>
      <c r="Q11" s="2">
        <v>0</v>
      </c>
      <c r="R11" s="3">
        <f t="shared" si="0"/>
        <v>16683</v>
      </c>
      <c r="S11" s="3">
        <v>5155</v>
      </c>
      <c r="T11" s="3">
        <v>7740</v>
      </c>
      <c r="U11" s="5">
        <f t="shared" si="1"/>
        <v>3788</v>
      </c>
    </row>
    <row r="12" spans="1:21" ht="18.75" customHeight="1">
      <c r="A12" s="4" t="s">
        <v>20</v>
      </c>
      <c r="B12" s="10">
        <v>44937</v>
      </c>
      <c r="C12" s="2">
        <v>1435</v>
      </c>
      <c r="D12" s="2">
        <v>1140</v>
      </c>
      <c r="E12" s="2">
        <v>575</v>
      </c>
      <c r="F12" s="2">
        <v>1305</v>
      </c>
      <c r="G12" s="2">
        <v>1104</v>
      </c>
      <c r="H12" s="2">
        <v>0</v>
      </c>
      <c r="I12" s="2">
        <v>423</v>
      </c>
      <c r="J12" s="2">
        <v>362</v>
      </c>
      <c r="K12" s="2">
        <v>0</v>
      </c>
      <c r="L12" s="2">
        <v>5538</v>
      </c>
      <c r="M12" s="2">
        <v>783</v>
      </c>
      <c r="N12" s="2">
        <v>25</v>
      </c>
      <c r="O12" s="2">
        <v>0</v>
      </c>
      <c r="P12" s="2">
        <v>0</v>
      </c>
      <c r="Q12" s="2">
        <v>0</v>
      </c>
      <c r="R12" s="3">
        <f t="shared" si="0"/>
        <v>12690</v>
      </c>
      <c r="S12" s="3">
        <v>4530</v>
      </c>
      <c r="T12" s="3">
        <v>7530</v>
      </c>
      <c r="U12" s="5">
        <f t="shared" si="1"/>
        <v>630</v>
      </c>
    </row>
    <row r="13" spans="1:21" ht="18.75" customHeight="1">
      <c r="A13" s="4" t="s">
        <v>21</v>
      </c>
      <c r="B13" s="10">
        <v>44938</v>
      </c>
      <c r="C13" s="2">
        <v>1495</v>
      </c>
      <c r="D13" s="2">
        <v>755</v>
      </c>
      <c r="E13" s="2">
        <v>625</v>
      </c>
      <c r="F13" s="2">
        <v>2585</v>
      </c>
      <c r="G13" s="2">
        <v>2544</v>
      </c>
      <c r="H13" s="2">
        <v>0</v>
      </c>
      <c r="I13" s="2">
        <v>605</v>
      </c>
      <c r="J13" s="2">
        <v>0</v>
      </c>
      <c r="K13" s="2">
        <v>0</v>
      </c>
      <c r="L13" s="2">
        <v>5260</v>
      </c>
      <c r="M13" s="2">
        <v>1209</v>
      </c>
      <c r="N13" s="2">
        <v>650</v>
      </c>
      <c r="O13" s="2">
        <v>0</v>
      </c>
      <c r="P13" s="2">
        <v>0</v>
      </c>
      <c r="Q13" s="2">
        <v>0</v>
      </c>
      <c r="R13" s="3">
        <f t="shared" si="0"/>
        <v>15728</v>
      </c>
      <c r="S13" s="3">
        <v>3950</v>
      </c>
      <c r="T13" s="3">
        <v>6535</v>
      </c>
      <c r="U13" s="5">
        <f t="shared" si="1"/>
        <v>5243</v>
      </c>
    </row>
    <row r="14" spans="1:21" ht="18.75" customHeight="1">
      <c r="A14" s="4" t="s">
        <v>22</v>
      </c>
      <c r="B14" s="10">
        <v>44939</v>
      </c>
      <c r="C14" s="2">
        <v>1535</v>
      </c>
      <c r="D14" s="2">
        <v>840</v>
      </c>
      <c r="E14" s="2">
        <v>845</v>
      </c>
      <c r="F14" s="2">
        <v>1755</v>
      </c>
      <c r="G14" s="2">
        <v>2321</v>
      </c>
      <c r="H14" s="2">
        <v>0</v>
      </c>
      <c r="I14" s="2">
        <v>495</v>
      </c>
      <c r="J14" s="2">
        <v>157</v>
      </c>
      <c r="K14" s="2">
        <v>0</v>
      </c>
      <c r="L14" s="2">
        <v>5754</v>
      </c>
      <c r="M14" s="2">
        <v>877</v>
      </c>
      <c r="N14" s="2">
        <v>260</v>
      </c>
      <c r="O14" s="2">
        <v>0</v>
      </c>
      <c r="P14" s="2">
        <v>0</v>
      </c>
      <c r="Q14" s="2">
        <v>0</v>
      </c>
      <c r="R14" s="3">
        <f t="shared" si="0"/>
        <v>14839</v>
      </c>
      <c r="S14" s="3">
        <v>4245</v>
      </c>
      <c r="T14" s="3">
        <v>8961</v>
      </c>
      <c r="U14" s="5">
        <f t="shared" si="1"/>
        <v>1633</v>
      </c>
    </row>
    <row r="15" spans="1:21" ht="18.75" customHeight="1">
      <c r="A15" s="4" t="s">
        <v>23</v>
      </c>
      <c r="B15" s="10">
        <v>44940</v>
      </c>
      <c r="C15" s="2">
        <v>1640</v>
      </c>
      <c r="D15" s="2">
        <v>1545</v>
      </c>
      <c r="E15" s="2">
        <v>0</v>
      </c>
      <c r="F15" s="2">
        <v>1689</v>
      </c>
      <c r="G15" s="2">
        <v>1648</v>
      </c>
      <c r="H15" s="2">
        <v>0</v>
      </c>
      <c r="I15" s="2">
        <v>845</v>
      </c>
      <c r="J15" s="2">
        <v>348</v>
      </c>
      <c r="K15" s="2">
        <v>0</v>
      </c>
      <c r="L15" s="2">
        <v>9556</v>
      </c>
      <c r="M15" s="2">
        <v>1400</v>
      </c>
      <c r="N15" s="2">
        <v>165</v>
      </c>
      <c r="O15" s="2">
        <v>0</v>
      </c>
      <c r="P15" s="2">
        <v>0</v>
      </c>
      <c r="Q15" s="2">
        <v>0</v>
      </c>
      <c r="R15" s="3">
        <f t="shared" si="0"/>
        <v>18836</v>
      </c>
      <c r="S15" s="3">
        <v>4590</v>
      </c>
      <c r="T15" s="3">
        <v>8251</v>
      </c>
      <c r="U15" s="5">
        <f t="shared" si="1"/>
        <v>5995</v>
      </c>
    </row>
    <row r="16" spans="1:21" ht="18.75" customHeight="1">
      <c r="A16" s="4" t="s">
        <v>17</v>
      </c>
      <c r="B16" s="10">
        <v>44941</v>
      </c>
      <c r="C16" s="2">
        <v>1770</v>
      </c>
      <c r="D16" s="2">
        <v>680</v>
      </c>
      <c r="E16" s="2">
        <v>0</v>
      </c>
      <c r="F16" s="2">
        <v>1349</v>
      </c>
      <c r="G16" s="2">
        <v>2848</v>
      </c>
      <c r="H16" s="2">
        <v>0</v>
      </c>
      <c r="I16" s="2">
        <v>675</v>
      </c>
      <c r="J16" s="2">
        <v>724</v>
      </c>
      <c r="K16" s="2">
        <v>0</v>
      </c>
      <c r="L16" s="2">
        <v>13365</v>
      </c>
      <c r="M16" s="2">
        <v>1306</v>
      </c>
      <c r="N16" s="2">
        <v>195</v>
      </c>
      <c r="O16" s="2">
        <v>0</v>
      </c>
      <c r="P16" s="2">
        <v>0</v>
      </c>
      <c r="Q16" s="2">
        <v>0</v>
      </c>
      <c r="R16" s="3">
        <f t="shared" si="0"/>
        <v>22912</v>
      </c>
      <c r="S16" s="3">
        <v>4835</v>
      </c>
      <c r="T16" s="3">
        <v>5478</v>
      </c>
      <c r="U16" s="5">
        <f t="shared" si="1"/>
        <v>12599</v>
      </c>
    </row>
    <row r="17" spans="1:21" ht="18.75" customHeight="1">
      <c r="A17" s="4" t="s">
        <v>18</v>
      </c>
      <c r="B17" s="10">
        <v>44942</v>
      </c>
      <c r="C17" s="2">
        <v>1214</v>
      </c>
      <c r="D17" s="2">
        <v>675</v>
      </c>
      <c r="E17" s="2">
        <v>605</v>
      </c>
      <c r="F17" s="2">
        <v>1670</v>
      </c>
      <c r="G17" s="2">
        <v>2300</v>
      </c>
      <c r="H17" s="2">
        <v>0</v>
      </c>
      <c r="I17" s="2">
        <v>875</v>
      </c>
      <c r="J17" s="2">
        <v>0</v>
      </c>
      <c r="K17" s="2">
        <v>0</v>
      </c>
      <c r="L17" s="2">
        <v>4774</v>
      </c>
      <c r="M17" s="2">
        <v>440</v>
      </c>
      <c r="N17" s="2">
        <v>0</v>
      </c>
      <c r="O17" s="2">
        <v>0</v>
      </c>
      <c r="P17" s="2">
        <v>0</v>
      </c>
      <c r="Q17" s="2">
        <v>0</v>
      </c>
      <c r="R17" s="3">
        <f t="shared" si="0"/>
        <v>12553</v>
      </c>
      <c r="S17" s="3">
        <v>5107</v>
      </c>
      <c r="T17" s="3">
        <v>8092</v>
      </c>
      <c r="U17" s="5">
        <f t="shared" si="1"/>
        <v>-646</v>
      </c>
    </row>
    <row r="18" spans="1:21" ht="18.75" customHeight="1">
      <c r="A18" s="4" t="s">
        <v>19</v>
      </c>
      <c r="B18" s="10">
        <v>44943</v>
      </c>
      <c r="C18" s="2">
        <v>1235</v>
      </c>
      <c r="D18" s="2">
        <v>845</v>
      </c>
      <c r="E18" s="2">
        <v>255</v>
      </c>
      <c r="F18" s="2">
        <v>1440</v>
      </c>
      <c r="G18" s="2">
        <v>2960</v>
      </c>
      <c r="H18" s="2">
        <v>0</v>
      </c>
      <c r="I18" s="2">
        <v>755</v>
      </c>
      <c r="J18" s="2">
        <v>373</v>
      </c>
      <c r="K18" s="2">
        <v>0</v>
      </c>
      <c r="L18" s="2">
        <v>5845</v>
      </c>
      <c r="M18" s="2">
        <v>1024</v>
      </c>
      <c r="N18" s="2">
        <v>193</v>
      </c>
      <c r="O18" s="2">
        <v>0</v>
      </c>
      <c r="P18" s="2">
        <v>0</v>
      </c>
      <c r="Q18" s="2">
        <v>0</v>
      </c>
      <c r="R18" s="3">
        <f t="shared" si="0"/>
        <v>14925</v>
      </c>
      <c r="S18" s="3">
        <v>4375</v>
      </c>
      <c r="T18" s="3">
        <v>5604</v>
      </c>
      <c r="U18" s="5">
        <f t="shared" si="1"/>
        <v>4946</v>
      </c>
    </row>
    <row r="19" spans="1:21" ht="18.75" customHeight="1">
      <c r="A19" s="4" t="s">
        <v>20</v>
      </c>
      <c r="B19" s="10">
        <v>44944</v>
      </c>
      <c r="C19" s="2">
        <v>2090</v>
      </c>
      <c r="D19" s="2">
        <v>1230</v>
      </c>
      <c r="E19" s="2">
        <v>355</v>
      </c>
      <c r="F19" s="2">
        <v>1370</v>
      </c>
      <c r="G19" s="2">
        <v>1276</v>
      </c>
      <c r="H19" s="2">
        <v>0</v>
      </c>
      <c r="I19" s="2">
        <v>135</v>
      </c>
      <c r="J19" s="2">
        <v>206</v>
      </c>
      <c r="K19" s="2">
        <v>0</v>
      </c>
      <c r="L19" s="2">
        <v>4812</v>
      </c>
      <c r="M19" s="2">
        <v>989</v>
      </c>
      <c r="N19" s="2">
        <v>693</v>
      </c>
      <c r="O19" s="2">
        <v>0</v>
      </c>
      <c r="P19" s="2">
        <v>0</v>
      </c>
      <c r="Q19" s="2">
        <v>0</v>
      </c>
      <c r="R19" s="3">
        <f t="shared" si="0"/>
        <v>13156</v>
      </c>
      <c r="S19" s="3">
        <v>4055</v>
      </c>
      <c r="T19" s="3">
        <v>7184</v>
      </c>
      <c r="U19" s="5">
        <f t="shared" si="1"/>
        <v>1917</v>
      </c>
    </row>
    <row r="20" spans="1:21" ht="18.75" customHeight="1">
      <c r="A20" s="4" t="s">
        <v>21</v>
      </c>
      <c r="B20" s="10">
        <v>44945</v>
      </c>
      <c r="C20" s="2">
        <v>2105</v>
      </c>
      <c r="D20" s="2">
        <v>1030</v>
      </c>
      <c r="E20" s="2">
        <v>110</v>
      </c>
      <c r="F20" s="2">
        <v>1900</v>
      </c>
      <c r="G20" s="2">
        <v>1772</v>
      </c>
      <c r="H20" s="2">
        <v>0</v>
      </c>
      <c r="I20" s="2">
        <v>930</v>
      </c>
      <c r="J20" s="2">
        <v>324</v>
      </c>
      <c r="K20" s="2">
        <v>0</v>
      </c>
      <c r="L20" s="2">
        <v>5681</v>
      </c>
      <c r="M20" s="2">
        <v>637</v>
      </c>
      <c r="N20" s="2">
        <v>95</v>
      </c>
      <c r="O20" s="2">
        <v>0</v>
      </c>
      <c r="P20" s="2">
        <v>0</v>
      </c>
      <c r="Q20" s="2">
        <v>0</v>
      </c>
      <c r="R20" s="3">
        <f t="shared" si="0"/>
        <v>14584</v>
      </c>
      <c r="S20" s="3">
        <v>4335</v>
      </c>
      <c r="T20" s="3">
        <v>8009</v>
      </c>
      <c r="U20" s="5">
        <f t="shared" si="1"/>
        <v>2240</v>
      </c>
    </row>
    <row r="21" spans="1:21" ht="18.75" customHeight="1">
      <c r="A21" s="4" t="s">
        <v>22</v>
      </c>
      <c r="B21" s="10">
        <v>44946</v>
      </c>
      <c r="C21" s="2">
        <v>1400</v>
      </c>
      <c r="D21" s="2">
        <v>1025</v>
      </c>
      <c r="E21" s="2">
        <v>380</v>
      </c>
      <c r="F21" s="2">
        <v>1296</v>
      </c>
      <c r="G21" s="2">
        <v>1199</v>
      </c>
      <c r="H21" s="2">
        <v>0</v>
      </c>
      <c r="I21" s="2">
        <v>690</v>
      </c>
      <c r="J21" s="2">
        <v>637</v>
      </c>
      <c r="K21" s="2">
        <v>0</v>
      </c>
      <c r="L21" s="2">
        <v>8900</v>
      </c>
      <c r="M21" s="2">
        <v>200</v>
      </c>
      <c r="N21" s="2">
        <v>230</v>
      </c>
      <c r="O21" s="2">
        <v>0</v>
      </c>
      <c r="P21" s="2">
        <v>0</v>
      </c>
      <c r="Q21" s="2">
        <v>0</v>
      </c>
      <c r="R21" s="3">
        <f t="shared" si="0"/>
        <v>15957</v>
      </c>
      <c r="S21" s="3">
        <v>4330</v>
      </c>
      <c r="T21" s="3">
        <v>7371</v>
      </c>
      <c r="U21" s="5">
        <f t="shared" si="1"/>
        <v>4256</v>
      </c>
    </row>
    <row r="22" spans="1:21" ht="18.75" customHeight="1">
      <c r="A22" s="4" t="s">
        <v>23</v>
      </c>
      <c r="B22" s="10">
        <v>44947</v>
      </c>
      <c r="C22" s="2">
        <v>1375</v>
      </c>
      <c r="D22" s="2">
        <v>1436</v>
      </c>
      <c r="E22" s="2">
        <v>0</v>
      </c>
      <c r="F22" s="2">
        <v>1764</v>
      </c>
      <c r="G22" s="2">
        <v>2019</v>
      </c>
      <c r="H22" s="2">
        <v>0</v>
      </c>
      <c r="I22" s="2">
        <v>685</v>
      </c>
      <c r="J22" s="2">
        <v>526</v>
      </c>
      <c r="K22" s="2">
        <v>0</v>
      </c>
      <c r="L22" s="2">
        <v>11131</v>
      </c>
      <c r="M22" s="2">
        <v>962</v>
      </c>
      <c r="N22" s="2">
        <v>245</v>
      </c>
      <c r="O22" s="2">
        <v>0</v>
      </c>
      <c r="P22" s="2">
        <v>0</v>
      </c>
      <c r="Q22" s="2">
        <v>0</v>
      </c>
      <c r="R22" s="3">
        <f t="shared" si="0"/>
        <v>20143</v>
      </c>
      <c r="S22" s="3">
        <v>4760</v>
      </c>
      <c r="T22" s="3">
        <v>6178</v>
      </c>
      <c r="U22" s="5">
        <f t="shared" si="1"/>
        <v>9205</v>
      </c>
    </row>
    <row r="23" spans="1:21" ht="18.75" customHeight="1">
      <c r="A23" s="4" t="s">
        <v>17</v>
      </c>
      <c r="B23" s="10">
        <v>44948</v>
      </c>
      <c r="C23" s="2">
        <v>1035</v>
      </c>
      <c r="D23" s="2">
        <v>865</v>
      </c>
      <c r="E23" s="2">
        <v>0</v>
      </c>
      <c r="F23" s="2">
        <v>1798</v>
      </c>
      <c r="G23" s="2">
        <v>1899</v>
      </c>
      <c r="H23" s="2">
        <v>0</v>
      </c>
      <c r="I23" s="2">
        <v>550</v>
      </c>
      <c r="J23" s="2">
        <v>772</v>
      </c>
      <c r="K23" s="2">
        <v>0</v>
      </c>
      <c r="L23" s="2">
        <v>6710</v>
      </c>
      <c r="M23" s="2">
        <v>2475</v>
      </c>
      <c r="N23" s="2">
        <v>270</v>
      </c>
      <c r="O23" s="2">
        <v>0</v>
      </c>
      <c r="P23" s="2">
        <v>0</v>
      </c>
      <c r="Q23" s="2">
        <v>0</v>
      </c>
      <c r="R23" s="3">
        <f t="shared" si="0"/>
        <v>16374</v>
      </c>
      <c r="S23" s="3">
        <v>4470</v>
      </c>
      <c r="T23" s="3">
        <v>7011</v>
      </c>
      <c r="U23" s="5">
        <f t="shared" si="1"/>
        <v>4893</v>
      </c>
    </row>
    <row r="24" spans="1:21" ht="18.75" customHeight="1">
      <c r="A24" s="4" t="s">
        <v>18</v>
      </c>
      <c r="B24" s="10">
        <v>44949</v>
      </c>
      <c r="C24" s="2">
        <v>1315</v>
      </c>
      <c r="D24" s="2">
        <v>815</v>
      </c>
      <c r="E24" s="2">
        <v>300</v>
      </c>
      <c r="F24" s="2">
        <v>1305</v>
      </c>
      <c r="G24" s="2">
        <v>1538</v>
      </c>
      <c r="H24" s="2">
        <v>0</v>
      </c>
      <c r="I24" s="2">
        <v>550</v>
      </c>
      <c r="J24" s="2">
        <v>564</v>
      </c>
      <c r="K24" s="2">
        <v>0</v>
      </c>
      <c r="L24" s="2">
        <v>6848</v>
      </c>
      <c r="M24" s="2">
        <v>344</v>
      </c>
      <c r="N24" s="2">
        <v>210</v>
      </c>
      <c r="O24" s="2">
        <v>0</v>
      </c>
      <c r="P24" s="2">
        <v>0</v>
      </c>
      <c r="Q24" s="2">
        <v>0</v>
      </c>
      <c r="R24" s="3">
        <f t="shared" si="0"/>
        <v>13789</v>
      </c>
      <c r="S24" s="3">
        <v>4440</v>
      </c>
      <c r="T24" s="3">
        <v>9580</v>
      </c>
      <c r="U24" s="5">
        <f t="shared" si="1"/>
        <v>-231</v>
      </c>
    </row>
    <row r="25" spans="1:21" ht="18.75" customHeight="1">
      <c r="A25" s="4" t="s">
        <v>19</v>
      </c>
      <c r="B25" s="10">
        <v>44950</v>
      </c>
      <c r="C25" s="2">
        <v>1180</v>
      </c>
      <c r="D25" s="2">
        <v>935</v>
      </c>
      <c r="E25" s="2">
        <v>420</v>
      </c>
      <c r="F25" s="2">
        <v>1075</v>
      </c>
      <c r="G25" s="2">
        <v>1595</v>
      </c>
      <c r="H25" s="2">
        <v>0</v>
      </c>
      <c r="I25" s="2">
        <v>495</v>
      </c>
      <c r="J25" s="2">
        <v>438</v>
      </c>
      <c r="K25" s="2">
        <v>0</v>
      </c>
      <c r="L25" s="2">
        <v>4586</v>
      </c>
      <c r="M25" s="2">
        <v>490</v>
      </c>
      <c r="N25" s="2">
        <v>0</v>
      </c>
      <c r="O25" s="2">
        <v>0</v>
      </c>
      <c r="P25" s="2">
        <v>0</v>
      </c>
      <c r="Q25" s="2">
        <v>0</v>
      </c>
      <c r="R25" s="3">
        <f t="shared" si="0"/>
        <v>11214</v>
      </c>
      <c r="S25" s="3">
        <v>5250</v>
      </c>
      <c r="T25" s="3">
        <v>7217</v>
      </c>
      <c r="U25" s="5">
        <f t="shared" si="1"/>
        <v>-1253</v>
      </c>
    </row>
    <row r="26" spans="1:21" ht="18.75" customHeight="1">
      <c r="A26" s="4" t="s">
        <v>20</v>
      </c>
      <c r="B26" s="10">
        <v>44951</v>
      </c>
      <c r="C26" s="2">
        <v>1950</v>
      </c>
      <c r="D26" s="2">
        <v>930</v>
      </c>
      <c r="E26" s="2">
        <v>0</v>
      </c>
      <c r="F26" s="2">
        <v>1590</v>
      </c>
      <c r="G26" s="2">
        <v>1560</v>
      </c>
      <c r="H26" s="2">
        <v>0</v>
      </c>
      <c r="I26" s="2">
        <v>1320</v>
      </c>
      <c r="J26" s="2">
        <v>985</v>
      </c>
      <c r="K26" s="2">
        <v>0</v>
      </c>
      <c r="L26" s="2">
        <v>5762</v>
      </c>
      <c r="M26" s="2">
        <v>1377</v>
      </c>
      <c r="N26" s="2">
        <v>355</v>
      </c>
      <c r="O26" s="2">
        <v>0</v>
      </c>
      <c r="P26" s="2">
        <v>0</v>
      </c>
      <c r="Q26" s="2">
        <v>0</v>
      </c>
      <c r="R26" s="3">
        <f t="shared" si="0"/>
        <v>15829</v>
      </c>
      <c r="S26" s="3">
        <v>3820</v>
      </c>
      <c r="T26" s="3">
        <v>7332</v>
      </c>
      <c r="U26" s="5">
        <f t="shared" si="1"/>
        <v>4677</v>
      </c>
    </row>
    <row r="27" spans="1:21" ht="18.75" customHeight="1">
      <c r="A27" s="4" t="s">
        <v>21</v>
      </c>
      <c r="B27" s="10">
        <v>44952</v>
      </c>
      <c r="C27" s="2">
        <v>810</v>
      </c>
      <c r="D27" s="2">
        <v>835</v>
      </c>
      <c r="E27" s="2">
        <v>490</v>
      </c>
      <c r="F27" s="2">
        <v>1240</v>
      </c>
      <c r="G27" s="2">
        <v>1510</v>
      </c>
      <c r="H27" s="2">
        <v>0</v>
      </c>
      <c r="I27" s="2">
        <v>620</v>
      </c>
      <c r="J27" s="2">
        <v>565</v>
      </c>
      <c r="K27" s="2">
        <v>0</v>
      </c>
      <c r="L27" s="2">
        <v>4206</v>
      </c>
      <c r="M27" s="2">
        <v>1261</v>
      </c>
      <c r="N27" s="2">
        <v>0</v>
      </c>
      <c r="O27" s="2">
        <v>0</v>
      </c>
      <c r="P27" s="2">
        <v>0</v>
      </c>
      <c r="Q27" s="2">
        <v>0</v>
      </c>
      <c r="R27" s="3">
        <f t="shared" si="0"/>
        <v>11537</v>
      </c>
      <c r="S27" s="3">
        <v>4430</v>
      </c>
      <c r="T27" s="3">
        <v>7338</v>
      </c>
      <c r="U27" s="5">
        <f t="shared" si="1"/>
        <v>-231</v>
      </c>
    </row>
    <row r="28" spans="1:21" ht="18.75" customHeight="1">
      <c r="A28" s="4" t="s">
        <v>22</v>
      </c>
      <c r="B28" s="10">
        <v>44953</v>
      </c>
      <c r="C28" s="2">
        <v>1440</v>
      </c>
      <c r="D28" s="2">
        <v>1460</v>
      </c>
      <c r="E28" s="2">
        <v>960</v>
      </c>
      <c r="F28" s="2">
        <v>1025</v>
      </c>
      <c r="G28" s="2">
        <v>1696</v>
      </c>
      <c r="H28" s="2">
        <v>0</v>
      </c>
      <c r="I28" s="2">
        <v>920</v>
      </c>
      <c r="J28" s="2">
        <v>705</v>
      </c>
      <c r="K28" s="2">
        <v>0</v>
      </c>
      <c r="L28" s="2">
        <v>3257</v>
      </c>
      <c r="M28" s="2">
        <v>2230</v>
      </c>
      <c r="N28" s="2">
        <v>547</v>
      </c>
      <c r="O28" s="2">
        <v>0</v>
      </c>
      <c r="P28" s="2">
        <v>0</v>
      </c>
      <c r="Q28" s="2">
        <v>0</v>
      </c>
      <c r="R28" s="3">
        <f t="shared" si="0"/>
        <v>14240</v>
      </c>
      <c r="S28" s="3">
        <v>4385</v>
      </c>
      <c r="T28" s="3">
        <v>7517</v>
      </c>
      <c r="U28" s="5">
        <f t="shared" si="1"/>
        <v>2338</v>
      </c>
    </row>
    <row r="29" spans="1:21" ht="18.75" customHeight="1">
      <c r="A29" s="4" t="s">
        <v>23</v>
      </c>
      <c r="B29" s="10">
        <v>44954</v>
      </c>
      <c r="C29" s="2">
        <v>1345</v>
      </c>
      <c r="D29" s="2">
        <v>1160</v>
      </c>
      <c r="E29" s="2">
        <v>0</v>
      </c>
      <c r="F29" s="2">
        <v>1670</v>
      </c>
      <c r="G29" s="2">
        <v>1765</v>
      </c>
      <c r="H29" s="2">
        <v>0</v>
      </c>
      <c r="I29" s="2">
        <v>130</v>
      </c>
      <c r="J29" s="2">
        <v>810</v>
      </c>
      <c r="K29" s="2">
        <v>0</v>
      </c>
      <c r="L29" s="2">
        <v>7416</v>
      </c>
      <c r="M29" s="2">
        <v>553</v>
      </c>
      <c r="N29" s="2">
        <v>0</v>
      </c>
      <c r="O29" s="2">
        <v>0</v>
      </c>
      <c r="P29" s="2">
        <v>0</v>
      </c>
      <c r="Q29" s="2">
        <v>0</v>
      </c>
      <c r="R29" s="3">
        <f t="shared" si="0"/>
        <v>14849</v>
      </c>
      <c r="S29" s="3">
        <v>3700</v>
      </c>
      <c r="T29" s="3">
        <v>5726</v>
      </c>
      <c r="U29" s="5">
        <f t="shared" si="1"/>
        <v>5423</v>
      </c>
    </row>
    <row r="30" spans="1:21" ht="18.75" customHeight="1">
      <c r="A30" s="4" t="s">
        <v>17</v>
      </c>
      <c r="B30" s="10">
        <v>44955</v>
      </c>
      <c r="C30" s="2">
        <v>930</v>
      </c>
      <c r="D30" s="2">
        <v>1437</v>
      </c>
      <c r="E30" s="2">
        <v>0</v>
      </c>
      <c r="F30" s="2">
        <v>1188.5</v>
      </c>
      <c r="G30" s="2">
        <v>2043</v>
      </c>
      <c r="H30" s="2">
        <v>0</v>
      </c>
      <c r="I30" s="2">
        <v>320</v>
      </c>
      <c r="J30" s="2">
        <v>275</v>
      </c>
      <c r="K30" s="2">
        <v>0</v>
      </c>
      <c r="L30" s="2">
        <v>8818</v>
      </c>
      <c r="M30" s="2">
        <v>512</v>
      </c>
      <c r="N30" s="2">
        <v>0</v>
      </c>
      <c r="O30" s="2">
        <v>0</v>
      </c>
      <c r="P30" s="2">
        <v>0</v>
      </c>
      <c r="Q30" s="2">
        <v>0</v>
      </c>
      <c r="R30" s="3">
        <f t="shared" si="0"/>
        <v>15523.5</v>
      </c>
      <c r="S30" s="3">
        <v>4560</v>
      </c>
      <c r="T30" s="3">
        <v>4419</v>
      </c>
      <c r="U30" s="5">
        <f t="shared" si="1"/>
        <v>6544.5</v>
      </c>
    </row>
    <row r="31" spans="1:21" ht="19.149999999999999" customHeight="1">
      <c r="A31" s="4" t="s">
        <v>18</v>
      </c>
      <c r="B31" s="10">
        <v>44956</v>
      </c>
      <c r="C31" s="2">
        <v>484</v>
      </c>
      <c r="D31" s="2">
        <v>598</v>
      </c>
      <c r="E31" s="2">
        <v>1482</v>
      </c>
      <c r="F31" s="2">
        <v>1561</v>
      </c>
      <c r="G31" s="2">
        <v>1055</v>
      </c>
      <c r="H31" s="2">
        <v>2410</v>
      </c>
      <c r="I31" s="2">
        <v>0</v>
      </c>
      <c r="J31" s="2">
        <v>0</v>
      </c>
      <c r="K31" s="2">
        <v>0</v>
      </c>
      <c r="L31" s="2">
        <v>4779</v>
      </c>
      <c r="M31" s="2">
        <v>237</v>
      </c>
      <c r="N31" s="2">
        <v>265</v>
      </c>
      <c r="O31" s="2">
        <v>0</v>
      </c>
      <c r="P31" s="2">
        <v>0</v>
      </c>
      <c r="Q31" s="2">
        <v>0</v>
      </c>
      <c r="R31" s="3">
        <f t="shared" si="0"/>
        <v>12871</v>
      </c>
      <c r="S31" s="3">
        <v>3480</v>
      </c>
      <c r="T31" s="3">
        <v>5998.5</v>
      </c>
      <c r="U31" s="5">
        <f t="shared" si="1"/>
        <v>3392.5</v>
      </c>
    </row>
    <row r="32" spans="1:21" ht="19.149999999999999" customHeight="1">
      <c r="A32" s="4" t="s">
        <v>19</v>
      </c>
      <c r="B32" s="10">
        <v>44957</v>
      </c>
      <c r="C32" s="2">
        <v>1735</v>
      </c>
      <c r="D32" s="2">
        <v>1075</v>
      </c>
      <c r="E32" s="2">
        <v>685</v>
      </c>
      <c r="F32" s="2">
        <v>2470</v>
      </c>
      <c r="G32" s="2">
        <v>2291</v>
      </c>
      <c r="H32" s="2">
        <v>0</v>
      </c>
      <c r="I32" s="2">
        <v>645</v>
      </c>
      <c r="J32" s="2">
        <v>846</v>
      </c>
      <c r="K32" s="2">
        <v>0</v>
      </c>
      <c r="L32" s="2">
        <v>4489</v>
      </c>
      <c r="M32" s="2">
        <v>1176</v>
      </c>
      <c r="N32" s="2">
        <v>504</v>
      </c>
      <c r="O32" s="2">
        <v>0</v>
      </c>
      <c r="P32" s="2">
        <v>0</v>
      </c>
      <c r="Q32" s="2">
        <v>0</v>
      </c>
      <c r="R32" s="3">
        <f t="shared" si="0"/>
        <v>15916</v>
      </c>
      <c r="S32" s="3">
        <v>3880</v>
      </c>
      <c r="T32" s="3">
        <v>5359</v>
      </c>
      <c r="U32" s="5">
        <f t="shared" si="1"/>
        <v>6677</v>
      </c>
    </row>
    <row r="33" spans="1:21" ht="18.75" customHeight="1">
      <c r="A33" s="6" t="s">
        <v>24</v>
      </c>
      <c r="B33" s="10">
        <v>44958</v>
      </c>
      <c r="C33" s="2">
        <v>1850</v>
      </c>
      <c r="D33" s="2">
        <v>800</v>
      </c>
      <c r="E33" s="2">
        <v>0</v>
      </c>
      <c r="F33" s="2">
        <v>2298</v>
      </c>
      <c r="G33" s="2">
        <v>2026</v>
      </c>
      <c r="H33" s="2">
        <v>0</v>
      </c>
      <c r="I33" s="2">
        <v>715</v>
      </c>
      <c r="J33" s="2">
        <v>769</v>
      </c>
      <c r="K33" s="2">
        <v>0</v>
      </c>
      <c r="L33" s="2">
        <v>5547</v>
      </c>
      <c r="M33" s="2">
        <v>400</v>
      </c>
      <c r="N33" s="2">
        <v>110</v>
      </c>
      <c r="O33" s="2">
        <v>0</v>
      </c>
      <c r="P33" s="2">
        <v>0</v>
      </c>
      <c r="Q33" s="2">
        <v>0</v>
      </c>
      <c r="R33" s="3">
        <f t="shared" si="0"/>
        <v>14515</v>
      </c>
      <c r="S33" s="3">
        <v>4570</v>
      </c>
      <c r="T33" s="3">
        <v>6471</v>
      </c>
      <c r="U33" s="5">
        <f t="shared" si="1"/>
        <v>3474</v>
      </c>
    </row>
    <row r="34" spans="1:21" ht="18.75" customHeight="1">
      <c r="A34" s="6" t="s">
        <v>21</v>
      </c>
      <c r="B34" s="10">
        <v>44959</v>
      </c>
      <c r="C34" s="2">
        <v>1590</v>
      </c>
      <c r="D34" s="2">
        <v>1030</v>
      </c>
      <c r="E34" s="2">
        <v>515</v>
      </c>
      <c r="F34" s="2">
        <v>2445</v>
      </c>
      <c r="G34" s="2">
        <v>2326</v>
      </c>
      <c r="H34" s="2">
        <v>0</v>
      </c>
      <c r="I34" s="2">
        <v>581</v>
      </c>
      <c r="J34" s="2">
        <v>388</v>
      </c>
      <c r="K34" s="2">
        <v>0</v>
      </c>
      <c r="L34" s="2">
        <v>5974</v>
      </c>
      <c r="M34" s="2">
        <v>1885</v>
      </c>
      <c r="N34" s="2">
        <v>85</v>
      </c>
      <c r="O34" s="2">
        <v>0</v>
      </c>
      <c r="P34" s="2">
        <v>0</v>
      </c>
      <c r="Q34" s="2">
        <v>0</v>
      </c>
      <c r="R34" s="3">
        <f t="shared" si="0"/>
        <v>16819</v>
      </c>
      <c r="S34" s="3">
        <v>4400</v>
      </c>
      <c r="T34" s="3">
        <v>8524</v>
      </c>
      <c r="U34" s="5">
        <f t="shared" si="1"/>
        <v>3895</v>
      </c>
    </row>
    <row r="35" spans="1:21" ht="18.75" customHeight="1">
      <c r="A35" s="6" t="s">
        <v>22</v>
      </c>
      <c r="B35" s="10">
        <v>44960</v>
      </c>
      <c r="C35" s="2">
        <v>1320</v>
      </c>
      <c r="D35" s="2">
        <v>1610</v>
      </c>
      <c r="E35" s="2">
        <v>0</v>
      </c>
      <c r="F35" s="2">
        <v>1875</v>
      </c>
      <c r="G35" s="2">
        <v>2502</v>
      </c>
      <c r="H35" s="2">
        <v>0</v>
      </c>
      <c r="I35" s="2">
        <v>500</v>
      </c>
      <c r="J35" s="2">
        <v>910</v>
      </c>
      <c r="K35" s="2">
        <v>0</v>
      </c>
      <c r="L35" s="2">
        <v>5981</v>
      </c>
      <c r="M35" s="2">
        <v>537</v>
      </c>
      <c r="N35" s="2">
        <v>0</v>
      </c>
      <c r="O35" s="2">
        <v>0</v>
      </c>
      <c r="P35" s="2">
        <v>0</v>
      </c>
      <c r="Q35" s="2">
        <v>0</v>
      </c>
      <c r="R35" s="3">
        <f t="shared" ref="R35:R66" si="2">SUM(C35:N35)</f>
        <v>15235</v>
      </c>
      <c r="S35" s="3">
        <v>4270</v>
      </c>
      <c r="T35" s="3">
        <v>9036</v>
      </c>
      <c r="U35" s="5">
        <f t="shared" si="1"/>
        <v>1929</v>
      </c>
    </row>
    <row r="36" spans="1:21" ht="18.75" customHeight="1">
      <c r="A36" s="6" t="s">
        <v>23</v>
      </c>
      <c r="B36" s="10">
        <v>44961</v>
      </c>
      <c r="C36" s="2">
        <v>1150</v>
      </c>
      <c r="D36" s="2">
        <v>1450</v>
      </c>
      <c r="E36" s="2">
        <v>0</v>
      </c>
      <c r="F36" s="2">
        <v>1665</v>
      </c>
      <c r="G36" s="2">
        <v>3097</v>
      </c>
      <c r="H36" s="2">
        <v>0</v>
      </c>
      <c r="I36" s="2">
        <v>310</v>
      </c>
      <c r="J36" s="2">
        <v>994</v>
      </c>
      <c r="K36" s="2">
        <v>0</v>
      </c>
      <c r="L36" s="2">
        <v>6744</v>
      </c>
      <c r="M36" s="2">
        <v>690</v>
      </c>
      <c r="N36" s="2">
        <v>221</v>
      </c>
      <c r="O36" s="2">
        <v>0</v>
      </c>
      <c r="P36" s="2">
        <v>0</v>
      </c>
      <c r="Q36" s="2">
        <v>0</v>
      </c>
      <c r="R36" s="3">
        <f t="shared" si="2"/>
        <v>16321</v>
      </c>
      <c r="S36" s="3">
        <v>2310</v>
      </c>
      <c r="T36" s="3">
        <v>7846</v>
      </c>
      <c r="U36" s="5">
        <f t="shared" si="1"/>
        <v>6165</v>
      </c>
    </row>
    <row r="37" spans="1:21" ht="18.75" customHeight="1">
      <c r="A37" s="6" t="s">
        <v>17</v>
      </c>
      <c r="B37" s="10">
        <v>44962</v>
      </c>
      <c r="C37" s="2">
        <v>1270</v>
      </c>
      <c r="D37" s="2">
        <v>856</v>
      </c>
      <c r="E37" s="2">
        <v>0</v>
      </c>
      <c r="F37" s="2">
        <v>1740</v>
      </c>
      <c r="G37" s="2">
        <v>2036</v>
      </c>
      <c r="H37" s="2">
        <v>1120</v>
      </c>
      <c r="I37" s="2">
        <v>550</v>
      </c>
      <c r="J37" s="2">
        <v>1080</v>
      </c>
      <c r="K37" s="2">
        <v>0</v>
      </c>
      <c r="L37" s="2">
        <v>9316</v>
      </c>
      <c r="M37" s="2">
        <v>1779</v>
      </c>
      <c r="N37" s="2">
        <v>176</v>
      </c>
      <c r="O37" s="2">
        <v>0</v>
      </c>
      <c r="P37" s="2">
        <v>0</v>
      </c>
      <c r="Q37" s="2">
        <v>0</v>
      </c>
      <c r="R37" s="3">
        <f t="shared" si="2"/>
        <v>19923</v>
      </c>
      <c r="S37" s="3">
        <v>6360</v>
      </c>
      <c r="T37" s="3">
        <v>6763</v>
      </c>
      <c r="U37" s="5">
        <f t="shared" si="1"/>
        <v>6800</v>
      </c>
    </row>
    <row r="38" spans="1:21" ht="18.75" customHeight="1">
      <c r="A38" s="6" t="s">
        <v>18</v>
      </c>
      <c r="B38" s="10">
        <v>44963</v>
      </c>
      <c r="C38" s="2">
        <v>1495</v>
      </c>
      <c r="D38" s="2">
        <v>1300</v>
      </c>
      <c r="E38" s="2">
        <v>0</v>
      </c>
      <c r="F38" s="2">
        <v>2190</v>
      </c>
      <c r="G38" s="2">
        <v>2267</v>
      </c>
      <c r="H38" s="2">
        <v>770</v>
      </c>
      <c r="I38" s="2">
        <v>775</v>
      </c>
      <c r="J38" s="2">
        <v>1308</v>
      </c>
      <c r="K38" s="2">
        <v>0</v>
      </c>
      <c r="L38" s="2">
        <v>12233</v>
      </c>
      <c r="M38" s="2">
        <v>1731</v>
      </c>
      <c r="N38" s="2">
        <v>402</v>
      </c>
      <c r="O38" s="2">
        <v>0</v>
      </c>
      <c r="P38" s="2">
        <v>0</v>
      </c>
      <c r="Q38" s="2">
        <v>0</v>
      </c>
      <c r="R38" s="3">
        <f t="shared" si="2"/>
        <v>24471</v>
      </c>
      <c r="S38" s="3">
        <v>6055</v>
      </c>
      <c r="T38" s="3">
        <v>9988</v>
      </c>
      <c r="U38" s="5">
        <f t="shared" si="1"/>
        <v>8428</v>
      </c>
    </row>
    <row r="39" spans="1:21" ht="18.75" customHeight="1">
      <c r="A39" s="6" t="s">
        <v>19</v>
      </c>
      <c r="B39" s="10">
        <v>44964</v>
      </c>
      <c r="C39" s="2">
        <v>930</v>
      </c>
      <c r="D39" s="2">
        <v>1125</v>
      </c>
      <c r="E39" s="2">
        <v>0</v>
      </c>
      <c r="F39" s="2">
        <v>2080</v>
      </c>
      <c r="G39" s="2">
        <v>1678</v>
      </c>
      <c r="H39" s="2">
        <v>0</v>
      </c>
      <c r="I39" s="2">
        <v>720</v>
      </c>
      <c r="J39" s="2">
        <v>494</v>
      </c>
      <c r="K39" s="2">
        <v>0</v>
      </c>
      <c r="L39" s="2">
        <v>6103</v>
      </c>
      <c r="M39" s="2">
        <v>365</v>
      </c>
      <c r="N39" s="2">
        <v>90</v>
      </c>
      <c r="O39" s="2">
        <v>0</v>
      </c>
      <c r="P39" s="2">
        <v>0</v>
      </c>
      <c r="Q39" s="2">
        <v>0</v>
      </c>
      <c r="R39" s="3">
        <f t="shared" si="2"/>
        <v>13585</v>
      </c>
      <c r="S39" s="3">
        <v>4290</v>
      </c>
      <c r="T39" s="3">
        <v>7232</v>
      </c>
      <c r="U39" s="5">
        <f t="shared" si="1"/>
        <v>2063</v>
      </c>
    </row>
    <row r="40" spans="1:21" ht="18.75" customHeight="1">
      <c r="A40" s="6" t="s">
        <v>20</v>
      </c>
      <c r="B40" s="10">
        <v>44965</v>
      </c>
      <c r="C40" s="2">
        <v>1218</v>
      </c>
      <c r="D40" s="2">
        <v>690</v>
      </c>
      <c r="E40" s="2">
        <v>783</v>
      </c>
      <c r="F40" s="2">
        <v>860</v>
      </c>
      <c r="G40" s="2">
        <v>1155</v>
      </c>
      <c r="H40" s="2">
        <v>0</v>
      </c>
      <c r="I40" s="2">
        <v>725</v>
      </c>
      <c r="J40" s="2">
        <v>768</v>
      </c>
      <c r="K40" s="2">
        <v>0</v>
      </c>
      <c r="L40" s="2">
        <v>6030</v>
      </c>
      <c r="M40" s="2">
        <v>502</v>
      </c>
      <c r="N40" s="2">
        <v>390</v>
      </c>
      <c r="O40" s="2">
        <v>0</v>
      </c>
      <c r="P40" s="2">
        <v>0</v>
      </c>
      <c r="Q40" s="2">
        <v>0</v>
      </c>
      <c r="R40" s="3">
        <f t="shared" si="2"/>
        <v>13121</v>
      </c>
      <c r="S40" s="3">
        <v>4160</v>
      </c>
      <c r="T40" s="3">
        <v>8586</v>
      </c>
      <c r="U40" s="5">
        <f t="shared" si="1"/>
        <v>375</v>
      </c>
    </row>
    <row r="41" spans="1:21" ht="18.75" customHeight="1">
      <c r="A41" s="6" t="s">
        <v>21</v>
      </c>
      <c r="B41" s="10">
        <v>44966</v>
      </c>
      <c r="C41" s="2">
        <v>1157</v>
      </c>
      <c r="D41" s="2">
        <v>1030</v>
      </c>
      <c r="E41" s="2">
        <v>830</v>
      </c>
      <c r="F41" s="2">
        <v>1450</v>
      </c>
      <c r="G41" s="2">
        <v>2822</v>
      </c>
      <c r="H41" s="2">
        <v>0</v>
      </c>
      <c r="I41" s="2">
        <v>395</v>
      </c>
      <c r="J41" s="2">
        <v>842</v>
      </c>
      <c r="K41" s="2">
        <v>0</v>
      </c>
      <c r="L41" s="2">
        <v>5879</v>
      </c>
      <c r="M41" s="2">
        <v>279</v>
      </c>
      <c r="N41" s="2">
        <v>351</v>
      </c>
      <c r="O41" s="2">
        <v>0</v>
      </c>
      <c r="P41" s="2">
        <v>0</v>
      </c>
      <c r="Q41" s="2">
        <v>0</v>
      </c>
      <c r="R41" s="3">
        <f t="shared" si="2"/>
        <v>15035</v>
      </c>
      <c r="S41" s="3">
        <v>4400</v>
      </c>
      <c r="T41" s="3">
        <v>7293</v>
      </c>
      <c r="U41" s="5">
        <f t="shared" si="1"/>
        <v>3342</v>
      </c>
    </row>
    <row r="42" spans="1:21" ht="18.75" customHeight="1">
      <c r="A42" s="6" t="s">
        <v>22</v>
      </c>
      <c r="B42" s="10">
        <v>44967</v>
      </c>
      <c r="C42" s="2">
        <v>1205</v>
      </c>
      <c r="D42" s="2">
        <v>850</v>
      </c>
      <c r="E42" s="2">
        <v>305</v>
      </c>
      <c r="F42" s="2">
        <v>1809</v>
      </c>
      <c r="G42" s="2">
        <v>2413</v>
      </c>
      <c r="H42" s="2">
        <v>0</v>
      </c>
      <c r="I42" s="2">
        <v>990</v>
      </c>
      <c r="J42" s="2">
        <v>580</v>
      </c>
      <c r="K42" s="2">
        <v>0</v>
      </c>
      <c r="L42" s="2">
        <v>8130</v>
      </c>
      <c r="M42" s="2">
        <v>942</v>
      </c>
      <c r="N42" s="2">
        <v>360</v>
      </c>
      <c r="O42" s="2">
        <v>0</v>
      </c>
      <c r="P42" s="2">
        <v>0</v>
      </c>
      <c r="Q42" s="2">
        <v>0</v>
      </c>
      <c r="R42" s="3">
        <f t="shared" si="2"/>
        <v>17584</v>
      </c>
      <c r="S42" s="3">
        <v>2300</v>
      </c>
      <c r="T42" s="3">
        <v>9991</v>
      </c>
      <c r="U42" s="5">
        <f t="shared" si="1"/>
        <v>5293</v>
      </c>
    </row>
    <row r="43" spans="1:21" ht="18.75" customHeight="1">
      <c r="A43" s="6" t="s">
        <v>23</v>
      </c>
      <c r="B43" s="10">
        <v>44968</v>
      </c>
      <c r="C43" s="2">
        <v>950</v>
      </c>
      <c r="D43" s="2">
        <v>1415</v>
      </c>
      <c r="E43" s="2">
        <v>0</v>
      </c>
      <c r="F43" s="2">
        <v>2010</v>
      </c>
      <c r="G43" s="2">
        <v>3205</v>
      </c>
      <c r="H43" s="2">
        <v>0</v>
      </c>
      <c r="I43" s="2">
        <v>530</v>
      </c>
      <c r="J43" s="2">
        <v>568</v>
      </c>
      <c r="K43" s="2">
        <v>0</v>
      </c>
      <c r="L43" s="2">
        <v>8639</v>
      </c>
      <c r="M43" s="2">
        <v>442</v>
      </c>
      <c r="N43" s="2">
        <v>72</v>
      </c>
      <c r="O43" s="2">
        <v>0</v>
      </c>
      <c r="P43" s="2">
        <v>0</v>
      </c>
      <c r="Q43" s="2">
        <v>0</v>
      </c>
      <c r="R43" s="3">
        <f t="shared" si="2"/>
        <v>17831</v>
      </c>
      <c r="S43" s="3">
        <v>4535</v>
      </c>
      <c r="T43" s="3">
        <v>7790</v>
      </c>
      <c r="U43" s="5">
        <f t="shared" si="1"/>
        <v>5506</v>
      </c>
    </row>
    <row r="44" spans="1:21" ht="18.75" customHeight="1">
      <c r="A44" s="6" t="s">
        <v>17</v>
      </c>
      <c r="B44" s="10">
        <v>44969</v>
      </c>
      <c r="C44" s="2">
        <v>1350</v>
      </c>
      <c r="D44" s="2">
        <v>915</v>
      </c>
      <c r="E44" s="2">
        <v>0</v>
      </c>
      <c r="F44" s="2">
        <v>1600</v>
      </c>
      <c r="G44" s="2">
        <v>1901</v>
      </c>
      <c r="H44" s="2">
        <v>0</v>
      </c>
      <c r="I44" s="2">
        <v>650</v>
      </c>
      <c r="J44" s="2">
        <v>575</v>
      </c>
      <c r="K44" s="2">
        <v>0</v>
      </c>
      <c r="L44" s="2">
        <v>6987</v>
      </c>
      <c r="M44" s="2">
        <v>875</v>
      </c>
      <c r="N44" s="2">
        <v>180</v>
      </c>
      <c r="O44" s="2">
        <v>0</v>
      </c>
      <c r="P44" s="2">
        <v>0</v>
      </c>
      <c r="Q44" s="2">
        <v>0</v>
      </c>
      <c r="R44" s="3">
        <f t="shared" si="2"/>
        <v>15033</v>
      </c>
      <c r="S44" s="3">
        <v>5740</v>
      </c>
      <c r="T44" s="3">
        <v>4945</v>
      </c>
      <c r="U44" s="5">
        <f t="shared" si="1"/>
        <v>4348</v>
      </c>
    </row>
    <row r="45" spans="1:21" ht="18.75" customHeight="1">
      <c r="A45" s="6" t="s">
        <v>18</v>
      </c>
      <c r="B45" s="10">
        <v>44970</v>
      </c>
      <c r="C45" s="2">
        <v>1335</v>
      </c>
      <c r="D45" s="2">
        <v>1430</v>
      </c>
      <c r="E45" s="2">
        <v>0</v>
      </c>
      <c r="F45" s="2">
        <v>1891</v>
      </c>
      <c r="G45" s="2">
        <v>1769</v>
      </c>
      <c r="H45" s="2">
        <v>0</v>
      </c>
      <c r="I45" s="2">
        <v>1022</v>
      </c>
      <c r="J45" s="2">
        <v>370</v>
      </c>
      <c r="K45" s="2">
        <v>0</v>
      </c>
      <c r="L45" s="2">
        <v>4595</v>
      </c>
      <c r="M45" s="2">
        <v>1105</v>
      </c>
      <c r="N45" s="2">
        <v>0</v>
      </c>
      <c r="O45" s="2">
        <v>0</v>
      </c>
      <c r="P45" s="2">
        <v>0</v>
      </c>
      <c r="Q45" s="2">
        <v>0</v>
      </c>
      <c r="R45" s="3">
        <f t="shared" si="2"/>
        <v>13517</v>
      </c>
      <c r="S45" s="3">
        <v>3920</v>
      </c>
      <c r="T45" s="3">
        <v>7268</v>
      </c>
      <c r="U45" s="5">
        <f t="shared" si="1"/>
        <v>2329</v>
      </c>
    </row>
    <row r="46" spans="1:21" ht="18.75" customHeight="1">
      <c r="A46" s="6" t="s">
        <v>19</v>
      </c>
      <c r="B46" s="10">
        <v>44971</v>
      </c>
      <c r="C46" s="2">
        <v>1050</v>
      </c>
      <c r="D46" s="2">
        <v>1285</v>
      </c>
      <c r="E46" s="2">
        <v>365</v>
      </c>
      <c r="F46" s="2">
        <v>1870</v>
      </c>
      <c r="G46" s="2">
        <v>2354</v>
      </c>
      <c r="H46" s="2">
        <v>0</v>
      </c>
      <c r="I46" s="2">
        <v>410</v>
      </c>
      <c r="J46" s="2">
        <v>562</v>
      </c>
      <c r="K46" s="2">
        <v>0</v>
      </c>
      <c r="L46" s="2">
        <v>6046</v>
      </c>
      <c r="M46" s="2">
        <v>408</v>
      </c>
      <c r="N46" s="2">
        <v>205</v>
      </c>
      <c r="O46" s="2">
        <v>0</v>
      </c>
      <c r="P46" s="2">
        <v>0</v>
      </c>
      <c r="Q46" s="2">
        <v>0</v>
      </c>
      <c r="R46" s="3">
        <f t="shared" si="2"/>
        <v>14555</v>
      </c>
      <c r="S46" s="3">
        <v>4060</v>
      </c>
      <c r="T46" s="3">
        <v>5350</v>
      </c>
      <c r="U46" s="5">
        <f t="shared" si="1"/>
        <v>5145</v>
      </c>
    </row>
    <row r="47" spans="1:21" ht="18.75" customHeight="1">
      <c r="A47" s="6" t="s">
        <v>20</v>
      </c>
      <c r="B47" s="10">
        <v>44972</v>
      </c>
      <c r="C47" s="2">
        <v>1623</v>
      </c>
      <c r="D47" s="2">
        <v>1045</v>
      </c>
      <c r="E47" s="2">
        <v>305</v>
      </c>
      <c r="F47" s="2">
        <v>1940</v>
      </c>
      <c r="G47" s="2">
        <v>1470</v>
      </c>
      <c r="H47" s="2">
        <v>0</v>
      </c>
      <c r="I47" s="2">
        <v>565</v>
      </c>
      <c r="J47" s="2">
        <v>653</v>
      </c>
      <c r="K47" s="2">
        <v>0</v>
      </c>
      <c r="L47" s="2">
        <v>6268</v>
      </c>
      <c r="M47" s="2">
        <v>1077</v>
      </c>
      <c r="N47" s="2">
        <v>815</v>
      </c>
      <c r="O47" s="2">
        <v>0</v>
      </c>
      <c r="P47" s="2">
        <v>0</v>
      </c>
      <c r="Q47" s="2">
        <v>0</v>
      </c>
      <c r="R47" s="3">
        <f t="shared" si="2"/>
        <v>15761</v>
      </c>
      <c r="S47" s="3">
        <v>4575</v>
      </c>
      <c r="T47" s="3">
        <v>5916</v>
      </c>
      <c r="U47" s="5">
        <f t="shared" si="1"/>
        <v>5270</v>
      </c>
    </row>
    <row r="48" spans="1:21" ht="18.75" customHeight="1">
      <c r="A48" s="6" t="s">
        <v>21</v>
      </c>
      <c r="B48" s="10">
        <v>44973</v>
      </c>
      <c r="C48" s="2">
        <v>1050</v>
      </c>
      <c r="D48" s="2">
        <v>1355</v>
      </c>
      <c r="E48" s="2">
        <v>0</v>
      </c>
      <c r="F48" s="2">
        <v>2611</v>
      </c>
      <c r="G48" s="2">
        <v>2775</v>
      </c>
      <c r="H48" s="2">
        <v>0</v>
      </c>
      <c r="I48" s="2">
        <v>725</v>
      </c>
      <c r="J48" s="2">
        <v>454</v>
      </c>
      <c r="K48" s="2">
        <v>0</v>
      </c>
      <c r="L48" s="2">
        <v>6924</v>
      </c>
      <c r="M48" s="2">
        <v>1726</v>
      </c>
      <c r="N48" s="2">
        <v>340</v>
      </c>
      <c r="O48" s="2">
        <v>0</v>
      </c>
      <c r="P48" s="2">
        <v>0</v>
      </c>
      <c r="Q48" s="2">
        <v>0</v>
      </c>
      <c r="R48" s="3">
        <f t="shared" si="2"/>
        <v>17960</v>
      </c>
      <c r="S48" s="3">
        <v>3940</v>
      </c>
      <c r="T48" s="3">
        <v>8305</v>
      </c>
      <c r="U48" s="5">
        <f t="shared" si="1"/>
        <v>5715</v>
      </c>
    </row>
    <row r="49" spans="1:21" ht="18.75" customHeight="1">
      <c r="A49" s="6" t="s">
        <v>22</v>
      </c>
      <c r="B49" s="10">
        <v>44974</v>
      </c>
      <c r="C49" s="2">
        <v>1134</v>
      </c>
      <c r="D49" s="2">
        <v>1325</v>
      </c>
      <c r="E49" s="2">
        <v>0</v>
      </c>
      <c r="F49" s="2">
        <v>2275</v>
      </c>
      <c r="G49" s="2">
        <v>2767</v>
      </c>
      <c r="H49" s="2">
        <v>0</v>
      </c>
      <c r="I49" s="2">
        <v>655</v>
      </c>
      <c r="J49" s="2">
        <v>671</v>
      </c>
      <c r="K49" s="2">
        <v>0</v>
      </c>
      <c r="L49" s="2">
        <v>5553</v>
      </c>
      <c r="M49" s="2">
        <v>722</v>
      </c>
      <c r="N49" s="2">
        <v>425</v>
      </c>
      <c r="O49" s="2">
        <v>0</v>
      </c>
      <c r="P49" s="2">
        <v>0</v>
      </c>
      <c r="Q49" s="2">
        <v>0</v>
      </c>
      <c r="R49" s="3">
        <f t="shared" si="2"/>
        <v>15527</v>
      </c>
      <c r="S49" s="3">
        <v>4100</v>
      </c>
      <c r="T49" s="3">
        <v>10393</v>
      </c>
      <c r="U49" s="5">
        <f t="shared" si="1"/>
        <v>1034</v>
      </c>
    </row>
    <row r="50" spans="1:21" ht="18.75" customHeight="1">
      <c r="A50" s="6" t="s">
        <v>23</v>
      </c>
      <c r="B50" s="10">
        <v>44975</v>
      </c>
      <c r="C50" s="2">
        <v>1270</v>
      </c>
      <c r="D50" s="2">
        <v>803</v>
      </c>
      <c r="E50" s="2">
        <v>0</v>
      </c>
      <c r="F50" s="2">
        <v>2275</v>
      </c>
      <c r="G50" s="2">
        <v>1634</v>
      </c>
      <c r="H50" s="2">
        <v>0</v>
      </c>
      <c r="I50" s="2">
        <v>1080</v>
      </c>
      <c r="J50" s="2">
        <v>276</v>
      </c>
      <c r="K50" s="2">
        <v>0</v>
      </c>
      <c r="L50" s="2">
        <v>7500</v>
      </c>
      <c r="M50" s="2">
        <v>1905</v>
      </c>
      <c r="N50" s="2">
        <v>0</v>
      </c>
      <c r="O50" s="2">
        <v>0</v>
      </c>
      <c r="P50" s="2">
        <v>0</v>
      </c>
      <c r="Q50" s="2">
        <v>0</v>
      </c>
      <c r="R50" s="3">
        <f t="shared" si="2"/>
        <v>16743</v>
      </c>
      <c r="S50" s="3">
        <v>3500</v>
      </c>
      <c r="T50" s="3">
        <v>7536</v>
      </c>
      <c r="U50" s="5">
        <f t="shared" si="1"/>
        <v>5707</v>
      </c>
    </row>
    <row r="51" spans="1:21" ht="18.75" customHeight="1">
      <c r="A51" s="6" t="s">
        <v>17</v>
      </c>
      <c r="B51" s="10">
        <v>44976</v>
      </c>
      <c r="C51" s="2">
        <v>1285</v>
      </c>
      <c r="D51" s="2">
        <v>910</v>
      </c>
      <c r="E51" s="2">
        <v>0</v>
      </c>
      <c r="F51" s="2">
        <v>1365</v>
      </c>
      <c r="G51" s="2">
        <v>2260</v>
      </c>
      <c r="H51" s="2">
        <v>0</v>
      </c>
      <c r="I51" s="2">
        <v>1080</v>
      </c>
      <c r="J51" s="2">
        <v>488</v>
      </c>
      <c r="K51" s="2">
        <v>0</v>
      </c>
      <c r="L51" s="2">
        <v>9403</v>
      </c>
      <c r="M51" s="2">
        <v>1247</v>
      </c>
      <c r="N51" s="2">
        <v>220</v>
      </c>
      <c r="O51" s="2">
        <v>0</v>
      </c>
      <c r="P51" s="2">
        <v>0</v>
      </c>
      <c r="Q51" s="2">
        <v>0</v>
      </c>
      <c r="R51" s="3">
        <f t="shared" si="2"/>
        <v>18258</v>
      </c>
      <c r="S51" s="3">
        <v>3355</v>
      </c>
      <c r="T51" s="3">
        <v>6521</v>
      </c>
      <c r="U51" s="5">
        <f t="shared" si="1"/>
        <v>8382</v>
      </c>
    </row>
    <row r="52" spans="1:21" ht="18.75" customHeight="1">
      <c r="A52" s="6" t="s">
        <v>18</v>
      </c>
      <c r="B52" s="10">
        <v>44977</v>
      </c>
      <c r="C52" s="2">
        <v>1506</v>
      </c>
      <c r="D52" s="2">
        <v>1460</v>
      </c>
      <c r="E52" s="2">
        <v>630</v>
      </c>
      <c r="F52" s="2">
        <v>1705</v>
      </c>
      <c r="G52" s="2">
        <v>2150</v>
      </c>
      <c r="H52" s="2">
        <v>0</v>
      </c>
      <c r="I52" s="2">
        <v>405</v>
      </c>
      <c r="J52" s="2">
        <v>636</v>
      </c>
      <c r="K52" s="2">
        <v>0</v>
      </c>
      <c r="L52" s="2">
        <v>4722</v>
      </c>
      <c r="M52" s="2">
        <v>335</v>
      </c>
      <c r="N52" s="2">
        <v>0</v>
      </c>
      <c r="O52" s="2">
        <v>0</v>
      </c>
      <c r="P52" s="2">
        <v>0</v>
      </c>
      <c r="Q52" s="2">
        <v>0</v>
      </c>
      <c r="R52" s="3">
        <f t="shared" si="2"/>
        <v>13549</v>
      </c>
      <c r="S52" s="3">
        <v>4350</v>
      </c>
      <c r="T52" s="3">
        <v>7884</v>
      </c>
      <c r="U52" s="5">
        <f t="shared" si="1"/>
        <v>1315</v>
      </c>
    </row>
    <row r="53" spans="1:21" ht="18.75" customHeight="1">
      <c r="A53" s="6" t="s">
        <v>19</v>
      </c>
      <c r="B53" s="10">
        <v>44978</v>
      </c>
      <c r="C53" s="2">
        <v>1765</v>
      </c>
      <c r="D53" s="2">
        <v>790</v>
      </c>
      <c r="E53" s="2">
        <v>440</v>
      </c>
      <c r="F53" s="2">
        <v>1470</v>
      </c>
      <c r="G53" s="2">
        <v>2736</v>
      </c>
      <c r="H53" s="2">
        <v>0</v>
      </c>
      <c r="I53" s="2">
        <v>825</v>
      </c>
      <c r="J53" s="2">
        <v>466</v>
      </c>
      <c r="K53" s="2">
        <v>0</v>
      </c>
      <c r="L53" s="2">
        <v>3117</v>
      </c>
      <c r="M53" s="2">
        <v>877</v>
      </c>
      <c r="N53" s="2">
        <v>90</v>
      </c>
      <c r="O53" s="2">
        <v>0</v>
      </c>
      <c r="P53" s="2">
        <v>0</v>
      </c>
      <c r="Q53" s="2">
        <v>0</v>
      </c>
      <c r="R53" s="3">
        <f t="shared" si="2"/>
        <v>12576</v>
      </c>
      <c r="S53" s="3">
        <v>4340</v>
      </c>
      <c r="T53" s="3">
        <v>7079</v>
      </c>
      <c r="U53" s="5">
        <f t="shared" si="1"/>
        <v>1157</v>
      </c>
    </row>
    <row r="54" spans="1:21" ht="18.75" customHeight="1">
      <c r="A54" s="6" t="s">
        <v>20</v>
      </c>
      <c r="B54" s="10">
        <v>44979</v>
      </c>
      <c r="C54" s="2">
        <v>1380</v>
      </c>
      <c r="D54" s="2">
        <v>935</v>
      </c>
      <c r="E54" s="2">
        <v>0</v>
      </c>
      <c r="F54" s="2">
        <v>2275</v>
      </c>
      <c r="G54" s="2">
        <v>1906</v>
      </c>
      <c r="H54" s="2">
        <v>0</v>
      </c>
      <c r="I54" s="2">
        <v>1140</v>
      </c>
      <c r="J54" s="2">
        <v>563</v>
      </c>
      <c r="K54" s="2">
        <v>0</v>
      </c>
      <c r="L54" s="2">
        <v>4866</v>
      </c>
      <c r="M54" s="2">
        <v>1282</v>
      </c>
      <c r="N54" s="2">
        <v>0</v>
      </c>
      <c r="O54" s="2">
        <v>0</v>
      </c>
      <c r="P54" s="2">
        <v>0</v>
      </c>
      <c r="Q54" s="2">
        <v>0</v>
      </c>
      <c r="R54" s="3">
        <f t="shared" si="2"/>
        <v>14347</v>
      </c>
      <c r="S54" s="3">
        <v>4525</v>
      </c>
      <c r="T54" s="3">
        <v>5595</v>
      </c>
      <c r="U54" s="5">
        <f t="shared" si="1"/>
        <v>4227</v>
      </c>
    </row>
    <row r="55" spans="1:21" ht="18.75" customHeight="1">
      <c r="A55" s="6" t="s">
        <v>21</v>
      </c>
      <c r="B55" s="10">
        <v>44980</v>
      </c>
      <c r="C55" s="2">
        <v>1480</v>
      </c>
      <c r="D55" s="2">
        <v>1216</v>
      </c>
      <c r="E55" s="2">
        <v>0</v>
      </c>
      <c r="F55" s="2">
        <v>2315</v>
      </c>
      <c r="G55" s="2">
        <v>1261</v>
      </c>
      <c r="H55" s="2">
        <v>0</v>
      </c>
      <c r="I55" s="2">
        <v>570</v>
      </c>
      <c r="J55" s="2">
        <v>506</v>
      </c>
      <c r="K55" s="2">
        <v>0</v>
      </c>
      <c r="L55" s="2">
        <v>6038</v>
      </c>
      <c r="M55" s="2">
        <v>1170</v>
      </c>
      <c r="N55" s="2">
        <v>0</v>
      </c>
      <c r="O55" s="2">
        <v>0</v>
      </c>
      <c r="P55" s="2">
        <v>0</v>
      </c>
      <c r="Q55" s="2">
        <v>0</v>
      </c>
      <c r="R55" s="3">
        <f t="shared" si="2"/>
        <v>14556</v>
      </c>
      <c r="S55" s="3">
        <v>3840</v>
      </c>
      <c r="T55" s="3">
        <v>7919</v>
      </c>
      <c r="U55" s="5">
        <f t="shared" si="1"/>
        <v>2797</v>
      </c>
    </row>
    <row r="56" spans="1:21" ht="18.75" customHeight="1">
      <c r="A56" s="6" t="s">
        <v>22</v>
      </c>
      <c r="B56" s="10">
        <v>44981</v>
      </c>
      <c r="C56" s="2">
        <v>1449</v>
      </c>
      <c r="D56" s="2">
        <v>765</v>
      </c>
      <c r="E56" s="2">
        <v>635</v>
      </c>
      <c r="F56" s="2">
        <v>2440</v>
      </c>
      <c r="G56" s="2">
        <v>1762</v>
      </c>
      <c r="H56" s="2">
        <v>0</v>
      </c>
      <c r="I56" s="2">
        <v>760</v>
      </c>
      <c r="J56" s="2">
        <v>583</v>
      </c>
      <c r="K56" s="2">
        <v>0</v>
      </c>
      <c r="L56" s="2">
        <v>6491</v>
      </c>
      <c r="M56" s="2">
        <v>45</v>
      </c>
      <c r="N56" s="2">
        <v>100</v>
      </c>
      <c r="O56" s="2">
        <v>0</v>
      </c>
      <c r="P56" s="2">
        <v>0</v>
      </c>
      <c r="Q56" s="2">
        <v>0</v>
      </c>
      <c r="R56" s="3">
        <f t="shared" si="2"/>
        <v>15030</v>
      </c>
      <c r="S56" s="3">
        <v>2980</v>
      </c>
      <c r="T56" s="3">
        <v>8223</v>
      </c>
      <c r="U56" s="5">
        <f t="shared" si="1"/>
        <v>3827</v>
      </c>
    </row>
    <row r="57" spans="1:21" ht="18.75" customHeight="1">
      <c r="A57" s="6" t="s">
        <v>23</v>
      </c>
      <c r="B57" s="10">
        <v>44982</v>
      </c>
      <c r="C57" s="2">
        <v>1355</v>
      </c>
      <c r="D57" s="2">
        <v>1505</v>
      </c>
      <c r="E57" s="2">
        <v>0</v>
      </c>
      <c r="F57" s="2">
        <v>2475</v>
      </c>
      <c r="G57" s="2">
        <v>2526</v>
      </c>
      <c r="H57" s="2">
        <v>930</v>
      </c>
      <c r="I57" s="2">
        <v>314</v>
      </c>
      <c r="J57" s="2">
        <v>990</v>
      </c>
      <c r="K57" s="2">
        <v>0</v>
      </c>
      <c r="L57" s="2">
        <v>4626</v>
      </c>
      <c r="M57" s="2">
        <v>822</v>
      </c>
      <c r="N57" s="2">
        <v>0</v>
      </c>
      <c r="O57" s="2">
        <v>0</v>
      </c>
      <c r="P57" s="2">
        <v>0</v>
      </c>
      <c r="Q57" s="2">
        <v>0</v>
      </c>
      <c r="R57" s="3">
        <f t="shared" si="2"/>
        <v>15543</v>
      </c>
      <c r="S57" s="3">
        <v>4565</v>
      </c>
      <c r="T57" s="3">
        <v>6924</v>
      </c>
      <c r="U57" s="5">
        <f t="shared" si="1"/>
        <v>4054</v>
      </c>
    </row>
    <row r="58" spans="1:21" ht="18.75" customHeight="1">
      <c r="A58" s="6" t="s">
        <v>17</v>
      </c>
      <c r="B58" s="10">
        <v>44983</v>
      </c>
      <c r="C58" s="2">
        <v>695</v>
      </c>
      <c r="D58" s="2">
        <v>730</v>
      </c>
      <c r="E58" s="2">
        <v>0</v>
      </c>
      <c r="F58" s="2">
        <v>1470</v>
      </c>
      <c r="G58" s="2">
        <v>1945</v>
      </c>
      <c r="H58" s="2">
        <v>625</v>
      </c>
      <c r="I58" s="2">
        <v>555</v>
      </c>
      <c r="J58" s="2">
        <v>1407</v>
      </c>
      <c r="K58" s="2">
        <v>0</v>
      </c>
      <c r="L58" s="2">
        <v>12564</v>
      </c>
      <c r="M58" s="2">
        <v>1260</v>
      </c>
      <c r="N58" s="2">
        <v>325</v>
      </c>
      <c r="O58" s="2">
        <v>0</v>
      </c>
      <c r="P58" s="2">
        <v>0</v>
      </c>
      <c r="Q58" s="2">
        <v>0</v>
      </c>
      <c r="R58" s="3">
        <f t="shared" si="2"/>
        <v>21576</v>
      </c>
      <c r="S58" s="3">
        <v>5590</v>
      </c>
      <c r="T58" s="3">
        <v>5509</v>
      </c>
      <c r="U58" s="5">
        <f t="shared" si="1"/>
        <v>10477</v>
      </c>
    </row>
    <row r="59" spans="1:21" ht="18.75" customHeight="1">
      <c r="A59" s="6" t="s">
        <v>18</v>
      </c>
      <c r="B59" s="10">
        <v>44984</v>
      </c>
      <c r="C59" s="2">
        <v>1880</v>
      </c>
      <c r="D59" s="2">
        <v>924</v>
      </c>
      <c r="E59" s="2">
        <v>745</v>
      </c>
      <c r="F59" s="2">
        <v>1380</v>
      </c>
      <c r="G59" s="2">
        <v>1114</v>
      </c>
      <c r="H59" s="2">
        <v>0</v>
      </c>
      <c r="I59" s="2">
        <v>730</v>
      </c>
      <c r="J59" s="2">
        <v>810</v>
      </c>
      <c r="K59" s="2">
        <v>0</v>
      </c>
      <c r="L59" s="2">
        <v>6124</v>
      </c>
      <c r="M59" s="2">
        <v>460</v>
      </c>
      <c r="N59" s="2">
        <v>372</v>
      </c>
      <c r="O59" s="2">
        <v>0</v>
      </c>
      <c r="P59" s="2">
        <v>0</v>
      </c>
      <c r="Q59" s="2">
        <v>0</v>
      </c>
      <c r="R59" s="3">
        <f t="shared" si="2"/>
        <v>14539</v>
      </c>
      <c r="S59" s="3">
        <v>3810</v>
      </c>
      <c r="T59" s="3">
        <v>8342</v>
      </c>
      <c r="U59" s="5">
        <f t="shared" si="1"/>
        <v>2387</v>
      </c>
    </row>
    <row r="60" spans="1:21" ht="18.75" customHeight="1">
      <c r="A60" s="6" t="s">
        <v>19</v>
      </c>
      <c r="B60" s="10">
        <v>44985</v>
      </c>
      <c r="C60" s="2">
        <v>1112</v>
      </c>
      <c r="D60" s="2">
        <v>1280</v>
      </c>
      <c r="E60" s="2">
        <v>290</v>
      </c>
      <c r="F60" s="2">
        <v>2010</v>
      </c>
      <c r="G60" s="2">
        <v>2004</v>
      </c>
      <c r="H60" s="2">
        <v>540</v>
      </c>
      <c r="I60" s="2">
        <v>605</v>
      </c>
      <c r="J60" s="2">
        <v>616</v>
      </c>
      <c r="K60" s="2">
        <v>0</v>
      </c>
      <c r="L60" s="2">
        <v>3124</v>
      </c>
      <c r="M60" s="2">
        <v>1253</v>
      </c>
      <c r="N60" s="2">
        <v>360</v>
      </c>
      <c r="O60" s="2">
        <v>0</v>
      </c>
      <c r="P60" s="2">
        <v>0</v>
      </c>
      <c r="Q60" s="2">
        <v>0</v>
      </c>
      <c r="R60" s="3">
        <f t="shared" si="2"/>
        <v>13194</v>
      </c>
      <c r="S60" s="3">
        <v>3730</v>
      </c>
      <c r="T60" s="3">
        <v>6620</v>
      </c>
      <c r="U60" s="5">
        <f t="shared" si="1"/>
        <v>2844</v>
      </c>
    </row>
    <row r="61" spans="1:21" ht="18.75" customHeight="1">
      <c r="A61" s="6" t="s">
        <v>24</v>
      </c>
      <c r="B61" s="10">
        <v>44986</v>
      </c>
      <c r="C61" s="2">
        <v>1755</v>
      </c>
      <c r="D61" s="2">
        <v>885</v>
      </c>
      <c r="E61" s="2">
        <v>0</v>
      </c>
      <c r="F61" s="2">
        <v>1875</v>
      </c>
      <c r="G61" s="2">
        <v>926</v>
      </c>
      <c r="H61" s="2">
        <v>280</v>
      </c>
      <c r="I61" s="2">
        <v>575</v>
      </c>
      <c r="J61" s="2">
        <v>864</v>
      </c>
      <c r="K61" s="2">
        <v>0</v>
      </c>
      <c r="L61" s="2">
        <v>5179</v>
      </c>
      <c r="M61" s="2">
        <v>1264</v>
      </c>
      <c r="N61" s="2">
        <v>160</v>
      </c>
      <c r="O61" s="2">
        <v>0</v>
      </c>
      <c r="P61" s="2">
        <v>0</v>
      </c>
      <c r="Q61" s="2">
        <v>0</v>
      </c>
      <c r="R61" s="3">
        <f t="shared" si="2"/>
        <v>13763</v>
      </c>
      <c r="S61" s="3">
        <v>3870</v>
      </c>
      <c r="T61" s="3">
        <v>5244</v>
      </c>
      <c r="U61" s="5">
        <f t="shared" si="1"/>
        <v>4649</v>
      </c>
    </row>
    <row r="62" spans="1:21" ht="18.75" customHeight="1">
      <c r="A62" s="6" t="s">
        <v>21</v>
      </c>
      <c r="B62" s="10">
        <v>44987</v>
      </c>
      <c r="C62" s="2">
        <v>1340</v>
      </c>
      <c r="D62" s="2">
        <v>1065</v>
      </c>
      <c r="E62" s="2">
        <v>0</v>
      </c>
      <c r="F62" s="2">
        <v>1530</v>
      </c>
      <c r="G62" s="2">
        <v>1920</v>
      </c>
      <c r="H62" s="2">
        <v>0</v>
      </c>
      <c r="I62" s="2">
        <v>755</v>
      </c>
      <c r="J62" s="2">
        <v>680</v>
      </c>
      <c r="K62" s="2">
        <v>0</v>
      </c>
      <c r="L62" s="2">
        <v>4809</v>
      </c>
      <c r="M62" s="2">
        <v>1013</v>
      </c>
      <c r="N62" s="2">
        <v>100</v>
      </c>
      <c r="O62" s="2">
        <v>0</v>
      </c>
      <c r="P62" s="2">
        <v>0</v>
      </c>
      <c r="Q62" s="2">
        <v>0</v>
      </c>
      <c r="R62" s="3">
        <f t="shared" si="2"/>
        <v>13212</v>
      </c>
      <c r="S62" s="3">
        <v>3460</v>
      </c>
      <c r="T62" s="3">
        <v>7729</v>
      </c>
      <c r="U62" s="5">
        <f t="shared" si="1"/>
        <v>2023</v>
      </c>
    </row>
    <row r="63" spans="1:21" ht="18.75" customHeight="1">
      <c r="A63" s="6" t="s">
        <v>22</v>
      </c>
      <c r="B63" s="10">
        <v>44988</v>
      </c>
      <c r="C63" s="2">
        <v>1540</v>
      </c>
      <c r="D63" s="2">
        <v>1240</v>
      </c>
      <c r="E63" s="2">
        <v>0</v>
      </c>
      <c r="F63" s="2">
        <v>1655</v>
      </c>
      <c r="G63" s="2">
        <v>1245</v>
      </c>
      <c r="H63" s="2">
        <v>0</v>
      </c>
      <c r="I63" s="2">
        <v>0</v>
      </c>
      <c r="J63" s="2">
        <v>620</v>
      </c>
      <c r="K63" s="2">
        <v>0</v>
      </c>
      <c r="L63" s="2">
        <v>6932</v>
      </c>
      <c r="M63" s="2">
        <v>1811</v>
      </c>
      <c r="N63" s="2">
        <v>180</v>
      </c>
      <c r="O63" s="2">
        <v>0</v>
      </c>
      <c r="P63" s="2">
        <v>0</v>
      </c>
      <c r="Q63" s="2">
        <v>0</v>
      </c>
      <c r="R63" s="3">
        <f t="shared" si="2"/>
        <v>15223</v>
      </c>
      <c r="S63" s="3">
        <v>3030</v>
      </c>
      <c r="T63" s="3">
        <v>6626</v>
      </c>
      <c r="U63" s="5">
        <f t="shared" si="1"/>
        <v>5567</v>
      </c>
    </row>
    <row r="64" spans="1:21" ht="18.75" customHeight="1">
      <c r="A64" s="6" t="s">
        <v>23</v>
      </c>
      <c r="B64" s="10">
        <v>44989</v>
      </c>
      <c r="C64" s="2">
        <v>1673</v>
      </c>
      <c r="D64" s="2">
        <v>1205</v>
      </c>
      <c r="E64" s="2">
        <v>0</v>
      </c>
      <c r="F64" s="2">
        <v>1350</v>
      </c>
      <c r="G64" s="2">
        <v>1981</v>
      </c>
      <c r="H64" s="2">
        <v>513</v>
      </c>
      <c r="I64" s="2">
        <v>940</v>
      </c>
      <c r="J64" s="2">
        <v>513</v>
      </c>
      <c r="K64" s="2">
        <v>0</v>
      </c>
      <c r="L64" s="2">
        <v>9850</v>
      </c>
      <c r="M64" s="2">
        <v>1487</v>
      </c>
      <c r="N64" s="2">
        <v>0</v>
      </c>
      <c r="O64" s="2">
        <v>0</v>
      </c>
      <c r="P64" s="2">
        <v>0</v>
      </c>
      <c r="Q64" s="2">
        <v>0</v>
      </c>
      <c r="R64" s="3">
        <f t="shared" si="2"/>
        <v>19512</v>
      </c>
      <c r="S64" s="3">
        <v>4640</v>
      </c>
      <c r="T64" s="3">
        <v>8665</v>
      </c>
      <c r="U64" s="5">
        <f t="shared" si="1"/>
        <v>6207</v>
      </c>
    </row>
    <row r="65" spans="1:21" ht="18.75" customHeight="1">
      <c r="A65" s="6" t="s">
        <v>17</v>
      </c>
      <c r="B65" s="10">
        <v>44990</v>
      </c>
      <c r="C65" s="2">
        <v>1200</v>
      </c>
      <c r="D65" s="2">
        <v>1030</v>
      </c>
      <c r="E65" s="2">
        <v>0</v>
      </c>
      <c r="F65" s="2">
        <v>1525</v>
      </c>
      <c r="G65" s="2">
        <v>2788</v>
      </c>
      <c r="H65" s="2">
        <v>930</v>
      </c>
      <c r="I65" s="2">
        <v>890</v>
      </c>
      <c r="J65" s="2">
        <v>1609</v>
      </c>
      <c r="K65" s="2">
        <v>0</v>
      </c>
      <c r="L65" s="2">
        <v>7612</v>
      </c>
      <c r="M65" s="2">
        <v>3022</v>
      </c>
      <c r="N65" s="2">
        <v>355</v>
      </c>
      <c r="O65" s="2">
        <v>0</v>
      </c>
      <c r="P65" s="2">
        <v>0</v>
      </c>
      <c r="Q65" s="2">
        <v>0</v>
      </c>
      <c r="R65" s="3">
        <f t="shared" si="2"/>
        <v>20961</v>
      </c>
      <c r="S65" s="3">
        <v>4670</v>
      </c>
      <c r="T65" s="3">
        <v>6156</v>
      </c>
      <c r="U65" s="5">
        <f t="shared" si="1"/>
        <v>10135</v>
      </c>
    </row>
    <row r="66" spans="1:21" ht="18.75" customHeight="1">
      <c r="A66" s="6" t="s">
        <v>18</v>
      </c>
      <c r="B66" s="10">
        <v>44991</v>
      </c>
      <c r="C66" s="2">
        <v>1005</v>
      </c>
      <c r="D66" s="2">
        <v>1045</v>
      </c>
      <c r="E66" s="2">
        <v>0</v>
      </c>
      <c r="F66" s="2">
        <v>1520</v>
      </c>
      <c r="G66" s="2">
        <v>0</v>
      </c>
      <c r="H66" s="2">
        <v>0</v>
      </c>
      <c r="I66" s="2">
        <v>715</v>
      </c>
      <c r="J66" s="2">
        <v>0</v>
      </c>
      <c r="K66" s="2">
        <v>0</v>
      </c>
      <c r="L66" s="2">
        <v>10740</v>
      </c>
      <c r="M66" s="2">
        <v>341</v>
      </c>
      <c r="N66" s="2">
        <v>0</v>
      </c>
      <c r="O66" s="2">
        <v>0</v>
      </c>
      <c r="P66" s="2">
        <v>0</v>
      </c>
      <c r="Q66" s="2">
        <v>0</v>
      </c>
      <c r="R66" s="3">
        <f t="shared" si="2"/>
        <v>15366</v>
      </c>
      <c r="S66" s="3">
        <v>3780</v>
      </c>
      <c r="T66" s="3">
        <v>7534</v>
      </c>
      <c r="U66" s="5">
        <f t="shared" si="1"/>
        <v>4052</v>
      </c>
    </row>
    <row r="67" spans="1:21" ht="18.75" customHeight="1">
      <c r="A67" s="6" t="s">
        <v>19</v>
      </c>
      <c r="B67" s="10">
        <v>44992</v>
      </c>
      <c r="C67" s="2">
        <v>1110</v>
      </c>
      <c r="D67" s="2">
        <v>930</v>
      </c>
      <c r="E67" s="2">
        <v>300</v>
      </c>
      <c r="F67" s="2">
        <v>1405</v>
      </c>
      <c r="G67" s="2">
        <v>2659</v>
      </c>
      <c r="H67" s="2">
        <v>0</v>
      </c>
      <c r="I67" s="2">
        <v>1060</v>
      </c>
      <c r="J67" s="2">
        <v>650</v>
      </c>
      <c r="K67" s="2">
        <v>0</v>
      </c>
      <c r="L67" s="2">
        <v>5614</v>
      </c>
      <c r="M67" s="2">
        <v>1273</v>
      </c>
      <c r="N67" s="2">
        <v>0</v>
      </c>
      <c r="O67" s="2">
        <v>0</v>
      </c>
      <c r="P67" s="2">
        <v>0</v>
      </c>
      <c r="Q67" s="2">
        <v>0</v>
      </c>
      <c r="R67" s="3">
        <f t="shared" ref="R67:R98" si="3">SUM(C67:N67)</f>
        <v>15001</v>
      </c>
      <c r="S67" s="3">
        <v>4380</v>
      </c>
      <c r="T67" s="3">
        <v>6611</v>
      </c>
      <c r="U67" s="5">
        <f t="shared" ref="U67:U130" si="4">R67-S67-T67</f>
        <v>4010</v>
      </c>
    </row>
    <row r="68" spans="1:21" ht="18.75" customHeight="1">
      <c r="A68" s="6" t="s">
        <v>20</v>
      </c>
      <c r="B68" s="10">
        <v>44993</v>
      </c>
      <c r="C68" s="2">
        <v>1310</v>
      </c>
      <c r="D68" s="2">
        <v>1110</v>
      </c>
      <c r="E68" s="2">
        <v>0</v>
      </c>
      <c r="F68" s="2">
        <v>2260</v>
      </c>
      <c r="G68" s="2">
        <v>1603.5</v>
      </c>
      <c r="H68" s="2">
        <v>175</v>
      </c>
      <c r="I68" s="2">
        <v>855</v>
      </c>
      <c r="J68" s="2">
        <v>99</v>
      </c>
      <c r="K68" s="2">
        <v>0</v>
      </c>
      <c r="L68" s="2">
        <v>6551</v>
      </c>
      <c r="M68" s="2">
        <v>1346</v>
      </c>
      <c r="N68" s="2">
        <v>240</v>
      </c>
      <c r="O68" s="2">
        <v>0</v>
      </c>
      <c r="P68" s="2">
        <v>0</v>
      </c>
      <c r="Q68" s="2">
        <v>0</v>
      </c>
      <c r="R68" s="3">
        <f t="shared" si="3"/>
        <v>15549.5</v>
      </c>
      <c r="S68" s="3">
        <v>4140</v>
      </c>
      <c r="T68" s="3">
        <v>6927</v>
      </c>
      <c r="U68" s="5">
        <f t="shared" si="4"/>
        <v>4482.5</v>
      </c>
    </row>
    <row r="69" spans="1:21" ht="18.75" customHeight="1">
      <c r="A69" s="6" t="s">
        <v>21</v>
      </c>
      <c r="B69" s="10">
        <v>44994</v>
      </c>
      <c r="C69" s="2">
        <v>1015</v>
      </c>
      <c r="D69" s="2">
        <v>400</v>
      </c>
      <c r="E69" s="2">
        <v>335</v>
      </c>
      <c r="F69" s="2">
        <v>1800</v>
      </c>
      <c r="G69" s="2">
        <v>1583</v>
      </c>
      <c r="H69" s="2">
        <v>140</v>
      </c>
      <c r="I69" s="2">
        <v>735</v>
      </c>
      <c r="J69" s="2">
        <v>454</v>
      </c>
      <c r="K69" s="2">
        <v>0</v>
      </c>
      <c r="L69" s="2">
        <v>7047</v>
      </c>
      <c r="M69" s="2">
        <v>1117</v>
      </c>
      <c r="N69" s="2">
        <v>525</v>
      </c>
      <c r="O69" s="2">
        <v>0</v>
      </c>
      <c r="P69" s="2">
        <v>0</v>
      </c>
      <c r="Q69" s="2">
        <v>0</v>
      </c>
      <c r="R69" s="3">
        <f t="shared" si="3"/>
        <v>15151</v>
      </c>
      <c r="S69" s="3">
        <v>4640</v>
      </c>
      <c r="T69" s="3">
        <v>8247</v>
      </c>
      <c r="U69" s="5">
        <f t="shared" si="4"/>
        <v>2264</v>
      </c>
    </row>
    <row r="70" spans="1:21" ht="18.75" customHeight="1">
      <c r="A70" s="6" t="s">
        <v>22</v>
      </c>
      <c r="B70" s="10">
        <v>44995</v>
      </c>
      <c r="C70" s="2">
        <v>1370</v>
      </c>
      <c r="D70" s="2">
        <v>1200</v>
      </c>
      <c r="E70" s="2">
        <v>770</v>
      </c>
      <c r="F70" s="2">
        <v>1055</v>
      </c>
      <c r="G70" s="2">
        <v>1812</v>
      </c>
      <c r="H70" s="2">
        <v>330</v>
      </c>
      <c r="I70" s="2">
        <v>940</v>
      </c>
      <c r="J70" s="2">
        <v>485</v>
      </c>
      <c r="K70" s="2">
        <v>0</v>
      </c>
      <c r="L70" s="2">
        <v>5638</v>
      </c>
      <c r="M70" s="2">
        <v>2303</v>
      </c>
      <c r="N70" s="2">
        <v>840</v>
      </c>
      <c r="O70" s="2">
        <v>0</v>
      </c>
      <c r="P70" s="2">
        <v>0</v>
      </c>
      <c r="Q70" s="2">
        <v>0</v>
      </c>
      <c r="R70" s="3">
        <f t="shared" si="3"/>
        <v>16743</v>
      </c>
      <c r="S70" s="3">
        <v>4120</v>
      </c>
      <c r="T70" s="3">
        <v>9056</v>
      </c>
      <c r="U70" s="5">
        <f t="shared" si="4"/>
        <v>3567</v>
      </c>
    </row>
    <row r="71" spans="1:21" ht="18.75" customHeight="1">
      <c r="A71" s="6" t="s">
        <v>23</v>
      </c>
      <c r="B71" s="10">
        <v>44996</v>
      </c>
      <c r="C71" s="2">
        <v>2025</v>
      </c>
      <c r="D71" s="2">
        <v>1000</v>
      </c>
      <c r="E71" s="2">
        <v>330</v>
      </c>
      <c r="F71" s="2">
        <v>1600</v>
      </c>
      <c r="G71" s="2">
        <v>2055</v>
      </c>
      <c r="H71" s="2">
        <v>300</v>
      </c>
      <c r="I71" s="2">
        <v>869</v>
      </c>
      <c r="J71" s="2">
        <v>424</v>
      </c>
      <c r="K71" s="2">
        <v>0</v>
      </c>
      <c r="L71" s="2">
        <v>12604</v>
      </c>
      <c r="M71" s="2">
        <v>893</v>
      </c>
      <c r="N71" s="2">
        <v>0</v>
      </c>
      <c r="O71" s="2">
        <v>0</v>
      </c>
      <c r="P71" s="2">
        <v>0</v>
      </c>
      <c r="Q71" s="2">
        <v>0</v>
      </c>
      <c r="R71" s="3">
        <f t="shared" si="3"/>
        <v>22100</v>
      </c>
      <c r="S71" s="3">
        <v>4485</v>
      </c>
      <c r="T71" s="3">
        <v>4600</v>
      </c>
      <c r="U71" s="5">
        <f t="shared" si="4"/>
        <v>13015</v>
      </c>
    </row>
    <row r="72" spans="1:21" ht="18.75" customHeight="1">
      <c r="A72" s="6" t="s">
        <v>17</v>
      </c>
      <c r="B72" s="10">
        <v>44997</v>
      </c>
      <c r="C72" s="2">
        <v>1900</v>
      </c>
      <c r="D72" s="2">
        <v>955</v>
      </c>
      <c r="E72" s="2">
        <v>0</v>
      </c>
      <c r="F72" s="2">
        <v>2665</v>
      </c>
      <c r="G72" s="2">
        <v>2331</v>
      </c>
      <c r="H72" s="2">
        <v>515</v>
      </c>
      <c r="I72" s="2">
        <v>975</v>
      </c>
      <c r="J72" s="2">
        <v>281</v>
      </c>
      <c r="K72" s="2">
        <v>0</v>
      </c>
      <c r="L72" s="2">
        <v>8539</v>
      </c>
      <c r="M72" s="2">
        <v>1681</v>
      </c>
      <c r="N72" s="2">
        <v>0</v>
      </c>
      <c r="O72" s="2">
        <v>0</v>
      </c>
      <c r="P72" s="2">
        <v>0</v>
      </c>
      <c r="Q72" s="2">
        <v>0</v>
      </c>
      <c r="R72" s="3">
        <f t="shared" si="3"/>
        <v>19842</v>
      </c>
      <c r="S72" s="3">
        <v>4460</v>
      </c>
      <c r="T72" s="3">
        <v>7092</v>
      </c>
      <c r="U72" s="5">
        <f t="shared" si="4"/>
        <v>8290</v>
      </c>
    </row>
    <row r="73" spans="1:21" ht="18.75" customHeight="1">
      <c r="A73" s="6" t="s">
        <v>18</v>
      </c>
      <c r="B73" s="10">
        <v>44998</v>
      </c>
      <c r="C73" s="2">
        <v>2564</v>
      </c>
      <c r="D73" s="2">
        <v>635</v>
      </c>
      <c r="E73" s="2">
        <v>319</v>
      </c>
      <c r="F73" s="2">
        <v>1915</v>
      </c>
      <c r="G73" s="2">
        <v>1707.5</v>
      </c>
      <c r="H73" s="2">
        <v>0</v>
      </c>
      <c r="I73" s="2">
        <v>705</v>
      </c>
      <c r="J73" s="2">
        <v>457</v>
      </c>
      <c r="K73" s="2">
        <v>0</v>
      </c>
      <c r="L73" s="2">
        <v>5585</v>
      </c>
      <c r="M73" s="2">
        <v>919</v>
      </c>
      <c r="N73" s="2">
        <v>758</v>
      </c>
      <c r="O73" s="2">
        <v>0</v>
      </c>
      <c r="P73" s="2">
        <v>0</v>
      </c>
      <c r="Q73" s="2">
        <v>0</v>
      </c>
      <c r="R73" s="3">
        <f t="shared" si="3"/>
        <v>15564.5</v>
      </c>
      <c r="S73" s="3">
        <v>3680</v>
      </c>
      <c r="T73" s="3">
        <v>11846</v>
      </c>
      <c r="U73" s="5">
        <f t="shared" si="4"/>
        <v>38.5</v>
      </c>
    </row>
    <row r="74" spans="1:21" ht="18.75" customHeight="1">
      <c r="A74" s="6" t="s">
        <v>19</v>
      </c>
      <c r="B74" s="10">
        <v>44999</v>
      </c>
      <c r="C74" s="2">
        <v>1360</v>
      </c>
      <c r="D74" s="2">
        <v>1305</v>
      </c>
      <c r="E74" s="2">
        <v>0</v>
      </c>
      <c r="F74" s="2">
        <v>1055</v>
      </c>
      <c r="G74" s="2">
        <v>2025</v>
      </c>
      <c r="H74" s="2">
        <v>0</v>
      </c>
      <c r="I74" s="2">
        <v>1176</v>
      </c>
      <c r="J74" s="2">
        <v>0</v>
      </c>
      <c r="K74" s="2">
        <v>0</v>
      </c>
      <c r="L74" s="2">
        <v>6251</v>
      </c>
      <c r="M74" s="2">
        <v>380</v>
      </c>
      <c r="N74" s="2">
        <v>233</v>
      </c>
      <c r="O74" s="2">
        <v>0</v>
      </c>
      <c r="P74" s="2">
        <v>0</v>
      </c>
      <c r="Q74" s="2">
        <v>0</v>
      </c>
      <c r="R74" s="3">
        <f t="shared" si="3"/>
        <v>13785</v>
      </c>
      <c r="S74" s="3">
        <v>4190</v>
      </c>
      <c r="T74" s="3">
        <v>4113</v>
      </c>
      <c r="U74" s="5">
        <f t="shared" si="4"/>
        <v>5482</v>
      </c>
    </row>
    <row r="75" spans="1:21" ht="18.75" customHeight="1">
      <c r="A75" s="6" t="s">
        <v>20</v>
      </c>
      <c r="B75" s="10">
        <v>45000</v>
      </c>
      <c r="C75" s="2">
        <v>1450</v>
      </c>
      <c r="D75" s="2">
        <v>1200</v>
      </c>
      <c r="E75" s="2">
        <v>695</v>
      </c>
      <c r="F75" s="2">
        <v>1875</v>
      </c>
      <c r="G75" s="2">
        <v>1802</v>
      </c>
      <c r="H75" s="2">
        <v>95</v>
      </c>
      <c r="I75" s="2">
        <v>1150</v>
      </c>
      <c r="J75" s="2">
        <v>214</v>
      </c>
      <c r="K75" s="2">
        <v>0</v>
      </c>
      <c r="L75" s="2">
        <v>5684</v>
      </c>
      <c r="M75" s="2">
        <v>908</v>
      </c>
      <c r="N75" s="2">
        <v>663</v>
      </c>
      <c r="O75" s="2">
        <v>0</v>
      </c>
      <c r="P75" s="2">
        <v>0</v>
      </c>
      <c r="Q75" s="2">
        <v>0</v>
      </c>
      <c r="R75" s="3">
        <f t="shared" si="3"/>
        <v>15736</v>
      </c>
      <c r="S75" s="3">
        <v>4190</v>
      </c>
      <c r="T75" s="3">
        <v>9731</v>
      </c>
      <c r="U75" s="5">
        <f t="shared" si="4"/>
        <v>1815</v>
      </c>
    </row>
    <row r="76" spans="1:21" ht="18.75" customHeight="1">
      <c r="A76" s="6" t="s">
        <v>21</v>
      </c>
      <c r="B76" s="10">
        <v>45001</v>
      </c>
      <c r="C76" s="2">
        <v>1205</v>
      </c>
      <c r="D76" s="2">
        <v>1480</v>
      </c>
      <c r="E76" s="2">
        <v>0</v>
      </c>
      <c r="F76" s="2">
        <v>1565</v>
      </c>
      <c r="G76" s="2">
        <v>1444</v>
      </c>
      <c r="H76" s="2">
        <v>0</v>
      </c>
      <c r="I76" s="2">
        <v>890</v>
      </c>
      <c r="J76" s="2">
        <v>0</v>
      </c>
      <c r="K76" s="2">
        <v>0</v>
      </c>
      <c r="L76" s="2">
        <v>10420</v>
      </c>
      <c r="M76" s="2">
        <v>446</v>
      </c>
      <c r="N76" s="2">
        <v>469</v>
      </c>
      <c r="O76" s="2">
        <v>0</v>
      </c>
      <c r="P76" s="2">
        <v>0</v>
      </c>
      <c r="Q76" s="2">
        <v>0</v>
      </c>
      <c r="R76" s="3">
        <f t="shared" si="3"/>
        <v>17919</v>
      </c>
      <c r="S76" s="3">
        <v>3660</v>
      </c>
      <c r="T76" s="3">
        <v>7985</v>
      </c>
      <c r="U76" s="5">
        <f t="shared" si="4"/>
        <v>6274</v>
      </c>
    </row>
    <row r="77" spans="1:21" ht="18.75" customHeight="1">
      <c r="A77" s="6" t="s">
        <v>22</v>
      </c>
      <c r="B77" s="10">
        <v>45002</v>
      </c>
      <c r="C77" s="2">
        <v>1365</v>
      </c>
      <c r="D77" s="2">
        <v>1535</v>
      </c>
      <c r="E77" s="2">
        <v>720</v>
      </c>
      <c r="F77" s="2">
        <v>2670</v>
      </c>
      <c r="G77" s="2">
        <v>967</v>
      </c>
      <c r="H77" s="2">
        <v>340</v>
      </c>
      <c r="I77" s="2">
        <v>790</v>
      </c>
      <c r="J77" s="2">
        <v>268</v>
      </c>
      <c r="K77" s="2">
        <v>0</v>
      </c>
      <c r="L77" s="2">
        <v>7883</v>
      </c>
      <c r="M77" s="2">
        <v>353</v>
      </c>
      <c r="N77" s="2">
        <v>750</v>
      </c>
      <c r="O77" s="2">
        <v>0</v>
      </c>
      <c r="P77" s="2">
        <v>0</v>
      </c>
      <c r="Q77" s="2">
        <v>0</v>
      </c>
      <c r="R77" s="3">
        <f t="shared" si="3"/>
        <v>17641</v>
      </c>
      <c r="S77" s="3">
        <v>2640</v>
      </c>
      <c r="T77" s="3">
        <v>6717</v>
      </c>
      <c r="U77" s="5">
        <f t="shared" si="4"/>
        <v>8284</v>
      </c>
    </row>
    <row r="78" spans="1:21" ht="18.75" customHeight="1">
      <c r="A78" s="6" t="s">
        <v>23</v>
      </c>
      <c r="B78" s="10">
        <v>45003</v>
      </c>
      <c r="C78" s="2">
        <v>2000</v>
      </c>
      <c r="D78" s="2">
        <v>867</v>
      </c>
      <c r="E78" s="2">
        <v>750</v>
      </c>
      <c r="F78" s="2">
        <v>1330</v>
      </c>
      <c r="G78" s="2">
        <v>2342</v>
      </c>
      <c r="H78" s="2">
        <v>400</v>
      </c>
      <c r="I78" s="2">
        <v>515</v>
      </c>
      <c r="J78" s="2">
        <v>221</v>
      </c>
      <c r="K78" s="2">
        <v>0</v>
      </c>
      <c r="L78" s="2">
        <v>9600</v>
      </c>
      <c r="M78" s="2">
        <v>1224</v>
      </c>
      <c r="N78" s="2">
        <v>0</v>
      </c>
      <c r="O78" s="2">
        <v>0</v>
      </c>
      <c r="P78" s="2">
        <v>0</v>
      </c>
      <c r="Q78" s="2">
        <v>0</v>
      </c>
      <c r="R78" s="3">
        <f t="shared" si="3"/>
        <v>19249</v>
      </c>
      <c r="S78" s="3">
        <v>5222</v>
      </c>
      <c r="T78" s="3">
        <v>8769</v>
      </c>
      <c r="U78" s="5">
        <f t="shared" si="4"/>
        <v>5258</v>
      </c>
    </row>
    <row r="79" spans="1:21" ht="18.75" customHeight="1">
      <c r="A79" s="6" t="s">
        <v>17</v>
      </c>
      <c r="B79" s="10">
        <v>45004</v>
      </c>
      <c r="C79" s="2">
        <v>1390</v>
      </c>
      <c r="D79" s="2">
        <v>1125</v>
      </c>
      <c r="E79" s="2">
        <v>785</v>
      </c>
      <c r="F79" s="2">
        <v>1695</v>
      </c>
      <c r="G79" s="2">
        <v>2119</v>
      </c>
      <c r="H79" s="2">
        <v>250</v>
      </c>
      <c r="I79" s="2">
        <v>440</v>
      </c>
      <c r="J79" s="2">
        <v>1055</v>
      </c>
      <c r="K79" s="2">
        <v>0</v>
      </c>
      <c r="L79" s="2">
        <v>10221</v>
      </c>
      <c r="M79" s="2">
        <v>2067</v>
      </c>
      <c r="N79" s="2">
        <v>0</v>
      </c>
      <c r="O79" s="2">
        <v>0</v>
      </c>
      <c r="P79" s="2">
        <v>0</v>
      </c>
      <c r="Q79" s="2">
        <v>0</v>
      </c>
      <c r="R79" s="3">
        <f t="shared" si="3"/>
        <v>21147</v>
      </c>
      <c r="S79" s="3">
        <v>5920</v>
      </c>
      <c r="T79" s="3">
        <v>8019</v>
      </c>
      <c r="U79" s="5">
        <f t="shared" si="4"/>
        <v>7208</v>
      </c>
    </row>
    <row r="80" spans="1:21" ht="18.75" customHeight="1">
      <c r="A80" s="6" t="s">
        <v>18</v>
      </c>
      <c r="B80" s="10">
        <v>45005</v>
      </c>
      <c r="C80" s="2">
        <v>1285</v>
      </c>
      <c r="D80" s="2">
        <v>650</v>
      </c>
      <c r="E80" s="2">
        <v>635</v>
      </c>
      <c r="F80" s="2">
        <v>1475</v>
      </c>
      <c r="G80" s="2">
        <v>1360</v>
      </c>
      <c r="H80" s="2">
        <v>1035</v>
      </c>
      <c r="I80" s="2">
        <v>420</v>
      </c>
      <c r="J80" s="2">
        <v>750</v>
      </c>
      <c r="K80" s="2">
        <v>0</v>
      </c>
      <c r="L80" s="2">
        <v>10851</v>
      </c>
      <c r="M80" s="2">
        <v>1633</v>
      </c>
      <c r="N80" s="2">
        <v>164</v>
      </c>
      <c r="O80" s="2">
        <v>0</v>
      </c>
      <c r="P80" s="2">
        <v>0</v>
      </c>
      <c r="Q80" s="2">
        <v>0</v>
      </c>
      <c r="R80" s="3">
        <f t="shared" si="3"/>
        <v>20258</v>
      </c>
      <c r="S80" s="3">
        <v>5390</v>
      </c>
      <c r="T80" s="3">
        <v>10780</v>
      </c>
      <c r="U80" s="5">
        <f t="shared" si="4"/>
        <v>4088</v>
      </c>
    </row>
    <row r="81" spans="1:21" ht="18.75" customHeight="1">
      <c r="A81" s="6" t="s">
        <v>19</v>
      </c>
      <c r="B81" s="10">
        <v>45006</v>
      </c>
      <c r="C81" s="2">
        <v>1215</v>
      </c>
      <c r="D81" s="2">
        <v>690</v>
      </c>
      <c r="E81" s="2">
        <v>425</v>
      </c>
      <c r="F81" s="2">
        <v>1800</v>
      </c>
      <c r="G81" s="2">
        <v>1584</v>
      </c>
      <c r="H81" s="2">
        <v>0</v>
      </c>
      <c r="I81" s="2">
        <v>910</v>
      </c>
      <c r="J81" s="2">
        <v>183</v>
      </c>
      <c r="K81" s="2">
        <v>0</v>
      </c>
      <c r="L81" s="2">
        <v>5407</v>
      </c>
      <c r="M81" s="2">
        <v>851</v>
      </c>
      <c r="N81" s="2">
        <v>315</v>
      </c>
      <c r="O81" s="2">
        <v>0</v>
      </c>
      <c r="P81" s="2">
        <v>0</v>
      </c>
      <c r="Q81" s="2">
        <v>0</v>
      </c>
      <c r="R81" s="3">
        <f t="shared" si="3"/>
        <v>13380</v>
      </c>
      <c r="S81" s="3">
        <v>5050</v>
      </c>
      <c r="T81" s="3">
        <v>6837</v>
      </c>
      <c r="U81" s="5">
        <f t="shared" si="4"/>
        <v>1493</v>
      </c>
    </row>
    <row r="82" spans="1:21" ht="18.75" customHeight="1">
      <c r="A82" s="6" t="s">
        <v>20</v>
      </c>
      <c r="B82" s="10">
        <v>45007</v>
      </c>
      <c r="C82" s="2">
        <v>1735</v>
      </c>
      <c r="D82" s="2">
        <v>990</v>
      </c>
      <c r="E82" s="2">
        <v>555</v>
      </c>
      <c r="F82" s="2">
        <v>1910</v>
      </c>
      <c r="G82" s="2">
        <v>756</v>
      </c>
      <c r="H82" s="2">
        <v>150</v>
      </c>
      <c r="I82" s="2">
        <v>1320</v>
      </c>
      <c r="J82" s="2">
        <v>286</v>
      </c>
      <c r="K82" s="2">
        <v>0</v>
      </c>
      <c r="L82" s="2">
        <v>4630</v>
      </c>
      <c r="M82" s="2">
        <v>1107</v>
      </c>
      <c r="N82" s="2">
        <v>1159</v>
      </c>
      <c r="O82" s="2">
        <v>0</v>
      </c>
      <c r="P82" s="2">
        <v>0</v>
      </c>
      <c r="Q82" s="2">
        <v>0</v>
      </c>
      <c r="R82" s="3">
        <f t="shared" si="3"/>
        <v>14598</v>
      </c>
      <c r="S82" s="3">
        <v>5520</v>
      </c>
      <c r="T82" s="3">
        <v>6896</v>
      </c>
      <c r="U82" s="5">
        <f t="shared" si="4"/>
        <v>2182</v>
      </c>
    </row>
    <row r="83" spans="1:21" ht="18.75" customHeight="1">
      <c r="A83" s="6" t="s">
        <v>21</v>
      </c>
      <c r="B83" s="10">
        <v>45008</v>
      </c>
      <c r="C83" s="2">
        <v>940</v>
      </c>
      <c r="D83" s="2">
        <v>890</v>
      </c>
      <c r="E83" s="2">
        <v>565</v>
      </c>
      <c r="F83" s="2">
        <v>2288</v>
      </c>
      <c r="G83" s="2">
        <v>1710</v>
      </c>
      <c r="H83" s="2">
        <v>0</v>
      </c>
      <c r="I83" s="2">
        <v>460</v>
      </c>
      <c r="J83" s="2">
        <v>392</v>
      </c>
      <c r="K83" s="2">
        <v>0</v>
      </c>
      <c r="L83" s="2">
        <v>5140</v>
      </c>
      <c r="M83" s="2">
        <v>324</v>
      </c>
      <c r="N83" s="2">
        <v>465</v>
      </c>
      <c r="O83" s="2">
        <v>0</v>
      </c>
      <c r="P83" s="2">
        <v>0</v>
      </c>
      <c r="Q83" s="2">
        <v>0</v>
      </c>
      <c r="R83" s="3">
        <f t="shared" si="3"/>
        <v>13174</v>
      </c>
      <c r="S83" s="3">
        <v>4720</v>
      </c>
      <c r="T83" s="3">
        <v>6951</v>
      </c>
      <c r="U83" s="5">
        <f t="shared" si="4"/>
        <v>1503</v>
      </c>
    </row>
    <row r="84" spans="1:21" ht="18.75" customHeight="1">
      <c r="A84" s="6" t="s">
        <v>22</v>
      </c>
      <c r="B84" s="10">
        <v>45009</v>
      </c>
      <c r="C84" s="2">
        <v>1862.5</v>
      </c>
      <c r="D84" s="2">
        <v>1160</v>
      </c>
      <c r="E84" s="2">
        <v>1550</v>
      </c>
      <c r="F84" s="2">
        <v>1496</v>
      </c>
      <c r="G84" s="2">
        <v>1564</v>
      </c>
      <c r="H84" s="2">
        <v>495</v>
      </c>
      <c r="I84" s="2">
        <v>1155</v>
      </c>
      <c r="J84" s="2">
        <v>334</v>
      </c>
      <c r="K84" s="2">
        <v>0</v>
      </c>
      <c r="L84" s="2">
        <v>6335</v>
      </c>
      <c r="M84" s="2">
        <v>2628</v>
      </c>
      <c r="N84" s="2">
        <v>590</v>
      </c>
      <c r="O84" s="2">
        <v>0</v>
      </c>
      <c r="P84" s="2">
        <v>0</v>
      </c>
      <c r="Q84" s="2">
        <v>0</v>
      </c>
      <c r="R84" s="3">
        <f t="shared" si="3"/>
        <v>19169.5</v>
      </c>
      <c r="S84" s="3">
        <v>6700</v>
      </c>
      <c r="T84" s="3">
        <v>9351</v>
      </c>
      <c r="U84" s="5">
        <f t="shared" si="4"/>
        <v>3118.5</v>
      </c>
    </row>
    <row r="85" spans="1:21" ht="18.75" customHeight="1">
      <c r="A85" s="6" t="s">
        <v>23</v>
      </c>
      <c r="B85" s="10">
        <v>45010</v>
      </c>
      <c r="C85" s="2">
        <v>2350</v>
      </c>
      <c r="D85" s="2">
        <v>395</v>
      </c>
      <c r="E85" s="2">
        <v>610</v>
      </c>
      <c r="F85" s="2">
        <v>986</v>
      </c>
      <c r="G85" s="2">
        <v>1202</v>
      </c>
      <c r="H85" s="2">
        <v>55</v>
      </c>
      <c r="I85" s="2">
        <v>220</v>
      </c>
      <c r="J85" s="2">
        <v>483</v>
      </c>
      <c r="K85" s="2">
        <v>0</v>
      </c>
      <c r="L85" s="2">
        <v>7848</v>
      </c>
      <c r="M85" s="2">
        <v>2136</v>
      </c>
      <c r="N85" s="2">
        <v>635</v>
      </c>
      <c r="O85" s="2">
        <v>0</v>
      </c>
      <c r="P85" s="2">
        <v>0</v>
      </c>
      <c r="Q85" s="2">
        <v>0</v>
      </c>
      <c r="R85" s="3">
        <f t="shared" si="3"/>
        <v>16920</v>
      </c>
      <c r="S85" s="3">
        <v>5890</v>
      </c>
      <c r="T85" s="3">
        <v>9524</v>
      </c>
      <c r="U85" s="5">
        <f t="shared" si="4"/>
        <v>1506</v>
      </c>
    </row>
    <row r="86" spans="1:21" ht="18.75" customHeight="1">
      <c r="A86" s="6" t="s">
        <v>17</v>
      </c>
      <c r="B86" s="10">
        <v>45011</v>
      </c>
      <c r="C86" s="2">
        <v>2140</v>
      </c>
      <c r="D86" s="2">
        <v>755</v>
      </c>
      <c r="E86" s="2">
        <v>1350</v>
      </c>
      <c r="F86" s="2">
        <v>865</v>
      </c>
      <c r="G86" s="2">
        <v>2021</v>
      </c>
      <c r="H86" s="2">
        <v>1580</v>
      </c>
      <c r="I86" s="2">
        <v>450</v>
      </c>
      <c r="J86" s="2">
        <v>827</v>
      </c>
      <c r="K86" s="2">
        <v>0</v>
      </c>
      <c r="L86" s="2">
        <v>10968</v>
      </c>
      <c r="M86" s="2">
        <v>2578</v>
      </c>
      <c r="N86" s="2">
        <v>311</v>
      </c>
      <c r="O86" s="2">
        <v>0</v>
      </c>
      <c r="P86" s="2">
        <v>0</v>
      </c>
      <c r="Q86" s="2">
        <v>0</v>
      </c>
      <c r="R86" s="3">
        <f t="shared" si="3"/>
        <v>23845</v>
      </c>
      <c r="S86" s="3">
        <v>6180</v>
      </c>
      <c r="T86" s="3">
        <v>6412</v>
      </c>
      <c r="U86" s="5">
        <f t="shared" si="4"/>
        <v>11253</v>
      </c>
    </row>
    <row r="87" spans="1:21" ht="18.75" customHeight="1">
      <c r="A87" s="6" t="s">
        <v>18</v>
      </c>
      <c r="B87" s="10">
        <v>45012</v>
      </c>
      <c r="C87" s="2">
        <v>1255</v>
      </c>
      <c r="D87" s="2">
        <v>1215</v>
      </c>
      <c r="E87" s="2">
        <v>795</v>
      </c>
      <c r="F87" s="2">
        <v>1318</v>
      </c>
      <c r="G87" s="2">
        <v>1871</v>
      </c>
      <c r="H87" s="2">
        <v>525</v>
      </c>
      <c r="I87" s="2">
        <v>905</v>
      </c>
      <c r="J87" s="2">
        <v>299</v>
      </c>
      <c r="K87" s="2">
        <v>0</v>
      </c>
      <c r="L87" s="2">
        <v>6899</v>
      </c>
      <c r="M87" s="2">
        <v>3158</v>
      </c>
      <c r="N87" s="2">
        <v>475</v>
      </c>
      <c r="O87" s="2">
        <v>0</v>
      </c>
      <c r="P87" s="2">
        <v>0</v>
      </c>
      <c r="Q87" s="2">
        <v>0</v>
      </c>
      <c r="R87" s="3">
        <f t="shared" si="3"/>
        <v>18715</v>
      </c>
      <c r="S87" s="3">
        <v>5900</v>
      </c>
      <c r="T87" s="3">
        <v>11529</v>
      </c>
      <c r="U87" s="5">
        <f t="shared" si="4"/>
        <v>1286</v>
      </c>
    </row>
    <row r="88" spans="1:21" ht="18.75" customHeight="1">
      <c r="A88" s="6" t="s">
        <v>19</v>
      </c>
      <c r="B88" s="10">
        <v>45013</v>
      </c>
      <c r="C88" s="2">
        <v>1347</v>
      </c>
      <c r="D88" s="2">
        <v>595</v>
      </c>
      <c r="E88" s="2">
        <v>500</v>
      </c>
      <c r="F88" s="2">
        <v>1560</v>
      </c>
      <c r="G88" s="2">
        <v>1606</v>
      </c>
      <c r="H88" s="2">
        <v>0</v>
      </c>
      <c r="I88" s="2">
        <v>380</v>
      </c>
      <c r="J88" s="2">
        <v>466</v>
      </c>
      <c r="K88" s="2">
        <v>0</v>
      </c>
      <c r="L88" s="2">
        <v>5845</v>
      </c>
      <c r="M88" s="2">
        <v>596</v>
      </c>
      <c r="N88" s="2">
        <v>0</v>
      </c>
      <c r="O88" s="2">
        <v>0</v>
      </c>
      <c r="P88" s="2">
        <v>0</v>
      </c>
      <c r="Q88" s="2">
        <v>0</v>
      </c>
      <c r="R88" s="3">
        <f t="shared" si="3"/>
        <v>12895</v>
      </c>
      <c r="S88" s="3">
        <v>5130</v>
      </c>
      <c r="T88" s="3">
        <v>4189</v>
      </c>
      <c r="U88" s="5">
        <f t="shared" si="4"/>
        <v>3576</v>
      </c>
    </row>
    <row r="89" spans="1:21" ht="18.75" customHeight="1">
      <c r="A89" s="6" t="s">
        <v>20</v>
      </c>
      <c r="B89" s="10">
        <v>45014</v>
      </c>
      <c r="C89" s="2">
        <v>1420</v>
      </c>
      <c r="D89" s="2">
        <v>945</v>
      </c>
      <c r="E89" s="2">
        <v>1130</v>
      </c>
      <c r="F89" s="2">
        <v>1190</v>
      </c>
      <c r="G89" s="2">
        <v>2377</v>
      </c>
      <c r="H89" s="2">
        <v>555</v>
      </c>
      <c r="I89" s="2">
        <v>790</v>
      </c>
      <c r="J89" s="2">
        <v>526</v>
      </c>
      <c r="K89" s="2">
        <v>0</v>
      </c>
      <c r="L89" s="2">
        <v>4304</v>
      </c>
      <c r="M89" s="2">
        <v>1825</v>
      </c>
      <c r="N89" s="2">
        <v>189</v>
      </c>
      <c r="O89" s="2">
        <v>0</v>
      </c>
      <c r="P89" s="2">
        <v>0</v>
      </c>
      <c r="Q89" s="2">
        <v>0</v>
      </c>
      <c r="R89" s="3">
        <f t="shared" si="3"/>
        <v>15251</v>
      </c>
      <c r="S89" s="3">
        <v>4830</v>
      </c>
      <c r="T89" s="3">
        <v>5260</v>
      </c>
      <c r="U89" s="5">
        <f t="shared" si="4"/>
        <v>5161</v>
      </c>
    </row>
    <row r="90" spans="1:21" ht="18.75" customHeight="1">
      <c r="A90" s="6" t="s">
        <v>21</v>
      </c>
      <c r="B90" s="10">
        <v>45015</v>
      </c>
      <c r="C90" s="2">
        <v>1514</v>
      </c>
      <c r="D90" s="2">
        <v>1408</v>
      </c>
      <c r="E90" s="2">
        <v>875</v>
      </c>
      <c r="F90" s="2">
        <v>1990</v>
      </c>
      <c r="G90" s="2">
        <v>1607</v>
      </c>
      <c r="H90" s="2">
        <v>870</v>
      </c>
      <c r="I90" s="2">
        <v>1180</v>
      </c>
      <c r="J90" s="2">
        <v>373</v>
      </c>
      <c r="K90" s="2">
        <v>0</v>
      </c>
      <c r="L90" s="2">
        <v>10644</v>
      </c>
      <c r="M90" s="2">
        <v>1909</v>
      </c>
      <c r="N90" s="2">
        <v>1677</v>
      </c>
      <c r="O90" s="2">
        <v>0</v>
      </c>
      <c r="P90" s="2">
        <v>0</v>
      </c>
      <c r="Q90" s="2">
        <v>0</v>
      </c>
      <c r="R90" s="3">
        <f t="shared" si="3"/>
        <v>24047</v>
      </c>
      <c r="S90" s="3">
        <v>6450</v>
      </c>
      <c r="T90" s="3">
        <v>11432</v>
      </c>
      <c r="U90" s="5">
        <f t="shared" si="4"/>
        <v>6165</v>
      </c>
    </row>
    <row r="91" spans="1:21" ht="18.75" customHeight="1">
      <c r="A91" s="6" t="s">
        <v>22</v>
      </c>
      <c r="B91" s="10">
        <v>45016</v>
      </c>
      <c r="C91" s="2">
        <v>1845</v>
      </c>
      <c r="D91" s="2">
        <v>1235</v>
      </c>
      <c r="E91" s="2">
        <v>786</v>
      </c>
      <c r="F91" s="2">
        <v>2500</v>
      </c>
      <c r="G91" s="2">
        <v>1959</v>
      </c>
      <c r="H91" s="2">
        <v>590</v>
      </c>
      <c r="I91" s="2">
        <v>769</v>
      </c>
      <c r="J91" s="2">
        <v>550</v>
      </c>
      <c r="K91" s="2">
        <v>0</v>
      </c>
      <c r="L91" s="2">
        <v>11464</v>
      </c>
      <c r="M91" s="2">
        <v>975</v>
      </c>
      <c r="N91" s="2">
        <v>603</v>
      </c>
      <c r="O91" s="2">
        <v>0</v>
      </c>
      <c r="P91" s="2">
        <v>0</v>
      </c>
      <c r="Q91" s="2">
        <v>0</v>
      </c>
      <c r="R91" s="3">
        <f t="shared" si="3"/>
        <v>23276</v>
      </c>
      <c r="S91" s="3">
        <v>5820</v>
      </c>
      <c r="T91" s="3">
        <v>14466</v>
      </c>
      <c r="U91" s="5">
        <f t="shared" si="4"/>
        <v>2990</v>
      </c>
    </row>
    <row r="92" spans="1:21" ht="18.75" customHeight="1">
      <c r="A92" s="7" t="s">
        <v>16</v>
      </c>
      <c r="B92" s="10">
        <v>45017</v>
      </c>
      <c r="C92" s="2">
        <v>2215</v>
      </c>
      <c r="D92" s="2">
        <v>1110</v>
      </c>
      <c r="E92" s="2">
        <v>720</v>
      </c>
      <c r="F92" s="2">
        <v>1874</v>
      </c>
      <c r="G92" s="2">
        <v>1550</v>
      </c>
      <c r="H92" s="2">
        <v>2445</v>
      </c>
      <c r="I92" s="2">
        <v>1035</v>
      </c>
      <c r="J92" s="2">
        <v>995</v>
      </c>
      <c r="K92" s="2">
        <v>0</v>
      </c>
      <c r="L92" s="2">
        <v>17246</v>
      </c>
      <c r="M92" s="2">
        <v>2671</v>
      </c>
      <c r="N92" s="2">
        <v>793</v>
      </c>
      <c r="O92" s="2">
        <v>0</v>
      </c>
      <c r="P92" s="2">
        <v>0</v>
      </c>
      <c r="Q92" s="2">
        <v>0</v>
      </c>
      <c r="R92" s="3">
        <f t="shared" si="3"/>
        <v>32654</v>
      </c>
      <c r="S92" s="3">
        <v>5450</v>
      </c>
      <c r="T92" s="3">
        <v>13499</v>
      </c>
      <c r="U92" s="5">
        <f t="shared" si="4"/>
        <v>13705</v>
      </c>
    </row>
    <row r="93" spans="1:21" ht="18.75" customHeight="1">
      <c r="A93" s="7" t="s">
        <v>17</v>
      </c>
      <c r="B93" s="10">
        <v>45018</v>
      </c>
      <c r="C93" s="2">
        <v>1800</v>
      </c>
      <c r="D93" s="2">
        <v>1235</v>
      </c>
      <c r="E93" s="2">
        <v>620</v>
      </c>
      <c r="F93" s="2">
        <v>2443</v>
      </c>
      <c r="G93" s="2">
        <v>1857</v>
      </c>
      <c r="H93" s="2">
        <v>2255</v>
      </c>
      <c r="I93" s="2">
        <v>690</v>
      </c>
      <c r="J93" s="2">
        <v>2420</v>
      </c>
      <c r="K93" s="2">
        <v>0</v>
      </c>
      <c r="L93" s="2">
        <v>16417</v>
      </c>
      <c r="M93" s="2">
        <v>2196</v>
      </c>
      <c r="N93" s="2">
        <v>0</v>
      </c>
      <c r="O93" s="2">
        <v>0</v>
      </c>
      <c r="P93" s="2">
        <v>0</v>
      </c>
      <c r="Q93" s="2">
        <v>0</v>
      </c>
      <c r="R93" s="3">
        <f t="shared" si="3"/>
        <v>31933</v>
      </c>
      <c r="S93" s="3">
        <v>6520</v>
      </c>
      <c r="T93" s="3">
        <v>13998</v>
      </c>
      <c r="U93" s="5">
        <f t="shared" si="4"/>
        <v>11415</v>
      </c>
    </row>
    <row r="94" spans="1:21" ht="18.75" customHeight="1">
      <c r="A94" s="7" t="s">
        <v>18</v>
      </c>
      <c r="B94" s="10">
        <v>45019</v>
      </c>
      <c r="C94" s="2">
        <v>1999</v>
      </c>
      <c r="D94" s="2">
        <v>1575</v>
      </c>
      <c r="E94" s="2">
        <v>625</v>
      </c>
      <c r="F94" s="2">
        <v>1695</v>
      </c>
      <c r="G94" s="2">
        <v>2200</v>
      </c>
      <c r="H94" s="2">
        <v>1150</v>
      </c>
      <c r="I94" s="2">
        <v>725</v>
      </c>
      <c r="J94" s="2">
        <v>500</v>
      </c>
      <c r="K94" s="2">
        <v>0</v>
      </c>
      <c r="L94" s="2">
        <v>11771</v>
      </c>
      <c r="M94" s="2">
        <v>2971</v>
      </c>
      <c r="N94" s="2">
        <v>0</v>
      </c>
      <c r="O94" s="2">
        <v>0</v>
      </c>
      <c r="P94" s="2">
        <v>0</v>
      </c>
      <c r="Q94" s="2">
        <v>0</v>
      </c>
      <c r="R94" s="3">
        <f t="shared" si="3"/>
        <v>25211</v>
      </c>
      <c r="S94" s="3">
        <v>6120</v>
      </c>
      <c r="T94" s="3">
        <v>13492</v>
      </c>
      <c r="U94" s="5">
        <f t="shared" si="4"/>
        <v>5599</v>
      </c>
    </row>
    <row r="95" spans="1:21" ht="18.75" customHeight="1">
      <c r="A95" s="7" t="s">
        <v>19</v>
      </c>
      <c r="B95" s="10">
        <v>45020</v>
      </c>
      <c r="C95" s="2">
        <v>1595</v>
      </c>
      <c r="D95" s="2">
        <v>1595</v>
      </c>
      <c r="E95" s="2">
        <v>1090</v>
      </c>
      <c r="F95" s="2">
        <v>2609</v>
      </c>
      <c r="G95" s="2">
        <v>2359.5</v>
      </c>
      <c r="H95" s="2">
        <v>880</v>
      </c>
      <c r="I95" s="2">
        <v>880</v>
      </c>
      <c r="J95" s="2">
        <v>623</v>
      </c>
      <c r="K95" s="2">
        <v>0</v>
      </c>
      <c r="L95" s="2">
        <v>11849</v>
      </c>
      <c r="M95" s="2">
        <v>3308</v>
      </c>
      <c r="N95" s="2">
        <v>1654</v>
      </c>
      <c r="O95" s="2">
        <v>0</v>
      </c>
      <c r="P95" s="2">
        <v>0</v>
      </c>
      <c r="Q95" s="2">
        <v>0</v>
      </c>
      <c r="R95" s="3">
        <f t="shared" si="3"/>
        <v>28442.5</v>
      </c>
      <c r="S95" s="3">
        <v>6835</v>
      </c>
      <c r="T95" s="3">
        <v>16556</v>
      </c>
      <c r="U95" s="5">
        <f t="shared" si="4"/>
        <v>5051.5</v>
      </c>
    </row>
    <row r="96" spans="1:21" ht="18.75" customHeight="1">
      <c r="A96" s="7" t="s">
        <v>20</v>
      </c>
      <c r="B96" s="10">
        <v>45021</v>
      </c>
      <c r="C96" s="2">
        <v>1420</v>
      </c>
      <c r="D96" s="2">
        <v>1090</v>
      </c>
      <c r="E96" s="2">
        <v>840</v>
      </c>
      <c r="F96" s="2">
        <v>2505</v>
      </c>
      <c r="G96" s="2">
        <v>1432</v>
      </c>
      <c r="H96" s="2">
        <v>1070</v>
      </c>
      <c r="I96" s="2">
        <v>895</v>
      </c>
      <c r="J96" s="2">
        <v>1437</v>
      </c>
      <c r="K96" s="2">
        <v>0</v>
      </c>
      <c r="L96" s="2">
        <v>14052</v>
      </c>
      <c r="M96" s="2">
        <v>3029</v>
      </c>
      <c r="N96" s="2">
        <v>85</v>
      </c>
      <c r="O96" s="2">
        <v>0</v>
      </c>
      <c r="P96" s="2">
        <v>0</v>
      </c>
      <c r="Q96" s="2">
        <v>0</v>
      </c>
      <c r="R96" s="3">
        <f t="shared" si="3"/>
        <v>27855</v>
      </c>
      <c r="S96" s="3">
        <v>5510</v>
      </c>
      <c r="T96" s="3">
        <v>15313</v>
      </c>
      <c r="U96" s="5">
        <f t="shared" si="4"/>
        <v>7032</v>
      </c>
    </row>
    <row r="97" spans="1:21" ht="18.75" customHeight="1">
      <c r="A97" s="7" t="s">
        <v>21</v>
      </c>
      <c r="B97" s="10">
        <v>45022</v>
      </c>
      <c r="C97" s="2">
        <v>2440</v>
      </c>
      <c r="D97" s="2">
        <v>1595</v>
      </c>
      <c r="E97" s="2">
        <v>810</v>
      </c>
      <c r="F97" s="2">
        <v>4093</v>
      </c>
      <c r="G97" s="2">
        <v>2124</v>
      </c>
      <c r="H97" s="2">
        <v>1150</v>
      </c>
      <c r="I97" s="2">
        <v>1066</v>
      </c>
      <c r="J97" s="2">
        <v>1285</v>
      </c>
      <c r="K97" s="2">
        <v>0</v>
      </c>
      <c r="L97" s="2">
        <v>19334</v>
      </c>
      <c r="M97" s="2">
        <v>4616</v>
      </c>
      <c r="N97" s="2">
        <v>622</v>
      </c>
      <c r="O97" s="2">
        <v>0</v>
      </c>
      <c r="P97" s="2">
        <v>0</v>
      </c>
      <c r="Q97" s="2">
        <v>0</v>
      </c>
      <c r="R97" s="3">
        <f t="shared" si="3"/>
        <v>39135</v>
      </c>
      <c r="S97" s="3">
        <v>8830</v>
      </c>
      <c r="T97" s="3">
        <v>21377</v>
      </c>
      <c r="U97" s="5">
        <f t="shared" si="4"/>
        <v>8928</v>
      </c>
    </row>
    <row r="98" spans="1:21" ht="18.75" customHeight="1">
      <c r="A98" s="7" t="s">
        <v>22</v>
      </c>
      <c r="B98" s="10">
        <v>45023</v>
      </c>
      <c r="C98" s="2">
        <v>2820</v>
      </c>
      <c r="D98" s="2">
        <v>1055</v>
      </c>
      <c r="E98" s="2">
        <v>605</v>
      </c>
      <c r="F98" s="2">
        <v>2265</v>
      </c>
      <c r="G98" s="2">
        <v>1295</v>
      </c>
      <c r="H98" s="2">
        <v>995</v>
      </c>
      <c r="I98" s="2">
        <v>1615</v>
      </c>
      <c r="J98" s="2">
        <v>2315</v>
      </c>
      <c r="K98" s="2">
        <v>0</v>
      </c>
      <c r="L98" s="2">
        <v>21257</v>
      </c>
      <c r="M98" s="2">
        <v>6956</v>
      </c>
      <c r="N98" s="2">
        <v>695</v>
      </c>
      <c r="O98" s="2">
        <v>0</v>
      </c>
      <c r="P98" s="2">
        <v>0</v>
      </c>
      <c r="Q98" s="2">
        <v>0</v>
      </c>
      <c r="R98" s="3">
        <f t="shared" si="3"/>
        <v>41873</v>
      </c>
      <c r="S98" s="3">
        <v>6025</v>
      </c>
      <c r="T98" s="3">
        <v>11968</v>
      </c>
      <c r="U98" s="5">
        <f t="shared" si="4"/>
        <v>23880</v>
      </c>
    </row>
    <row r="99" spans="1:21" ht="18.75" customHeight="1">
      <c r="A99" s="7" t="s">
        <v>23</v>
      </c>
      <c r="B99" s="10">
        <v>45024</v>
      </c>
      <c r="C99" s="2">
        <v>1975</v>
      </c>
      <c r="D99" s="2">
        <v>910</v>
      </c>
      <c r="E99" s="2">
        <v>1135</v>
      </c>
      <c r="F99" s="2">
        <v>3121</v>
      </c>
      <c r="G99" s="2">
        <v>2506</v>
      </c>
      <c r="H99" s="2">
        <v>2535</v>
      </c>
      <c r="I99" s="2">
        <v>782</v>
      </c>
      <c r="J99" s="2">
        <v>1610</v>
      </c>
      <c r="K99" s="2">
        <v>0</v>
      </c>
      <c r="L99" s="2">
        <v>25840</v>
      </c>
      <c r="M99" s="2">
        <v>4177</v>
      </c>
      <c r="N99" s="2">
        <v>185</v>
      </c>
      <c r="O99" s="2">
        <v>0</v>
      </c>
      <c r="P99" s="2">
        <v>0</v>
      </c>
      <c r="Q99" s="2">
        <v>0</v>
      </c>
      <c r="R99" s="3">
        <f t="shared" ref="R99:R130" si="5">SUM(C99:N99)</f>
        <v>44776</v>
      </c>
      <c r="S99" s="3">
        <v>7000</v>
      </c>
      <c r="T99" s="3">
        <v>19176</v>
      </c>
      <c r="U99" s="5">
        <f t="shared" si="4"/>
        <v>18600</v>
      </c>
    </row>
    <row r="100" spans="1:21" ht="18.75" customHeight="1">
      <c r="A100" s="7" t="s">
        <v>17</v>
      </c>
      <c r="B100" s="10">
        <v>45025</v>
      </c>
      <c r="C100" s="2">
        <v>2985</v>
      </c>
      <c r="D100" s="2">
        <v>1240</v>
      </c>
      <c r="E100" s="2">
        <v>890</v>
      </c>
      <c r="F100" s="2">
        <v>2934</v>
      </c>
      <c r="G100" s="2">
        <v>1701</v>
      </c>
      <c r="H100" s="2">
        <v>1745</v>
      </c>
      <c r="I100" s="2">
        <v>290</v>
      </c>
      <c r="J100" s="2">
        <v>250</v>
      </c>
      <c r="K100" s="2">
        <v>0</v>
      </c>
      <c r="L100" s="2">
        <v>17927</v>
      </c>
      <c r="M100" s="2">
        <v>3660</v>
      </c>
      <c r="N100" s="2">
        <v>186</v>
      </c>
      <c r="O100" s="2">
        <v>0</v>
      </c>
      <c r="P100" s="2">
        <v>0</v>
      </c>
      <c r="Q100" s="2">
        <v>0</v>
      </c>
      <c r="R100" s="3">
        <f t="shared" si="5"/>
        <v>33808</v>
      </c>
      <c r="S100" s="3">
        <v>6160</v>
      </c>
      <c r="T100" s="3">
        <v>15794</v>
      </c>
      <c r="U100" s="5">
        <f t="shared" si="4"/>
        <v>11854</v>
      </c>
    </row>
    <row r="101" spans="1:21" ht="18.75" customHeight="1">
      <c r="A101" s="7" t="s">
        <v>18</v>
      </c>
      <c r="B101" s="10">
        <v>45026</v>
      </c>
      <c r="C101" s="2">
        <v>1968</v>
      </c>
      <c r="D101" s="2">
        <v>1640</v>
      </c>
      <c r="E101" s="2">
        <v>670</v>
      </c>
      <c r="F101" s="2">
        <v>3375</v>
      </c>
      <c r="G101" s="2">
        <v>2194</v>
      </c>
      <c r="H101" s="2">
        <v>1030</v>
      </c>
      <c r="I101" s="2">
        <v>1100</v>
      </c>
      <c r="J101" s="2">
        <v>1173</v>
      </c>
      <c r="K101" s="2">
        <v>0</v>
      </c>
      <c r="L101" s="2">
        <v>13078</v>
      </c>
      <c r="M101" s="2">
        <v>2926</v>
      </c>
      <c r="N101" s="2">
        <v>105</v>
      </c>
      <c r="O101" s="2">
        <v>0</v>
      </c>
      <c r="P101" s="2">
        <v>0</v>
      </c>
      <c r="Q101" s="2">
        <v>0</v>
      </c>
      <c r="R101" s="3">
        <f t="shared" si="5"/>
        <v>29259</v>
      </c>
      <c r="S101" s="3">
        <v>6710</v>
      </c>
      <c r="T101" s="3">
        <v>19199</v>
      </c>
      <c r="U101" s="5">
        <f t="shared" si="4"/>
        <v>3350</v>
      </c>
    </row>
    <row r="102" spans="1:21" ht="18.75" customHeight="1">
      <c r="A102" s="7" t="s">
        <v>19</v>
      </c>
      <c r="B102" s="10">
        <v>45027</v>
      </c>
      <c r="C102" s="2">
        <v>1525</v>
      </c>
      <c r="D102" s="2">
        <v>686</v>
      </c>
      <c r="E102" s="2">
        <v>870</v>
      </c>
      <c r="F102" s="2">
        <v>3120</v>
      </c>
      <c r="G102" s="2">
        <v>2170</v>
      </c>
      <c r="H102" s="2">
        <v>745</v>
      </c>
      <c r="I102" s="2">
        <v>533</v>
      </c>
      <c r="J102" s="2">
        <v>420</v>
      </c>
      <c r="K102" s="2">
        <v>0</v>
      </c>
      <c r="L102" s="2">
        <v>11646</v>
      </c>
      <c r="M102" s="2">
        <v>4615</v>
      </c>
      <c r="N102" s="2">
        <v>0</v>
      </c>
      <c r="O102" s="2">
        <v>0</v>
      </c>
      <c r="P102" s="2">
        <v>0</v>
      </c>
      <c r="Q102" s="2">
        <v>0</v>
      </c>
      <c r="R102" s="3">
        <f t="shared" si="5"/>
        <v>26330</v>
      </c>
      <c r="S102" s="3">
        <v>6080</v>
      </c>
      <c r="T102" s="3">
        <v>13481</v>
      </c>
      <c r="U102" s="5">
        <f t="shared" si="4"/>
        <v>6769</v>
      </c>
    </row>
    <row r="103" spans="1:21" ht="18.75" customHeight="1">
      <c r="A103" s="7" t="s">
        <v>20</v>
      </c>
      <c r="B103" s="10">
        <v>45028</v>
      </c>
      <c r="C103" s="2">
        <v>1795</v>
      </c>
      <c r="D103" s="2">
        <v>967</v>
      </c>
      <c r="E103" s="2">
        <v>1766</v>
      </c>
      <c r="F103" s="2">
        <v>1217</v>
      </c>
      <c r="G103" s="2">
        <v>1881</v>
      </c>
      <c r="H103" s="2">
        <v>1600</v>
      </c>
      <c r="I103" s="2">
        <v>515</v>
      </c>
      <c r="J103" s="2">
        <v>1114</v>
      </c>
      <c r="K103" s="2">
        <v>0</v>
      </c>
      <c r="L103" s="2">
        <v>13329</v>
      </c>
      <c r="M103" s="2">
        <v>2100</v>
      </c>
      <c r="N103" s="2">
        <v>942</v>
      </c>
      <c r="O103" s="2">
        <v>0</v>
      </c>
      <c r="P103" s="2">
        <v>0</v>
      </c>
      <c r="Q103" s="2">
        <v>0</v>
      </c>
      <c r="R103" s="3">
        <f t="shared" si="5"/>
        <v>27226</v>
      </c>
      <c r="S103" s="3">
        <v>6600</v>
      </c>
      <c r="T103" s="3">
        <v>9674</v>
      </c>
      <c r="U103" s="5">
        <f t="shared" si="4"/>
        <v>10952</v>
      </c>
    </row>
    <row r="104" spans="1:21" ht="18.75" customHeight="1">
      <c r="A104" s="7" t="s">
        <v>21</v>
      </c>
      <c r="B104" s="10">
        <v>45029</v>
      </c>
      <c r="C104" s="2">
        <v>1880</v>
      </c>
      <c r="D104" s="2">
        <v>1080</v>
      </c>
      <c r="E104" s="2">
        <v>1090</v>
      </c>
      <c r="F104" s="2">
        <v>4080</v>
      </c>
      <c r="G104" s="2">
        <v>1655</v>
      </c>
      <c r="H104" s="2">
        <v>410</v>
      </c>
      <c r="I104" s="2">
        <v>400</v>
      </c>
      <c r="J104" s="2">
        <v>1370</v>
      </c>
      <c r="K104" s="2">
        <v>0</v>
      </c>
      <c r="L104" s="2">
        <v>12848</v>
      </c>
      <c r="M104" s="2">
        <v>2049</v>
      </c>
      <c r="N104" s="2">
        <v>0</v>
      </c>
      <c r="O104" s="2">
        <v>0</v>
      </c>
      <c r="P104" s="2">
        <v>0</v>
      </c>
      <c r="Q104" s="2">
        <v>0</v>
      </c>
      <c r="R104" s="3">
        <f t="shared" si="5"/>
        <v>26862</v>
      </c>
      <c r="S104" s="3">
        <v>5970</v>
      </c>
      <c r="T104" s="3">
        <v>14919</v>
      </c>
      <c r="U104" s="5">
        <f t="shared" si="4"/>
        <v>5973</v>
      </c>
    </row>
    <row r="105" spans="1:21" ht="18.75" customHeight="1">
      <c r="A105" s="7" t="s">
        <v>22</v>
      </c>
      <c r="B105" s="10">
        <v>45030</v>
      </c>
      <c r="C105" s="2">
        <v>1720</v>
      </c>
      <c r="D105" s="2">
        <v>1195</v>
      </c>
      <c r="E105" s="2">
        <v>840</v>
      </c>
      <c r="F105" s="2">
        <v>3860</v>
      </c>
      <c r="G105" s="2">
        <v>1946</v>
      </c>
      <c r="H105" s="2">
        <v>695</v>
      </c>
      <c r="I105" s="2">
        <v>610</v>
      </c>
      <c r="J105" s="2">
        <v>1050</v>
      </c>
      <c r="K105" s="2">
        <v>0</v>
      </c>
      <c r="L105" s="2">
        <v>17019</v>
      </c>
      <c r="M105" s="2">
        <v>2145</v>
      </c>
      <c r="N105" s="2">
        <v>950</v>
      </c>
      <c r="O105" s="2">
        <v>0</v>
      </c>
      <c r="P105" s="2">
        <v>0</v>
      </c>
      <c r="Q105" s="2">
        <v>0</v>
      </c>
      <c r="R105" s="3">
        <f t="shared" si="5"/>
        <v>32030</v>
      </c>
      <c r="S105" s="3">
        <v>5650</v>
      </c>
      <c r="T105" s="3">
        <v>14274</v>
      </c>
      <c r="U105" s="5">
        <f t="shared" si="4"/>
        <v>12106</v>
      </c>
    </row>
    <row r="106" spans="1:21" ht="18.75" customHeight="1">
      <c r="A106" s="7" t="s">
        <v>23</v>
      </c>
      <c r="B106" s="10">
        <v>45031</v>
      </c>
      <c r="C106" s="2">
        <v>2515</v>
      </c>
      <c r="D106" s="2">
        <v>1000</v>
      </c>
      <c r="E106" s="2">
        <v>680</v>
      </c>
      <c r="F106" s="2">
        <v>2214</v>
      </c>
      <c r="G106" s="2">
        <v>2612</v>
      </c>
      <c r="H106" s="2">
        <v>1580</v>
      </c>
      <c r="I106" s="2">
        <v>800</v>
      </c>
      <c r="J106" s="2">
        <v>1407</v>
      </c>
      <c r="K106" s="2">
        <v>0</v>
      </c>
      <c r="L106" s="2">
        <v>18409</v>
      </c>
      <c r="M106" s="2">
        <v>2558</v>
      </c>
      <c r="N106" s="2">
        <v>270</v>
      </c>
      <c r="O106" s="2">
        <v>0</v>
      </c>
      <c r="P106" s="2">
        <v>0</v>
      </c>
      <c r="Q106" s="2">
        <v>0</v>
      </c>
      <c r="R106" s="3">
        <f t="shared" si="5"/>
        <v>34045</v>
      </c>
      <c r="S106" s="3">
        <v>5620</v>
      </c>
      <c r="T106" s="3">
        <v>11960</v>
      </c>
      <c r="U106" s="5">
        <f t="shared" si="4"/>
        <v>16465</v>
      </c>
    </row>
    <row r="107" spans="1:21" ht="18.75" customHeight="1">
      <c r="A107" s="7" t="s">
        <v>17</v>
      </c>
      <c r="B107" s="10">
        <v>45032</v>
      </c>
      <c r="C107" s="2">
        <v>1710</v>
      </c>
      <c r="D107" s="2">
        <v>1220</v>
      </c>
      <c r="E107" s="2">
        <v>555</v>
      </c>
      <c r="F107" s="2">
        <v>5021</v>
      </c>
      <c r="G107" s="2">
        <v>2340</v>
      </c>
      <c r="H107" s="2">
        <v>1120</v>
      </c>
      <c r="I107" s="2">
        <v>599</v>
      </c>
      <c r="J107" s="2">
        <v>1780</v>
      </c>
      <c r="K107" s="2">
        <v>0</v>
      </c>
      <c r="L107" s="2">
        <v>15710</v>
      </c>
      <c r="M107" s="2">
        <v>2172</v>
      </c>
      <c r="N107" s="2">
        <v>0</v>
      </c>
      <c r="O107" s="2">
        <v>0</v>
      </c>
      <c r="P107" s="2">
        <v>0</v>
      </c>
      <c r="Q107" s="2">
        <v>0</v>
      </c>
      <c r="R107" s="3">
        <f t="shared" si="5"/>
        <v>32227</v>
      </c>
      <c r="S107" s="3">
        <v>6240</v>
      </c>
      <c r="T107" s="3">
        <v>12330</v>
      </c>
      <c r="U107" s="5">
        <f t="shared" si="4"/>
        <v>13657</v>
      </c>
    </row>
    <row r="108" spans="1:21" ht="18.75" customHeight="1">
      <c r="A108" s="7" t="s">
        <v>18</v>
      </c>
      <c r="B108" s="10">
        <v>45033</v>
      </c>
      <c r="C108" s="2">
        <v>1755</v>
      </c>
      <c r="D108" s="2">
        <v>1351</v>
      </c>
      <c r="E108" s="2">
        <v>0</v>
      </c>
      <c r="F108" s="2">
        <v>2607</v>
      </c>
      <c r="G108" s="2">
        <v>2450</v>
      </c>
      <c r="H108" s="2">
        <v>410</v>
      </c>
      <c r="I108" s="2">
        <v>865</v>
      </c>
      <c r="J108" s="2">
        <v>234</v>
      </c>
      <c r="K108" s="2">
        <v>0</v>
      </c>
      <c r="L108" s="2">
        <v>9870</v>
      </c>
      <c r="M108" s="2">
        <v>1608</v>
      </c>
      <c r="N108" s="2">
        <v>380</v>
      </c>
      <c r="O108" s="2">
        <v>0</v>
      </c>
      <c r="P108" s="2">
        <v>0</v>
      </c>
      <c r="Q108" s="2">
        <v>0</v>
      </c>
      <c r="R108" s="3">
        <f t="shared" si="5"/>
        <v>21530</v>
      </c>
      <c r="S108" s="3">
        <v>5345</v>
      </c>
      <c r="T108" s="3">
        <v>12400</v>
      </c>
      <c r="U108" s="5">
        <f t="shared" si="4"/>
        <v>3785</v>
      </c>
    </row>
    <row r="109" spans="1:21" ht="18.75" customHeight="1">
      <c r="A109" s="7" t="s">
        <v>19</v>
      </c>
      <c r="B109" s="10">
        <v>45034</v>
      </c>
      <c r="C109" s="2">
        <v>1427</v>
      </c>
      <c r="D109" s="2">
        <v>655</v>
      </c>
      <c r="E109" s="2">
        <v>575</v>
      </c>
      <c r="F109" s="2">
        <v>1537</v>
      </c>
      <c r="G109" s="2">
        <v>2161</v>
      </c>
      <c r="H109" s="2">
        <v>215</v>
      </c>
      <c r="I109" s="2">
        <v>592</v>
      </c>
      <c r="J109" s="2">
        <v>667</v>
      </c>
      <c r="K109" s="2">
        <v>0</v>
      </c>
      <c r="L109" s="2">
        <v>7895</v>
      </c>
      <c r="M109" s="2">
        <v>320</v>
      </c>
      <c r="N109" s="2">
        <v>256</v>
      </c>
      <c r="O109" s="2">
        <v>0</v>
      </c>
      <c r="P109" s="2">
        <v>0</v>
      </c>
      <c r="Q109" s="2">
        <v>0</v>
      </c>
      <c r="R109" s="3">
        <f t="shared" si="5"/>
        <v>16300</v>
      </c>
      <c r="S109" s="3">
        <v>5850</v>
      </c>
      <c r="T109" s="3">
        <v>7943</v>
      </c>
      <c r="U109" s="5">
        <f t="shared" si="4"/>
        <v>2507</v>
      </c>
    </row>
    <row r="110" spans="1:21" ht="18.75" customHeight="1">
      <c r="A110" s="7" t="s">
        <v>20</v>
      </c>
      <c r="B110" s="10">
        <v>45035</v>
      </c>
      <c r="C110" s="2">
        <v>1240</v>
      </c>
      <c r="D110" s="2">
        <v>590</v>
      </c>
      <c r="E110" s="2">
        <v>840</v>
      </c>
      <c r="F110" s="2">
        <v>1815</v>
      </c>
      <c r="G110" s="2">
        <v>1147</v>
      </c>
      <c r="H110" s="2">
        <v>320</v>
      </c>
      <c r="I110" s="2">
        <v>715</v>
      </c>
      <c r="J110" s="2">
        <v>226</v>
      </c>
      <c r="K110" s="2">
        <v>0</v>
      </c>
      <c r="L110" s="2">
        <v>4596</v>
      </c>
      <c r="M110" s="2">
        <v>396</v>
      </c>
      <c r="N110" s="2">
        <v>215</v>
      </c>
      <c r="O110" s="2">
        <v>0</v>
      </c>
      <c r="P110" s="2">
        <v>0</v>
      </c>
      <c r="Q110" s="2">
        <v>0</v>
      </c>
      <c r="R110" s="3">
        <f t="shared" si="5"/>
        <v>12100</v>
      </c>
      <c r="S110" s="3">
        <v>5105</v>
      </c>
      <c r="T110" s="3">
        <v>6547</v>
      </c>
      <c r="U110" s="5">
        <f t="shared" si="4"/>
        <v>448</v>
      </c>
    </row>
    <row r="111" spans="1:21" ht="18.75" customHeight="1">
      <c r="A111" s="7" t="s">
        <v>21</v>
      </c>
      <c r="B111" s="10">
        <v>45036</v>
      </c>
      <c r="C111" s="2">
        <v>1145</v>
      </c>
      <c r="D111" s="2">
        <v>550</v>
      </c>
      <c r="E111" s="2">
        <v>625</v>
      </c>
      <c r="F111" s="2">
        <v>1226</v>
      </c>
      <c r="G111" s="2">
        <v>1918</v>
      </c>
      <c r="H111" s="2">
        <v>770</v>
      </c>
      <c r="I111" s="2">
        <v>873</v>
      </c>
      <c r="J111" s="2">
        <v>410</v>
      </c>
      <c r="K111" s="2">
        <v>0</v>
      </c>
      <c r="L111" s="2">
        <v>4979</v>
      </c>
      <c r="M111" s="2">
        <v>2216</v>
      </c>
      <c r="N111" s="2">
        <v>348</v>
      </c>
      <c r="O111" s="2">
        <v>0</v>
      </c>
      <c r="P111" s="2">
        <v>0</v>
      </c>
      <c r="Q111" s="2">
        <v>0</v>
      </c>
      <c r="R111" s="3">
        <f t="shared" si="5"/>
        <v>15060</v>
      </c>
      <c r="S111" s="3">
        <v>3920</v>
      </c>
      <c r="T111" s="3">
        <v>6918</v>
      </c>
      <c r="U111" s="5">
        <f t="shared" si="4"/>
        <v>4222</v>
      </c>
    </row>
    <row r="112" spans="1:21" ht="18.75" customHeight="1">
      <c r="A112" s="7" t="s">
        <v>22</v>
      </c>
      <c r="B112" s="10">
        <v>45037</v>
      </c>
      <c r="C112" s="2">
        <v>1755</v>
      </c>
      <c r="D112" s="2">
        <v>1080</v>
      </c>
      <c r="E112" s="2">
        <v>660</v>
      </c>
      <c r="F112" s="2">
        <v>1864</v>
      </c>
      <c r="G112" s="2">
        <v>2083</v>
      </c>
      <c r="H112" s="2">
        <v>650</v>
      </c>
      <c r="I112" s="2">
        <v>1120</v>
      </c>
      <c r="J112" s="2">
        <v>0</v>
      </c>
      <c r="K112" s="2">
        <v>0</v>
      </c>
      <c r="L112" s="2">
        <v>7339</v>
      </c>
      <c r="M112" s="2">
        <v>100</v>
      </c>
      <c r="N112" s="2">
        <v>1163</v>
      </c>
      <c r="O112" s="2">
        <v>0</v>
      </c>
      <c r="P112" s="2">
        <v>0</v>
      </c>
      <c r="Q112" s="2">
        <v>0</v>
      </c>
      <c r="R112" s="3">
        <f t="shared" si="5"/>
        <v>17814</v>
      </c>
      <c r="S112" s="3">
        <v>4810</v>
      </c>
      <c r="T112" s="3">
        <v>5511</v>
      </c>
      <c r="U112" s="5">
        <f t="shared" si="4"/>
        <v>7493</v>
      </c>
    </row>
    <row r="113" spans="1:21" ht="18.75" customHeight="1">
      <c r="A113" s="7" t="s">
        <v>23</v>
      </c>
      <c r="B113" s="10">
        <v>45038</v>
      </c>
      <c r="C113" s="2">
        <v>1651</v>
      </c>
      <c r="D113" s="2">
        <v>920</v>
      </c>
      <c r="E113" s="2">
        <v>365</v>
      </c>
      <c r="F113" s="2">
        <v>1206</v>
      </c>
      <c r="G113" s="2">
        <v>1712</v>
      </c>
      <c r="H113" s="2">
        <v>740</v>
      </c>
      <c r="I113" s="2">
        <v>380</v>
      </c>
      <c r="J113" s="2">
        <v>1020</v>
      </c>
      <c r="K113" s="2">
        <v>0</v>
      </c>
      <c r="L113" s="2">
        <v>11247</v>
      </c>
      <c r="M113" s="2">
        <v>2229</v>
      </c>
      <c r="N113" s="2">
        <v>0</v>
      </c>
      <c r="O113" s="2">
        <v>0</v>
      </c>
      <c r="P113" s="2">
        <v>0</v>
      </c>
      <c r="Q113" s="2">
        <v>0</v>
      </c>
      <c r="R113" s="3">
        <f t="shared" si="5"/>
        <v>21470</v>
      </c>
      <c r="S113" s="3">
        <v>5500</v>
      </c>
      <c r="T113" s="3">
        <v>11246</v>
      </c>
      <c r="U113" s="5">
        <f t="shared" si="4"/>
        <v>4724</v>
      </c>
    </row>
    <row r="114" spans="1:21" ht="18.75" customHeight="1">
      <c r="A114" s="7" t="s">
        <v>17</v>
      </c>
      <c r="B114" s="10">
        <v>45039</v>
      </c>
      <c r="C114" s="2">
        <v>2910</v>
      </c>
      <c r="D114" s="2">
        <v>235</v>
      </c>
      <c r="E114" s="2">
        <v>260</v>
      </c>
      <c r="F114" s="2">
        <v>2020</v>
      </c>
      <c r="G114" s="2">
        <v>2701</v>
      </c>
      <c r="H114" s="2">
        <v>1190</v>
      </c>
      <c r="I114" s="2">
        <v>135</v>
      </c>
      <c r="J114" s="2">
        <v>995</v>
      </c>
      <c r="K114" s="2">
        <v>0</v>
      </c>
      <c r="L114" s="2">
        <v>12545</v>
      </c>
      <c r="M114" s="2">
        <v>2239</v>
      </c>
      <c r="N114" s="2">
        <v>0</v>
      </c>
      <c r="O114" s="2">
        <v>0</v>
      </c>
      <c r="P114" s="2">
        <v>0</v>
      </c>
      <c r="Q114" s="2">
        <v>0</v>
      </c>
      <c r="R114" s="3">
        <f t="shared" si="5"/>
        <v>25230</v>
      </c>
      <c r="S114" s="3">
        <v>5460</v>
      </c>
      <c r="T114" s="3">
        <v>7748</v>
      </c>
      <c r="U114" s="5">
        <f t="shared" si="4"/>
        <v>12022</v>
      </c>
    </row>
    <row r="115" spans="1:21" ht="18.75" customHeight="1">
      <c r="A115" s="7" t="s">
        <v>18</v>
      </c>
      <c r="B115" s="10">
        <v>45040</v>
      </c>
      <c r="C115" s="2">
        <v>2430</v>
      </c>
      <c r="D115" s="2">
        <v>1335</v>
      </c>
      <c r="E115" s="2">
        <v>810</v>
      </c>
      <c r="F115" s="2">
        <v>1226</v>
      </c>
      <c r="G115" s="2">
        <v>2198</v>
      </c>
      <c r="H115" s="2">
        <v>0</v>
      </c>
      <c r="I115" s="2">
        <v>740</v>
      </c>
      <c r="J115" s="2">
        <v>90</v>
      </c>
      <c r="K115" s="2">
        <v>0</v>
      </c>
      <c r="L115" s="2">
        <v>8393</v>
      </c>
      <c r="M115" s="2">
        <v>1149</v>
      </c>
      <c r="N115" s="2">
        <v>878</v>
      </c>
      <c r="O115" s="2">
        <v>0</v>
      </c>
      <c r="P115" s="2">
        <v>0</v>
      </c>
      <c r="Q115" s="2">
        <v>0</v>
      </c>
      <c r="R115" s="3">
        <f t="shared" si="5"/>
        <v>19249</v>
      </c>
      <c r="S115" s="3">
        <v>4310</v>
      </c>
      <c r="T115" s="3">
        <v>11485</v>
      </c>
      <c r="U115" s="5">
        <f t="shared" si="4"/>
        <v>3454</v>
      </c>
    </row>
    <row r="116" spans="1:21" ht="18.75" customHeight="1">
      <c r="A116" s="7" t="s">
        <v>19</v>
      </c>
      <c r="B116" s="10">
        <v>45041</v>
      </c>
      <c r="C116" s="2">
        <v>1000</v>
      </c>
      <c r="D116" s="2">
        <v>500</v>
      </c>
      <c r="E116" s="2">
        <v>665</v>
      </c>
      <c r="F116" s="2">
        <v>1250</v>
      </c>
      <c r="G116" s="2">
        <v>1345</v>
      </c>
      <c r="H116" s="2">
        <v>205</v>
      </c>
      <c r="I116" s="2">
        <v>715</v>
      </c>
      <c r="J116" s="2">
        <v>626</v>
      </c>
      <c r="K116" s="2">
        <v>0</v>
      </c>
      <c r="L116" s="2">
        <v>5512</v>
      </c>
      <c r="M116" s="2">
        <v>1967</v>
      </c>
      <c r="N116" s="2">
        <v>413</v>
      </c>
      <c r="O116" s="2">
        <v>0</v>
      </c>
      <c r="P116" s="2">
        <v>0</v>
      </c>
      <c r="Q116" s="2">
        <v>0</v>
      </c>
      <c r="R116" s="3">
        <f t="shared" si="5"/>
        <v>14198</v>
      </c>
      <c r="S116" s="3">
        <v>6295</v>
      </c>
      <c r="T116" s="3">
        <v>5971</v>
      </c>
      <c r="U116" s="5">
        <f t="shared" si="4"/>
        <v>1932</v>
      </c>
    </row>
    <row r="117" spans="1:21" ht="18.75" customHeight="1">
      <c r="A117" s="7" t="s">
        <v>20</v>
      </c>
      <c r="B117" s="10">
        <v>45042</v>
      </c>
      <c r="C117" s="2">
        <v>1405</v>
      </c>
      <c r="D117" s="2">
        <v>665</v>
      </c>
      <c r="E117" s="2">
        <v>645</v>
      </c>
      <c r="F117" s="2">
        <v>1560</v>
      </c>
      <c r="G117" s="2">
        <v>1016</v>
      </c>
      <c r="H117" s="2">
        <v>800</v>
      </c>
      <c r="I117" s="2">
        <v>985</v>
      </c>
      <c r="J117" s="2">
        <v>1056</v>
      </c>
      <c r="K117" s="2">
        <v>0</v>
      </c>
      <c r="L117" s="2">
        <v>9184</v>
      </c>
      <c r="M117" s="2">
        <v>1279</v>
      </c>
      <c r="N117" s="2">
        <v>568</v>
      </c>
      <c r="O117" s="2">
        <v>0</v>
      </c>
      <c r="P117" s="2">
        <v>0</v>
      </c>
      <c r="Q117" s="2">
        <v>0</v>
      </c>
      <c r="R117" s="3">
        <f t="shared" si="5"/>
        <v>19163</v>
      </c>
      <c r="S117" s="3">
        <v>5180</v>
      </c>
      <c r="T117" s="3">
        <v>10126</v>
      </c>
      <c r="U117" s="5">
        <f t="shared" si="4"/>
        <v>3857</v>
      </c>
    </row>
    <row r="118" spans="1:21" ht="18.75" customHeight="1">
      <c r="A118" s="7" t="s">
        <v>21</v>
      </c>
      <c r="B118" s="10">
        <v>45043</v>
      </c>
      <c r="C118" s="2">
        <v>1250</v>
      </c>
      <c r="D118" s="2">
        <v>900</v>
      </c>
      <c r="E118" s="2">
        <v>445</v>
      </c>
      <c r="F118" s="2">
        <v>905</v>
      </c>
      <c r="G118" s="2">
        <v>1501</v>
      </c>
      <c r="H118" s="2">
        <v>475</v>
      </c>
      <c r="I118" s="2">
        <v>645</v>
      </c>
      <c r="J118" s="2">
        <v>741</v>
      </c>
      <c r="K118" s="2">
        <v>0</v>
      </c>
      <c r="L118" s="2">
        <v>9500</v>
      </c>
      <c r="M118" s="2">
        <v>1220</v>
      </c>
      <c r="N118" s="2">
        <v>339</v>
      </c>
      <c r="O118" s="2">
        <v>0</v>
      </c>
      <c r="P118" s="2">
        <v>0</v>
      </c>
      <c r="Q118" s="2">
        <v>0</v>
      </c>
      <c r="R118" s="3">
        <f t="shared" si="5"/>
        <v>17921</v>
      </c>
      <c r="S118" s="3">
        <v>5290</v>
      </c>
      <c r="T118" s="3">
        <v>10731</v>
      </c>
      <c r="U118" s="5">
        <f t="shared" si="4"/>
        <v>1900</v>
      </c>
    </row>
    <row r="119" spans="1:21" ht="18.75" customHeight="1">
      <c r="A119" s="7" t="s">
        <v>22</v>
      </c>
      <c r="B119" s="10">
        <v>45044</v>
      </c>
      <c r="C119" s="2">
        <v>2155</v>
      </c>
      <c r="D119" s="2">
        <v>1188.5</v>
      </c>
      <c r="E119" s="2">
        <v>745</v>
      </c>
      <c r="F119" s="2">
        <v>1678</v>
      </c>
      <c r="G119" s="2">
        <v>1317</v>
      </c>
      <c r="H119" s="2">
        <v>240</v>
      </c>
      <c r="I119" s="2">
        <v>830</v>
      </c>
      <c r="J119" s="2">
        <v>1223</v>
      </c>
      <c r="K119" s="2">
        <v>0</v>
      </c>
      <c r="L119" s="2">
        <v>10953</v>
      </c>
      <c r="M119" s="2">
        <v>1677</v>
      </c>
      <c r="N119" s="2">
        <v>320</v>
      </c>
      <c r="O119" s="2">
        <v>0</v>
      </c>
      <c r="P119" s="2">
        <v>0</v>
      </c>
      <c r="Q119" s="2">
        <v>0</v>
      </c>
      <c r="R119" s="3">
        <f t="shared" si="5"/>
        <v>22326.5</v>
      </c>
      <c r="S119" s="3">
        <v>6530</v>
      </c>
      <c r="T119" s="3">
        <v>11075</v>
      </c>
      <c r="U119" s="5">
        <f t="shared" si="4"/>
        <v>4721.5</v>
      </c>
    </row>
    <row r="120" spans="1:21" ht="18.75" customHeight="1">
      <c r="A120" s="7" t="s">
        <v>23</v>
      </c>
      <c r="B120" s="10">
        <v>45045</v>
      </c>
      <c r="C120" s="2">
        <v>1690</v>
      </c>
      <c r="D120" s="2">
        <v>0</v>
      </c>
      <c r="E120" s="2">
        <v>0</v>
      </c>
      <c r="F120" s="2">
        <v>1735</v>
      </c>
      <c r="G120" s="2">
        <v>1438</v>
      </c>
      <c r="H120" s="2">
        <v>0</v>
      </c>
      <c r="I120" s="2">
        <v>0</v>
      </c>
      <c r="J120" s="2">
        <v>1365</v>
      </c>
      <c r="K120" s="2">
        <v>0</v>
      </c>
      <c r="L120" s="2">
        <v>13059</v>
      </c>
      <c r="M120" s="2">
        <v>4257</v>
      </c>
      <c r="N120" s="2">
        <v>120</v>
      </c>
      <c r="O120" s="2">
        <v>0</v>
      </c>
      <c r="P120" s="2">
        <v>0</v>
      </c>
      <c r="Q120" s="2">
        <v>0</v>
      </c>
      <c r="R120" s="3">
        <f t="shared" si="5"/>
        <v>23664</v>
      </c>
      <c r="S120" s="3">
        <v>5400</v>
      </c>
      <c r="T120" s="3">
        <v>10107</v>
      </c>
      <c r="U120" s="5">
        <f t="shared" si="4"/>
        <v>8157</v>
      </c>
    </row>
    <row r="121" spans="1:21" ht="18.75" customHeight="1">
      <c r="A121" s="7" t="s">
        <v>17</v>
      </c>
      <c r="B121" s="10">
        <v>45046</v>
      </c>
      <c r="C121" s="2">
        <v>2185</v>
      </c>
      <c r="D121" s="2">
        <v>1980</v>
      </c>
      <c r="E121" s="2">
        <v>975</v>
      </c>
      <c r="F121" s="2">
        <v>2220</v>
      </c>
      <c r="G121" s="2">
        <v>1266</v>
      </c>
      <c r="H121" s="2">
        <v>1845</v>
      </c>
      <c r="I121" s="2">
        <v>215</v>
      </c>
      <c r="J121" s="2">
        <v>600</v>
      </c>
      <c r="K121" s="2">
        <v>0</v>
      </c>
      <c r="L121" s="2">
        <v>24018</v>
      </c>
      <c r="M121" s="2">
        <v>6102</v>
      </c>
      <c r="N121" s="2">
        <v>0</v>
      </c>
      <c r="O121" s="2">
        <v>0</v>
      </c>
      <c r="P121" s="2">
        <v>0</v>
      </c>
      <c r="Q121" s="2">
        <v>0</v>
      </c>
      <c r="R121" s="3">
        <f t="shared" si="5"/>
        <v>41406</v>
      </c>
      <c r="S121" s="3">
        <v>6780</v>
      </c>
      <c r="T121" s="3">
        <v>13776</v>
      </c>
      <c r="U121" s="5">
        <f t="shared" si="4"/>
        <v>20850</v>
      </c>
    </row>
    <row r="122" spans="1:21" ht="18.75" customHeight="1">
      <c r="A122" s="7" t="s">
        <v>18</v>
      </c>
      <c r="B122" s="10">
        <v>45047</v>
      </c>
      <c r="C122" s="2">
        <v>2675</v>
      </c>
      <c r="D122" s="2">
        <v>1405</v>
      </c>
      <c r="E122" s="2">
        <v>0</v>
      </c>
      <c r="F122" s="2">
        <v>2495</v>
      </c>
      <c r="G122" s="2">
        <v>847</v>
      </c>
      <c r="H122" s="2">
        <v>2075</v>
      </c>
      <c r="I122" s="2">
        <v>630</v>
      </c>
      <c r="J122" s="2">
        <v>1300</v>
      </c>
      <c r="K122" s="2">
        <v>0</v>
      </c>
      <c r="L122" s="2">
        <v>19293</v>
      </c>
      <c r="M122" s="2">
        <v>6155</v>
      </c>
      <c r="N122" s="2">
        <v>612</v>
      </c>
      <c r="O122" s="2">
        <v>0</v>
      </c>
      <c r="P122" s="2">
        <v>0</v>
      </c>
      <c r="Q122" s="2">
        <v>0</v>
      </c>
      <c r="R122" s="3">
        <f t="shared" si="5"/>
        <v>37487</v>
      </c>
      <c r="S122" s="3">
        <v>6230</v>
      </c>
      <c r="T122" s="3">
        <v>18460</v>
      </c>
      <c r="U122" s="5">
        <f t="shared" si="4"/>
        <v>12797</v>
      </c>
    </row>
    <row r="123" spans="1:21" ht="18.75" customHeight="1">
      <c r="A123" s="7" t="s">
        <v>19</v>
      </c>
      <c r="B123" s="10">
        <v>45048</v>
      </c>
      <c r="C123" s="2">
        <v>1305</v>
      </c>
      <c r="D123" s="2">
        <v>1446</v>
      </c>
      <c r="E123" s="2">
        <v>475</v>
      </c>
      <c r="F123" s="2">
        <v>2086</v>
      </c>
      <c r="G123" s="2">
        <v>2265</v>
      </c>
      <c r="H123" s="2">
        <v>0</v>
      </c>
      <c r="I123" s="2">
        <v>1350</v>
      </c>
      <c r="J123" s="2">
        <v>740</v>
      </c>
      <c r="K123" s="2">
        <v>0</v>
      </c>
      <c r="L123" s="2">
        <v>7922</v>
      </c>
      <c r="M123" s="2">
        <v>773</v>
      </c>
      <c r="N123" s="2">
        <v>1128</v>
      </c>
      <c r="O123" s="2">
        <v>0</v>
      </c>
      <c r="P123" s="2">
        <v>0</v>
      </c>
      <c r="Q123" s="2">
        <v>0</v>
      </c>
      <c r="R123" s="3">
        <f t="shared" si="5"/>
        <v>19490</v>
      </c>
      <c r="S123" s="3">
        <v>4170</v>
      </c>
      <c r="T123" s="3">
        <v>9544</v>
      </c>
      <c r="U123" s="5">
        <f t="shared" si="4"/>
        <v>5776</v>
      </c>
    </row>
    <row r="124" spans="1:21" ht="18.75" customHeight="1">
      <c r="A124" s="7" t="s">
        <v>20</v>
      </c>
      <c r="B124" s="10">
        <v>45049</v>
      </c>
      <c r="C124" s="2">
        <v>1715</v>
      </c>
      <c r="D124" s="2">
        <v>1005</v>
      </c>
      <c r="E124" s="2">
        <v>620</v>
      </c>
      <c r="F124" s="2">
        <v>1295</v>
      </c>
      <c r="G124" s="2">
        <v>1666</v>
      </c>
      <c r="H124" s="2">
        <v>958</v>
      </c>
      <c r="I124" s="2">
        <v>493</v>
      </c>
      <c r="J124" s="2">
        <v>363</v>
      </c>
      <c r="K124" s="2">
        <v>0</v>
      </c>
      <c r="L124" s="2">
        <v>6023</v>
      </c>
      <c r="M124" s="2">
        <v>1942</v>
      </c>
      <c r="N124" s="2">
        <v>393</v>
      </c>
      <c r="O124" s="2">
        <v>0</v>
      </c>
      <c r="P124" s="2">
        <v>0</v>
      </c>
      <c r="Q124" s="2">
        <v>0</v>
      </c>
      <c r="R124" s="3">
        <f t="shared" si="5"/>
        <v>16473</v>
      </c>
      <c r="S124" s="3">
        <v>3430</v>
      </c>
      <c r="T124" s="3">
        <v>11200</v>
      </c>
      <c r="U124" s="5">
        <f t="shared" si="4"/>
        <v>1843</v>
      </c>
    </row>
    <row r="125" spans="1:21" ht="18.75" customHeight="1">
      <c r="A125" s="7" t="s">
        <v>21</v>
      </c>
      <c r="B125" s="10">
        <v>45050</v>
      </c>
      <c r="C125" s="2">
        <v>1595</v>
      </c>
      <c r="D125" s="2">
        <v>1615</v>
      </c>
      <c r="E125" s="2">
        <v>0</v>
      </c>
      <c r="F125" s="2">
        <v>1065</v>
      </c>
      <c r="G125" s="2">
        <v>1300</v>
      </c>
      <c r="H125" s="2">
        <v>0</v>
      </c>
      <c r="I125" s="2">
        <v>620</v>
      </c>
      <c r="J125" s="2">
        <v>615</v>
      </c>
      <c r="K125" s="2">
        <v>0</v>
      </c>
      <c r="L125" s="2">
        <v>6486</v>
      </c>
      <c r="M125" s="2">
        <v>1855</v>
      </c>
      <c r="N125" s="2">
        <v>85</v>
      </c>
      <c r="O125" s="2">
        <v>0</v>
      </c>
      <c r="P125" s="2">
        <v>0</v>
      </c>
      <c r="Q125" s="2">
        <v>0</v>
      </c>
      <c r="R125" s="3">
        <f t="shared" si="5"/>
        <v>15236</v>
      </c>
      <c r="S125" s="3">
        <v>4570</v>
      </c>
      <c r="T125" s="3">
        <v>8662</v>
      </c>
      <c r="U125" s="5">
        <f t="shared" si="4"/>
        <v>2004</v>
      </c>
    </row>
    <row r="126" spans="1:21" ht="18.75" customHeight="1">
      <c r="A126" s="7" t="s">
        <v>22</v>
      </c>
      <c r="B126" s="10">
        <v>45051</v>
      </c>
      <c r="C126" s="2">
        <v>1525</v>
      </c>
      <c r="D126" s="2">
        <v>1340</v>
      </c>
      <c r="E126" s="2">
        <v>310</v>
      </c>
      <c r="F126" s="2">
        <v>1883</v>
      </c>
      <c r="G126" s="2">
        <v>1632</v>
      </c>
      <c r="H126" s="2">
        <v>160</v>
      </c>
      <c r="I126" s="2">
        <v>1000</v>
      </c>
      <c r="J126" s="2">
        <v>1030</v>
      </c>
      <c r="K126" s="2">
        <v>0</v>
      </c>
      <c r="L126" s="2">
        <v>9564</v>
      </c>
      <c r="M126" s="2">
        <v>1269</v>
      </c>
      <c r="N126" s="2">
        <v>215</v>
      </c>
      <c r="O126" s="2">
        <v>0</v>
      </c>
      <c r="P126" s="2">
        <v>0</v>
      </c>
      <c r="Q126" s="2">
        <v>0</v>
      </c>
      <c r="R126" s="3">
        <f t="shared" si="5"/>
        <v>19928</v>
      </c>
      <c r="S126" s="3">
        <v>5730</v>
      </c>
      <c r="T126" s="3">
        <v>9273</v>
      </c>
      <c r="U126" s="5">
        <f t="shared" si="4"/>
        <v>4925</v>
      </c>
    </row>
    <row r="127" spans="1:21" ht="18.75" customHeight="1">
      <c r="A127" s="7" t="s">
        <v>23</v>
      </c>
      <c r="B127" s="10">
        <v>45052</v>
      </c>
      <c r="C127" s="2">
        <v>1325</v>
      </c>
      <c r="D127" s="2">
        <v>335</v>
      </c>
      <c r="E127" s="2">
        <v>340</v>
      </c>
      <c r="F127" s="2">
        <v>2390</v>
      </c>
      <c r="G127" s="2">
        <v>2640</v>
      </c>
      <c r="H127" s="2">
        <v>800</v>
      </c>
      <c r="I127" s="2">
        <v>740</v>
      </c>
      <c r="J127" s="2">
        <v>1221</v>
      </c>
      <c r="K127" s="2">
        <v>0</v>
      </c>
      <c r="L127" s="2">
        <v>10911</v>
      </c>
      <c r="M127" s="2">
        <v>1020</v>
      </c>
      <c r="N127" s="2">
        <v>0</v>
      </c>
      <c r="O127" s="2">
        <v>0</v>
      </c>
      <c r="P127" s="2">
        <v>0</v>
      </c>
      <c r="Q127" s="2">
        <v>0</v>
      </c>
      <c r="R127" s="3">
        <f t="shared" si="5"/>
        <v>21722</v>
      </c>
      <c r="S127" s="3">
        <v>6140</v>
      </c>
      <c r="T127" s="3">
        <v>10077</v>
      </c>
      <c r="U127" s="5">
        <f t="shared" si="4"/>
        <v>5505</v>
      </c>
    </row>
    <row r="128" spans="1:21" ht="18.75" customHeight="1">
      <c r="A128" s="7" t="s">
        <v>17</v>
      </c>
      <c r="B128" s="10">
        <v>45053</v>
      </c>
      <c r="C128" s="2">
        <v>2270</v>
      </c>
      <c r="D128" s="2">
        <v>560</v>
      </c>
      <c r="E128" s="2">
        <v>420</v>
      </c>
      <c r="F128" s="2">
        <v>1770</v>
      </c>
      <c r="G128" s="2">
        <v>1715</v>
      </c>
      <c r="H128" s="2">
        <v>744</v>
      </c>
      <c r="I128" s="2">
        <v>320</v>
      </c>
      <c r="J128" s="2">
        <v>2216</v>
      </c>
      <c r="K128" s="2">
        <v>0</v>
      </c>
      <c r="L128" s="2">
        <v>12170</v>
      </c>
      <c r="M128" s="2">
        <v>3295</v>
      </c>
      <c r="N128" s="2">
        <v>0</v>
      </c>
      <c r="O128" s="2">
        <v>0</v>
      </c>
      <c r="P128" s="2">
        <v>0</v>
      </c>
      <c r="Q128" s="2">
        <v>0</v>
      </c>
      <c r="R128" s="3">
        <f t="shared" si="5"/>
        <v>25480</v>
      </c>
      <c r="S128" s="3">
        <v>5180</v>
      </c>
      <c r="T128" s="3">
        <v>7202</v>
      </c>
      <c r="U128" s="5">
        <f t="shared" si="4"/>
        <v>13098</v>
      </c>
    </row>
    <row r="129" spans="1:21" ht="18.75" customHeight="1">
      <c r="A129" s="7" t="s">
        <v>18</v>
      </c>
      <c r="B129" s="10">
        <v>45054</v>
      </c>
      <c r="C129" s="2">
        <v>1480</v>
      </c>
      <c r="D129" s="2">
        <v>1355</v>
      </c>
      <c r="E129" s="2">
        <v>845</v>
      </c>
      <c r="F129" s="2">
        <v>1320</v>
      </c>
      <c r="G129" s="2">
        <v>1420</v>
      </c>
      <c r="H129" s="2">
        <v>1438</v>
      </c>
      <c r="I129" s="2">
        <v>796</v>
      </c>
      <c r="J129" s="2">
        <v>415</v>
      </c>
      <c r="K129" s="2">
        <v>0</v>
      </c>
      <c r="L129" s="2">
        <v>6948</v>
      </c>
      <c r="M129" s="2">
        <v>2411</v>
      </c>
      <c r="N129" s="2">
        <v>0</v>
      </c>
      <c r="O129" s="2">
        <v>0</v>
      </c>
      <c r="P129" s="2">
        <v>0</v>
      </c>
      <c r="Q129" s="2">
        <v>0</v>
      </c>
      <c r="R129" s="3">
        <f t="shared" si="5"/>
        <v>18428</v>
      </c>
      <c r="S129" s="3">
        <v>3840</v>
      </c>
      <c r="T129" s="3">
        <v>11236</v>
      </c>
      <c r="U129" s="5">
        <f t="shared" si="4"/>
        <v>3352</v>
      </c>
    </row>
    <row r="130" spans="1:21" ht="18.75" customHeight="1">
      <c r="A130" s="7" t="s">
        <v>19</v>
      </c>
      <c r="B130" s="10">
        <v>45055</v>
      </c>
      <c r="C130" s="2">
        <v>1500</v>
      </c>
      <c r="D130" s="2">
        <v>695</v>
      </c>
      <c r="E130" s="2">
        <v>1120</v>
      </c>
      <c r="F130" s="2">
        <v>1500</v>
      </c>
      <c r="G130" s="2">
        <v>1642</v>
      </c>
      <c r="H130" s="2">
        <v>700</v>
      </c>
      <c r="I130" s="2">
        <v>310</v>
      </c>
      <c r="J130" s="2">
        <v>0</v>
      </c>
      <c r="K130" s="2">
        <v>0</v>
      </c>
      <c r="L130" s="2">
        <v>9591</v>
      </c>
      <c r="M130" s="2">
        <v>1040</v>
      </c>
      <c r="N130" s="2">
        <v>879</v>
      </c>
      <c r="O130" s="2">
        <v>0</v>
      </c>
      <c r="P130" s="2">
        <v>0</v>
      </c>
      <c r="Q130" s="2">
        <v>0</v>
      </c>
      <c r="R130" s="3">
        <f t="shared" si="5"/>
        <v>18977</v>
      </c>
      <c r="S130" s="3">
        <v>4920</v>
      </c>
      <c r="T130" s="3">
        <v>8357</v>
      </c>
      <c r="U130" s="5">
        <f t="shared" si="4"/>
        <v>5700</v>
      </c>
    </row>
    <row r="131" spans="1:21" ht="18.75" customHeight="1">
      <c r="A131" s="7" t="s">
        <v>20</v>
      </c>
      <c r="B131" s="10">
        <v>45056</v>
      </c>
      <c r="C131" s="2">
        <v>1805</v>
      </c>
      <c r="D131" s="2">
        <v>805</v>
      </c>
      <c r="E131" s="2">
        <v>720</v>
      </c>
      <c r="F131" s="2">
        <v>2423</v>
      </c>
      <c r="G131" s="2">
        <v>1907</v>
      </c>
      <c r="H131" s="2">
        <v>835</v>
      </c>
      <c r="I131" s="2">
        <v>747</v>
      </c>
      <c r="J131" s="2">
        <v>234</v>
      </c>
      <c r="K131" s="2">
        <v>0</v>
      </c>
      <c r="L131" s="2">
        <v>12154</v>
      </c>
      <c r="M131" s="2">
        <v>5450</v>
      </c>
      <c r="N131" s="2">
        <v>730</v>
      </c>
      <c r="O131" s="2">
        <v>0</v>
      </c>
      <c r="P131" s="2">
        <v>0</v>
      </c>
      <c r="Q131" s="2">
        <v>0</v>
      </c>
      <c r="R131" s="3">
        <f t="shared" ref="R131:R162" si="6">SUM(C131:N131)</f>
        <v>27810</v>
      </c>
      <c r="S131" s="3">
        <v>6495</v>
      </c>
      <c r="T131" s="3">
        <v>9305</v>
      </c>
      <c r="U131" s="5">
        <f t="shared" ref="U131:U194" si="7">R131-S131-T131</f>
        <v>12010</v>
      </c>
    </row>
    <row r="132" spans="1:21" ht="18.75" customHeight="1">
      <c r="A132" s="7" t="s">
        <v>21</v>
      </c>
      <c r="B132" s="10">
        <v>45057</v>
      </c>
      <c r="C132" s="2">
        <v>1308</v>
      </c>
      <c r="D132" s="2">
        <v>1090</v>
      </c>
      <c r="E132" s="2">
        <v>1465</v>
      </c>
      <c r="F132" s="2">
        <v>2232</v>
      </c>
      <c r="G132" s="2">
        <v>917</v>
      </c>
      <c r="H132" s="2">
        <v>775</v>
      </c>
      <c r="I132" s="2">
        <v>418</v>
      </c>
      <c r="J132" s="2">
        <v>289</v>
      </c>
      <c r="K132" s="2">
        <v>0</v>
      </c>
      <c r="L132" s="2">
        <v>8114</v>
      </c>
      <c r="M132" s="2">
        <v>4001</v>
      </c>
      <c r="N132" s="2">
        <v>645</v>
      </c>
      <c r="O132" s="2">
        <v>0</v>
      </c>
      <c r="P132" s="2">
        <v>0</v>
      </c>
      <c r="Q132" s="2">
        <v>0</v>
      </c>
      <c r="R132" s="3">
        <f t="shared" si="6"/>
        <v>21254</v>
      </c>
      <c r="S132" s="3">
        <v>4310</v>
      </c>
      <c r="T132" s="3">
        <v>12872</v>
      </c>
      <c r="U132" s="5">
        <f t="shared" si="7"/>
        <v>4072</v>
      </c>
    </row>
    <row r="133" spans="1:21" ht="18.75" customHeight="1">
      <c r="A133" s="7" t="s">
        <v>22</v>
      </c>
      <c r="B133" s="10">
        <v>45058</v>
      </c>
      <c r="C133" s="2">
        <v>1745</v>
      </c>
      <c r="D133" s="2">
        <v>850</v>
      </c>
      <c r="E133" s="2">
        <v>530</v>
      </c>
      <c r="F133" s="2">
        <v>1835</v>
      </c>
      <c r="G133" s="2">
        <v>1927</v>
      </c>
      <c r="H133" s="2">
        <v>735</v>
      </c>
      <c r="I133" s="2">
        <v>670</v>
      </c>
      <c r="J133" s="2">
        <v>0</v>
      </c>
      <c r="K133" s="2">
        <v>0</v>
      </c>
      <c r="L133" s="2">
        <v>10488</v>
      </c>
      <c r="M133" s="2">
        <v>1708</v>
      </c>
      <c r="N133" s="2">
        <v>363</v>
      </c>
      <c r="O133" s="2">
        <v>0</v>
      </c>
      <c r="P133" s="2">
        <v>0</v>
      </c>
      <c r="Q133" s="2">
        <v>0</v>
      </c>
      <c r="R133" s="3">
        <f t="shared" si="6"/>
        <v>20851</v>
      </c>
      <c r="S133" s="3">
        <v>5125</v>
      </c>
      <c r="T133" s="3">
        <v>10487</v>
      </c>
      <c r="U133" s="5">
        <f t="shared" si="7"/>
        <v>5239</v>
      </c>
    </row>
    <row r="134" spans="1:21" ht="18.75" customHeight="1">
      <c r="A134" s="7" t="s">
        <v>23</v>
      </c>
      <c r="B134" s="10">
        <v>45059</v>
      </c>
      <c r="C134" s="2">
        <v>1925</v>
      </c>
      <c r="D134" s="2">
        <v>920</v>
      </c>
      <c r="E134" s="2">
        <v>315</v>
      </c>
      <c r="F134" s="2">
        <v>1810</v>
      </c>
      <c r="G134" s="2">
        <v>1750</v>
      </c>
      <c r="H134" s="2">
        <v>108</v>
      </c>
      <c r="I134" s="2">
        <v>745</v>
      </c>
      <c r="J134" s="2">
        <v>1736</v>
      </c>
      <c r="K134" s="2">
        <v>0</v>
      </c>
      <c r="L134" s="2">
        <v>10105</v>
      </c>
      <c r="M134" s="2">
        <v>3700</v>
      </c>
      <c r="N134" s="2">
        <v>398</v>
      </c>
      <c r="O134" s="2">
        <v>0</v>
      </c>
      <c r="P134" s="2">
        <v>0</v>
      </c>
      <c r="Q134" s="2">
        <v>0</v>
      </c>
      <c r="R134" s="3">
        <f t="shared" si="6"/>
        <v>23512</v>
      </c>
      <c r="S134" s="3">
        <v>5940</v>
      </c>
      <c r="T134" s="3">
        <v>11912</v>
      </c>
      <c r="U134" s="5">
        <f t="shared" si="7"/>
        <v>5660</v>
      </c>
    </row>
    <row r="135" spans="1:21" ht="18.75" customHeight="1">
      <c r="A135" s="7" t="s">
        <v>17</v>
      </c>
      <c r="B135" s="10">
        <v>45060</v>
      </c>
      <c r="C135" s="2">
        <v>2210</v>
      </c>
      <c r="D135" s="2">
        <v>790</v>
      </c>
      <c r="E135" s="2">
        <v>1555</v>
      </c>
      <c r="F135" s="2">
        <v>1215</v>
      </c>
      <c r="G135" s="2">
        <v>2881</v>
      </c>
      <c r="H135" s="2">
        <v>1235</v>
      </c>
      <c r="I135" s="2">
        <v>290</v>
      </c>
      <c r="J135" s="2">
        <v>495</v>
      </c>
      <c r="K135" s="2">
        <v>0</v>
      </c>
      <c r="L135" s="2">
        <v>13913</v>
      </c>
      <c r="M135" s="2">
        <v>4077</v>
      </c>
      <c r="N135" s="2">
        <v>151</v>
      </c>
      <c r="O135" s="2">
        <v>0</v>
      </c>
      <c r="P135" s="2">
        <v>0</v>
      </c>
      <c r="Q135" s="2">
        <v>0</v>
      </c>
      <c r="R135" s="3">
        <f t="shared" si="6"/>
        <v>28812</v>
      </c>
      <c r="S135" s="3">
        <v>6495</v>
      </c>
      <c r="T135" s="3">
        <v>10027</v>
      </c>
      <c r="U135" s="5">
        <f t="shared" si="7"/>
        <v>12290</v>
      </c>
    </row>
    <row r="136" spans="1:21" ht="18.75" customHeight="1">
      <c r="A136" s="7" t="s">
        <v>18</v>
      </c>
      <c r="B136" s="10">
        <v>45061</v>
      </c>
      <c r="C136" s="2">
        <v>1436</v>
      </c>
      <c r="D136" s="2">
        <v>590</v>
      </c>
      <c r="E136" s="2">
        <v>525</v>
      </c>
      <c r="F136" s="2">
        <v>2260</v>
      </c>
      <c r="G136" s="2">
        <v>1325</v>
      </c>
      <c r="H136" s="2">
        <v>2140</v>
      </c>
      <c r="I136" s="2">
        <v>675</v>
      </c>
      <c r="J136" s="2">
        <v>357</v>
      </c>
      <c r="K136" s="2">
        <v>0</v>
      </c>
      <c r="L136" s="2">
        <v>10813</v>
      </c>
      <c r="M136" s="2">
        <v>2738</v>
      </c>
      <c r="N136" s="2">
        <v>701</v>
      </c>
      <c r="O136" s="2">
        <v>0</v>
      </c>
      <c r="P136" s="2">
        <v>0</v>
      </c>
      <c r="Q136" s="2">
        <v>0</v>
      </c>
      <c r="R136" s="3">
        <f t="shared" si="6"/>
        <v>23560</v>
      </c>
      <c r="S136" s="3">
        <v>6550</v>
      </c>
      <c r="T136" s="3">
        <v>13432</v>
      </c>
      <c r="U136" s="5">
        <f t="shared" si="7"/>
        <v>3578</v>
      </c>
    </row>
    <row r="137" spans="1:21" ht="18.75" customHeight="1">
      <c r="A137" s="7" t="s">
        <v>19</v>
      </c>
      <c r="B137" s="10">
        <v>45062</v>
      </c>
      <c r="C137" s="2">
        <v>1520</v>
      </c>
      <c r="D137" s="2">
        <v>1400</v>
      </c>
      <c r="E137" s="2">
        <v>0</v>
      </c>
      <c r="F137" s="2">
        <v>2450</v>
      </c>
      <c r="G137" s="2">
        <v>1827</v>
      </c>
      <c r="H137" s="2">
        <v>0</v>
      </c>
      <c r="I137" s="2">
        <v>1871</v>
      </c>
      <c r="J137" s="2">
        <v>0</v>
      </c>
      <c r="K137" s="2">
        <v>0</v>
      </c>
      <c r="L137" s="2">
        <v>6941</v>
      </c>
      <c r="M137" s="2">
        <v>804</v>
      </c>
      <c r="N137" s="2">
        <v>145</v>
      </c>
      <c r="O137" s="2">
        <v>0</v>
      </c>
      <c r="P137" s="2">
        <v>0</v>
      </c>
      <c r="Q137" s="2">
        <v>0</v>
      </c>
      <c r="R137" s="3">
        <f t="shared" si="6"/>
        <v>16958</v>
      </c>
      <c r="S137" s="3">
        <v>5580</v>
      </c>
      <c r="T137" s="3">
        <v>7918</v>
      </c>
      <c r="U137" s="5">
        <f t="shared" si="7"/>
        <v>3460</v>
      </c>
    </row>
    <row r="138" spans="1:21" ht="18.75" customHeight="1">
      <c r="A138" s="7" t="s">
        <v>20</v>
      </c>
      <c r="B138" s="10">
        <v>45063</v>
      </c>
      <c r="C138" s="2">
        <v>2000</v>
      </c>
      <c r="D138" s="2">
        <v>465</v>
      </c>
      <c r="E138" s="2">
        <v>850</v>
      </c>
      <c r="F138" s="2">
        <v>1820</v>
      </c>
      <c r="G138" s="2">
        <v>934</v>
      </c>
      <c r="H138" s="2">
        <v>510</v>
      </c>
      <c r="I138" s="2">
        <v>140</v>
      </c>
      <c r="J138" s="2">
        <v>403</v>
      </c>
      <c r="K138" s="2">
        <v>0</v>
      </c>
      <c r="L138" s="2">
        <v>5807</v>
      </c>
      <c r="M138" s="2">
        <v>1569</v>
      </c>
      <c r="N138" s="2">
        <v>60</v>
      </c>
      <c r="O138" s="2">
        <v>0</v>
      </c>
      <c r="P138" s="2">
        <v>0</v>
      </c>
      <c r="Q138" s="2">
        <v>0</v>
      </c>
      <c r="R138" s="3">
        <f t="shared" si="6"/>
        <v>14558</v>
      </c>
      <c r="S138" s="3">
        <v>5590</v>
      </c>
      <c r="T138" s="3">
        <v>5325</v>
      </c>
      <c r="U138" s="5">
        <f t="shared" si="7"/>
        <v>3643</v>
      </c>
    </row>
    <row r="139" spans="1:21" ht="18.75" customHeight="1">
      <c r="A139" s="7" t="s">
        <v>21</v>
      </c>
      <c r="B139" s="10">
        <v>45064</v>
      </c>
      <c r="C139" s="2">
        <v>1455</v>
      </c>
      <c r="D139" s="2">
        <v>810</v>
      </c>
      <c r="E139" s="2">
        <v>685</v>
      </c>
      <c r="F139" s="2">
        <v>1200</v>
      </c>
      <c r="G139" s="2">
        <v>1232</v>
      </c>
      <c r="H139" s="2">
        <v>1100</v>
      </c>
      <c r="I139" s="2">
        <v>735</v>
      </c>
      <c r="J139" s="2">
        <v>0</v>
      </c>
      <c r="K139" s="2">
        <v>0</v>
      </c>
      <c r="L139" s="2">
        <v>5491</v>
      </c>
      <c r="M139" s="2">
        <v>1057</v>
      </c>
      <c r="N139" s="2">
        <v>413</v>
      </c>
      <c r="O139" s="2">
        <v>0</v>
      </c>
      <c r="P139" s="2">
        <v>0</v>
      </c>
      <c r="Q139" s="2">
        <v>0</v>
      </c>
      <c r="R139" s="3">
        <f t="shared" si="6"/>
        <v>14178</v>
      </c>
      <c r="S139" s="3">
        <v>4525</v>
      </c>
      <c r="T139" s="3">
        <v>11183</v>
      </c>
      <c r="U139" s="5">
        <f t="shared" si="7"/>
        <v>-1530</v>
      </c>
    </row>
    <row r="140" spans="1:21" ht="18.75" customHeight="1">
      <c r="A140" s="7" t="s">
        <v>22</v>
      </c>
      <c r="B140" s="10">
        <v>45065</v>
      </c>
      <c r="C140" s="2">
        <v>2131</v>
      </c>
      <c r="D140" s="2">
        <v>1170</v>
      </c>
      <c r="E140" s="2">
        <v>405</v>
      </c>
      <c r="F140" s="2">
        <v>1625</v>
      </c>
      <c r="G140" s="2">
        <v>924</v>
      </c>
      <c r="H140" s="2">
        <v>538</v>
      </c>
      <c r="I140" s="2">
        <v>695</v>
      </c>
      <c r="J140" s="2">
        <v>1235</v>
      </c>
      <c r="K140" s="2">
        <v>0</v>
      </c>
      <c r="L140" s="2">
        <v>9791</v>
      </c>
      <c r="M140" s="2">
        <v>4468</v>
      </c>
      <c r="N140" s="2">
        <v>500</v>
      </c>
      <c r="O140" s="2">
        <v>0</v>
      </c>
      <c r="P140" s="2">
        <v>0</v>
      </c>
      <c r="Q140" s="2">
        <v>0</v>
      </c>
      <c r="R140" s="3">
        <f t="shared" si="6"/>
        <v>23482</v>
      </c>
      <c r="S140" s="3">
        <v>5875</v>
      </c>
      <c r="T140" s="3">
        <v>10962</v>
      </c>
      <c r="U140" s="5">
        <f t="shared" si="7"/>
        <v>6645</v>
      </c>
    </row>
    <row r="141" spans="1:21" ht="18.75" customHeight="1">
      <c r="A141" s="7" t="s">
        <v>23</v>
      </c>
      <c r="B141" s="10">
        <v>45066</v>
      </c>
      <c r="C141" s="2">
        <v>1310</v>
      </c>
      <c r="D141" s="2">
        <v>1185</v>
      </c>
      <c r="E141" s="2">
        <v>620</v>
      </c>
      <c r="F141" s="2">
        <v>2307</v>
      </c>
      <c r="G141" s="2">
        <v>1151</v>
      </c>
      <c r="H141" s="2">
        <v>1155</v>
      </c>
      <c r="I141" s="2">
        <v>470</v>
      </c>
      <c r="J141" s="2">
        <v>1870</v>
      </c>
      <c r="K141" s="2">
        <v>0</v>
      </c>
      <c r="L141" s="2">
        <v>9381</v>
      </c>
      <c r="M141" s="2">
        <v>3225</v>
      </c>
      <c r="N141" s="2">
        <v>50</v>
      </c>
      <c r="O141" s="2">
        <v>0</v>
      </c>
      <c r="P141" s="2">
        <v>0</v>
      </c>
      <c r="Q141" s="2">
        <v>0</v>
      </c>
      <c r="R141" s="3">
        <f t="shared" si="6"/>
        <v>22724</v>
      </c>
      <c r="S141" s="3">
        <v>7610</v>
      </c>
      <c r="T141" s="3">
        <v>8524</v>
      </c>
      <c r="U141" s="5">
        <f t="shared" si="7"/>
        <v>6590</v>
      </c>
    </row>
    <row r="142" spans="1:21" ht="18.75" customHeight="1">
      <c r="A142" s="7" t="s">
        <v>17</v>
      </c>
      <c r="B142" s="10">
        <v>45067</v>
      </c>
      <c r="C142" s="2">
        <v>1785</v>
      </c>
      <c r="D142" s="2">
        <v>535</v>
      </c>
      <c r="E142" s="2">
        <v>620</v>
      </c>
      <c r="F142" s="2">
        <v>1400</v>
      </c>
      <c r="G142" s="2">
        <v>2266</v>
      </c>
      <c r="H142" s="2">
        <v>530</v>
      </c>
      <c r="I142" s="2">
        <v>190</v>
      </c>
      <c r="J142" s="2">
        <v>520</v>
      </c>
      <c r="K142" s="2">
        <v>0</v>
      </c>
      <c r="L142" s="2">
        <v>12432</v>
      </c>
      <c r="M142" s="2">
        <v>3525</v>
      </c>
      <c r="N142" s="2">
        <v>0</v>
      </c>
      <c r="O142" s="2">
        <v>0</v>
      </c>
      <c r="P142" s="2">
        <v>0</v>
      </c>
      <c r="Q142" s="2">
        <v>0</v>
      </c>
      <c r="R142" s="3">
        <f t="shared" si="6"/>
        <v>23803</v>
      </c>
      <c r="S142" s="3">
        <v>5485</v>
      </c>
      <c r="T142" s="3">
        <v>7945</v>
      </c>
      <c r="U142" s="5">
        <f t="shared" si="7"/>
        <v>10373</v>
      </c>
    </row>
    <row r="143" spans="1:21" ht="18.75" customHeight="1">
      <c r="A143" s="7" t="s">
        <v>18</v>
      </c>
      <c r="B143" s="10">
        <v>45068</v>
      </c>
      <c r="C143" s="2">
        <v>1450</v>
      </c>
      <c r="D143" s="2">
        <v>1100</v>
      </c>
      <c r="E143" s="2">
        <v>650</v>
      </c>
      <c r="F143" s="2">
        <v>1455</v>
      </c>
      <c r="G143" s="2">
        <v>1960</v>
      </c>
      <c r="H143" s="2">
        <v>1141</v>
      </c>
      <c r="I143" s="2">
        <v>505</v>
      </c>
      <c r="J143" s="2">
        <v>144</v>
      </c>
      <c r="K143" s="2">
        <v>0</v>
      </c>
      <c r="L143" s="2">
        <v>9952</v>
      </c>
      <c r="M143" s="2">
        <v>1014</v>
      </c>
      <c r="N143" s="2">
        <v>90</v>
      </c>
      <c r="O143" s="2">
        <v>0</v>
      </c>
      <c r="P143" s="2">
        <v>0</v>
      </c>
      <c r="Q143" s="2">
        <v>0</v>
      </c>
      <c r="R143" s="3">
        <f t="shared" si="6"/>
        <v>19461</v>
      </c>
      <c r="S143" s="3">
        <v>6040</v>
      </c>
      <c r="T143" s="3">
        <v>12721</v>
      </c>
      <c r="U143" s="5">
        <f t="shared" si="7"/>
        <v>700</v>
      </c>
    </row>
    <row r="144" spans="1:21" ht="18.75" customHeight="1">
      <c r="A144" s="7" t="s">
        <v>19</v>
      </c>
      <c r="B144" s="10">
        <v>45069</v>
      </c>
      <c r="C144" s="2">
        <v>1300</v>
      </c>
      <c r="D144" s="2">
        <v>1495</v>
      </c>
      <c r="E144" s="2">
        <v>470</v>
      </c>
      <c r="F144" s="2">
        <v>2269</v>
      </c>
      <c r="G144" s="2">
        <v>2328</v>
      </c>
      <c r="H144" s="2">
        <v>876</v>
      </c>
      <c r="I144" s="2">
        <v>510</v>
      </c>
      <c r="J144" s="2">
        <v>634</v>
      </c>
      <c r="K144" s="2">
        <v>0</v>
      </c>
      <c r="L144" s="2">
        <v>9332</v>
      </c>
      <c r="M144" s="2">
        <v>1104</v>
      </c>
      <c r="N144" s="2">
        <v>299</v>
      </c>
      <c r="O144" s="2">
        <v>0</v>
      </c>
      <c r="P144" s="2">
        <v>0</v>
      </c>
      <c r="Q144" s="2">
        <v>0</v>
      </c>
      <c r="R144" s="3">
        <f t="shared" si="6"/>
        <v>20617</v>
      </c>
      <c r="S144" s="3">
        <v>7720</v>
      </c>
      <c r="T144" s="3">
        <v>6203</v>
      </c>
      <c r="U144" s="5">
        <f t="shared" si="7"/>
        <v>6694</v>
      </c>
    </row>
    <row r="145" spans="1:21" ht="18.75" customHeight="1">
      <c r="A145" s="7" t="s">
        <v>20</v>
      </c>
      <c r="B145" s="10">
        <v>45070</v>
      </c>
      <c r="C145" s="2">
        <v>1580</v>
      </c>
      <c r="D145" s="2">
        <v>885</v>
      </c>
      <c r="E145" s="2">
        <v>620</v>
      </c>
      <c r="F145" s="2">
        <v>987</v>
      </c>
      <c r="G145" s="2">
        <v>1762</v>
      </c>
      <c r="H145" s="2">
        <v>730</v>
      </c>
      <c r="I145" s="2">
        <v>230</v>
      </c>
      <c r="J145" s="2">
        <v>638</v>
      </c>
      <c r="K145" s="2">
        <v>0</v>
      </c>
      <c r="L145" s="2">
        <v>9383</v>
      </c>
      <c r="M145" s="2">
        <v>1241</v>
      </c>
      <c r="N145" s="2">
        <v>504</v>
      </c>
      <c r="O145" s="2">
        <v>0</v>
      </c>
      <c r="P145" s="2">
        <v>0</v>
      </c>
      <c r="Q145" s="2">
        <v>0</v>
      </c>
      <c r="R145" s="3">
        <f t="shared" si="6"/>
        <v>18560</v>
      </c>
      <c r="S145" s="3">
        <v>5275</v>
      </c>
      <c r="T145" s="3">
        <v>9420</v>
      </c>
      <c r="U145" s="5">
        <f t="shared" si="7"/>
        <v>3865</v>
      </c>
    </row>
    <row r="146" spans="1:21" ht="18.75" customHeight="1">
      <c r="A146" s="7" t="s">
        <v>21</v>
      </c>
      <c r="B146" s="10">
        <v>45071</v>
      </c>
      <c r="C146" s="2">
        <v>1795</v>
      </c>
      <c r="D146" s="2">
        <v>920</v>
      </c>
      <c r="E146" s="2">
        <v>365</v>
      </c>
      <c r="F146" s="2">
        <v>1525</v>
      </c>
      <c r="G146" s="2">
        <v>2285</v>
      </c>
      <c r="H146" s="2">
        <v>795</v>
      </c>
      <c r="I146" s="2">
        <v>600</v>
      </c>
      <c r="J146" s="2">
        <v>396</v>
      </c>
      <c r="K146" s="2">
        <v>0</v>
      </c>
      <c r="L146" s="2">
        <v>7594</v>
      </c>
      <c r="M146" s="2">
        <v>4974</v>
      </c>
      <c r="N146" s="2">
        <v>309</v>
      </c>
      <c r="O146" s="2">
        <v>0</v>
      </c>
      <c r="P146" s="2">
        <v>0</v>
      </c>
      <c r="Q146" s="2">
        <v>0</v>
      </c>
      <c r="R146" s="3">
        <f t="shared" si="6"/>
        <v>21558</v>
      </c>
      <c r="S146" s="3">
        <v>5635</v>
      </c>
      <c r="T146" s="3">
        <v>10002</v>
      </c>
      <c r="U146" s="5">
        <f t="shared" si="7"/>
        <v>5921</v>
      </c>
    </row>
    <row r="147" spans="1:21" ht="18.75" customHeight="1">
      <c r="A147" s="7" t="s">
        <v>22</v>
      </c>
      <c r="B147" s="10">
        <v>45072</v>
      </c>
      <c r="C147" s="2">
        <v>1655</v>
      </c>
      <c r="D147" s="2">
        <v>1330</v>
      </c>
      <c r="E147" s="2">
        <v>470</v>
      </c>
      <c r="F147" s="2">
        <v>1705</v>
      </c>
      <c r="G147" s="2">
        <v>1049</v>
      </c>
      <c r="H147" s="2">
        <v>1692</v>
      </c>
      <c r="I147" s="2">
        <v>280</v>
      </c>
      <c r="J147" s="2">
        <v>295</v>
      </c>
      <c r="K147" s="2">
        <v>0</v>
      </c>
      <c r="L147" s="2">
        <v>12275</v>
      </c>
      <c r="M147" s="2">
        <v>2379</v>
      </c>
      <c r="N147" s="2">
        <v>174</v>
      </c>
      <c r="O147" s="2">
        <v>0</v>
      </c>
      <c r="P147" s="2">
        <v>0</v>
      </c>
      <c r="Q147" s="2">
        <v>0</v>
      </c>
      <c r="R147" s="3">
        <f t="shared" si="6"/>
        <v>23304</v>
      </c>
      <c r="S147" s="3">
        <v>5300</v>
      </c>
      <c r="T147" s="3">
        <v>14193</v>
      </c>
      <c r="U147" s="5">
        <f t="shared" si="7"/>
        <v>3811</v>
      </c>
    </row>
    <row r="148" spans="1:21" ht="18.75" customHeight="1">
      <c r="A148" s="7" t="s">
        <v>23</v>
      </c>
      <c r="B148" s="10">
        <v>45073</v>
      </c>
      <c r="C148" s="2">
        <v>1645</v>
      </c>
      <c r="D148" s="2">
        <v>930</v>
      </c>
      <c r="E148" s="2">
        <v>555</v>
      </c>
      <c r="F148" s="2">
        <v>2691</v>
      </c>
      <c r="G148" s="2">
        <v>1755</v>
      </c>
      <c r="H148" s="2">
        <v>1050</v>
      </c>
      <c r="I148" s="2">
        <v>750</v>
      </c>
      <c r="J148" s="2">
        <v>258</v>
      </c>
      <c r="K148" s="2">
        <v>0</v>
      </c>
      <c r="L148" s="2">
        <v>11343</v>
      </c>
      <c r="M148" s="2">
        <v>1983</v>
      </c>
      <c r="N148" s="2">
        <v>0</v>
      </c>
      <c r="O148" s="2">
        <v>0</v>
      </c>
      <c r="P148" s="2">
        <v>0</v>
      </c>
      <c r="Q148" s="2">
        <v>0</v>
      </c>
      <c r="R148" s="3">
        <f t="shared" si="6"/>
        <v>22960</v>
      </c>
      <c r="S148" s="3">
        <v>7165</v>
      </c>
      <c r="T148" s="3">
        <v>11803</v>
      </c>
      <c r="U148" s="5">
        <f t="shared" si="7"/>
        <v>3992</v>
      </c>
    </row>
    <row r="149" spans="1:21" ht="18.75" customHeight="1">
      <c r="A149" s="7" t="s">
        <v>17</v>
      </c>
      <c r="B149" s="10">
        <v>45074</v>
      </c>
      <c r="C149" s="2">
        <v>1955</v>
      </c>
      <c r="D149" s="2">
        <v>1070</v>
      </c>
      <c r="E149" s="2">
        <v>1525</v>
      </c>
      <c r="F149" s="2">
        <v>2385</v>
      </c>
      <c r="G149" s="2">
        <v>2301</v>
      </c>
      <c r="H149" s="2">
        <v>360</v>
      </c>
      <c r="I149" s="2">
        <v>78</v>
      </c>
      <c r="J149" s="2">
        <v>661</v>
      </c>
      <c r="K149" s="2">
        <v>0</v>
      </c>
      <c r="L149" s="2">
        <v>14353</v>
      </c>
      <c r="M149" s="2">
        <v>4174</v>
      </c>
      <c r="N149" s="2">
        <v>0</v>
      </c>
      <c r="O149" s="2">
        <v>0</v>
      </c>
      <c r="P149" s="2">
        <v>0</v>
      </c>
      <c r="Q149" s="2">
        <v>0</v>
      </c>
      <c r="R149" s="3">
        <f t="shared" si="6"/>
        <v>28862</v>
      </c>
      <c r="S149" s="3">
        <v>6180</v>
      </c>
      <c r="T149" s="3">
        <v>7245</v>
      </c>
      <c r="U149" s="5">
        <f t="shared" si="7"/>
        <v>15437</v>
      </c>
    </row>
    <row r="150" spans="1:21" ht="18.75" customHeight="1">
      <c r="A150" s="7" t="s">
        <v>18</v>
      </c>
      <c r="B150" s="10">
        <v>45075</v>
      </c>
      <c r="C150" s="2">
        <v>1615</v>
      </c>
      <c r="D150" s="2">
        <v>1474</v>
      </c>
      <c r="E150" s="2">
        <v>0</v>
      </c>
      <c r="F150" s="2">
        <v>2780</v>
      </c>
      <c r="G150" s="2">
        <v>2305</v>
      </c>
      <c r="H150" s="2">
        <v>890</v>
      </c>
      <c r="I150" s="2">
        <v>552</v>
      </c>
      <c r="J150" s="2">
        <v>708</v>
      </c>
      <c r="K150" s="2">
        <v>0</v>
      </c>
      <c r="L150" s="2">
        <v>9058</v>
      </c>
      <c r="M150" s="2">
        <v>2206</v>
      </c>
      <c r="N150" s="2">
        <v>1101</v>
      </c>
      <c r="O150" s="2">
        <v>0</v>
      </c>
      <c r="P150" s="2">
        <v>0</v>
      </c>
      <c r="Q150" s="2">
        <v>0</v>
      </c>
      <c r="R150" s="3">
        <f t="shared" si="6"/>
        <v>22689</v>
      </c>
      <c r="S150" s="3">
        <v>5875</v>
      </c>
      <c r="T150" s="3">
        <v>11897</v>
      </c>
      <c r="U150" s="5">
        <f t="shared" si="7"/>
        <v>4917</v>
      </c>
    </row>
    <row r="151" spans="1:21" ht="18.75" customHeight="1">
      <c r="A151" s="7" t="s">
        <v>19</v>
      </c>
      <c r="B151" s="10">
        <v>45076</v>
      </c>
      <c r="C151" s="2">
        <v>1532</v>
      </c>
      <c r="D151" s="2">
        <v>1235</v>
      </c>
      <c r="E151" s="2">
        <v>301</v>
      </c>
      <c r="F151" s="2">
        <v>1285</v>
      </c>
      <c r="G151" s="2">
        <v>1806</v>
      </c>
      <c r="H151" s="2">
        <v>1730</v>
      </c>
      <c r="I151" s="2">
        <v>515</v>
      </c>
      <c r="J151" s="2">
        <v>189</v>
      </c>
      <c r="K151" s="2">
        <v>0</v>
      </c>
      <c r="L151" s="2">
        <v>7237</v>
      </c>
      <c r="M151" s="2">
        <v>1098</v>
      </c>
      <c r="N151" s="2">
        <v>315</v>
      </c>
      <c r="O151" s="2">
        <v>0</v>
      </c>
      <c r="P151" s="2">
        <v>0</v>
      </c>
      <c r="Q151" s="2">
        <v>0</v>
      </c>
      <c r="R151" s="3">
        <f t="shared" si="6"/>
        <v>17243</v>
      </c>
      <c r="S151" s="3">
        <v>5980</v>
      </c>
      <c r="T151" s="3">
        <v>8660</v>
      </c>
      <c r="U151" s="5">
        <f t="shared" si="7"/>
        <v>2603</v>
      </c>
    </row>
    <row r="152" spans="1:21" ht="18.75" customHeight="1">
      <c r="A152" s="7" t="s">
        <v>20</v>
      </c>
      <c r="B152" s="10">
        <v>45077</v>
      </c>
      <c r="C152" s="2">
        <v>1290</v>
      </c>
      <c r="D152" s="2">
        <v>1579</v>
      </c>
      <c r="E152" s="2">
        <v>470</v>
      </c>
      <c r="F152" s="2">
        <v>1710</v>
      </c>
      <c r="G152" s="2">
        <v>2540</v>
      </c>
      <c r="H152" s="2">
        <v>1291</v>
      </c>
      <c r="I152" s="2">
        <v>425</v>
      </c>
      <c r="J152" s="2">
        <v>0</v>
      </c>
      <c r="K152" s="2">
        <v>0</v>
      </c>
      <c r="L152" s="2">
        <v>5916</v>
      </c>
      <c r="M152" s="2">
        <v>1306</v>
      </c>
      <c r="N152" s="2">
        <v>479</v>
      </c>
      <c r="O152" s="2">
        <v>0</v>
      </c>
      <c r="P152" s="2">
        <v>0</v>
      </c>
      <c r="Q152" s="2">
        <v>0</v>
      </c>
      <c r="R152" s="3">
        <f t="shared" si="6"/>
        <v>17006</v>
      </c>
      <c r="S152" s="3">
        <v>4750</v>
      </c>
      <c r="T152" s="3">
        <v>9989</v>
      </c>
      <c r="U152" s="5">
        <f t="shared" si="7"/>
        <v>2267</v>
      </c>
    </row>
    <row r="153" spans="1:21" ht="18.75" customHeight="1">
      <c r="A153" s="7" t="s">
        <v>21</v>
      </c>
      <c r="B153" s="10">
        <v>45078</v>
      </c>
      <c r="C153" s="2">
        <v>2755</v>
      </c>
      <c r="D153" s="2">
        <v>1146</v>
      </c>
      <c r="E153" s="2">
        <v>575</v>
      </c>
      <c r="F153" s="2">
        <v>1600</v>
      </c>
      <c r="G153" s="2">
        <v>1881</v>
      </c>
      <c r="H153" s="2">
        <v>0</v>
      </c>
      <c r="I153" s="2">
        <v>675</v>
      </c>
      <c r="J153" s="2">
        <v>2110</v>
      </c>
      <c r="K153" s="2">
        <v>0</v>
      </c>
      <c r="L153" s="2">
        <v>8032</v>
      </c>
      <c r="M153" s="2">
        <v>1736</v>
      </c>
      <c r="N153" s="2">
        <v>375</v>
      </c>
      <c r="O153" s="2">
        <v>0</v>
      </c>
      <c r="P153" s="2">
        <v>0</v>
      </c>
      <c r="Q153" s="2">
        <v>0</v>
      </c>
      <c r="R153" s="3">
        <f t="shared" si="6"/>
        <v>20885</v>
      </c>
      <c r="S153" s="3">
        <v>5539</v>
      </c>
      <c r="T153" s="3">
        <v>8617</v>
      </c>
      <c r="U153" s="5">
        <f t="shared" si="7"/>
        <v>6729</v>
      </c>
    </row>
    <row r="154" spans="1:21" ht="18.75" customHeight="1">
      <c r="A154" s="7" t="s">
        <v>22</v>
      </c>
      <c r="B154" s="10">
        <v>45079</v>
      </c>
      <c r="C154" s="2">
        <v>2175</v>
      </c>
      <c r="D154" s="2">
        <v>1235</v>
      </c>
      <c r="E154" s="2">
        <v>347</v>
      </c>
      <c r="F154" s="2">
        <v>2240</v>
      </c>
      <c r="G154" s="2">
        <v>1486</v>
      </c>
      <c r="H154" s="2">
        <v>0</v>
      </c>
      <c r="I154" s="2">
        <v>128</v>
      </c>
      <c r="J154" s="2">
        <v>1021</v>
      </c>
      <c r="K154" s="2">
        <v>0</v>
      </c>
      <c r="L154" s="2">
        <v>9121</v>
      </c>
      <c r="M154" s="2">
        <v>1723</v>
      </c>
      <c r="N154" s="2">
        <v>115</v>
      </c>
      <c r="O154" s="2">
        <v>0</v>
      </c>
      <c r="P154" s="2">
        <v>0</v>
      </c>
      <c r="Q154" s="2">
        <v>0</v>
      </c>
      <c r="R154" s="3">
        <f t="shared" si="6"/>
        <v>19591</v>
      </c>
      <c r="S154" s="3">
        <v>6670</v>
      </c>
      <c r="T154" s="3">
        <v>9141</v>
      </c>
      <c r="U154" s="5">
        <f t="shared" si="7"/>
        <v>3780</v>
      </c>
    </row>
    <row r="155" spans="1:21" ht="18.75" customHeight="1">
      <c r="A155" s="7" t="s">
        <v>23</v>
      </c>
      <c r="B155" s="10">
        <v>45080</v>
      </c>
      <c r="C155" s="2">
        <v>1690</v>
      </c>
      <c r="D155" s="2">
        <v>1575</v>
      </c>
      <c r="E155" s="2">
        <v>680</v>
      </c>
      <c r="F155" s="2">
        <v>1737</v>
      </c>
      <c r="G155" s="2">
        <v>1716</v>
      </c>
      <c r="H155" s="2">
        <v>686</v>
      </c>
      <c r="I155" s="2">
        <v>695</v>
      </c>
      <c r="J155" s="2">
        <v>1593</v>
      </c>
      <c r="K155" s="2">
        <v>0</v>
      </c>
      <c r="L155" s="2">
        <v>8650</v>
      </c>
      <c r="M155" s="2">
        <v>2806</v>
      </c>
      <c r="N155" s="2">
        <v>79</v>
      </c>
      <c r="O155" s="2">
        <v>0</v>
      </c>
      <c r="P155" s="2">
        <v>0</v>
      </c>
      <c r="Q155" s="2">
        <v>0</v>
      </c>
      <c r="R155" s="3">
        <f t="shared" si="6"/>
        <v>21907</v>
      </c>
      <c r="S155" s="3">
        <v>6610</v>
      </c>
      <c r="T155" s="3">
        <v>11646</v>
      </c>
      <c r="U155" s="5">
        <f t="shared" si="7"/>
        <v>3651</v>
      </c>
    </row>
    <row r="156" spans="1:21" ht="18.75" customHeight="1">
      <c r="A156" s="7" t="s">
        <v>17</v>
      </c>
      <c r="B156" s="10">
        <v>45081</v>
      </c>
      <c r="C156" s="2">
        <v>1270</v>
      </c>
      <c r="D156" s="2">
        <v>1615</v>
      </c>
      <c r="E156" s="2">
        <v>0</v>
      </c>
      <c r="F156" s="2">
        <v>1850</v>
      </c>
      <c r="G156" s="2">
        <v>2738</v>
      </c>
      <c r="H156" s="2">
        <v>920</v>
      </c>
      <c r="I156" s="2">
        <v>240</v>
      </c>
      <c r="J156" s="2">
        <v>2150</v>
      </c>
      <c r="K156" s="2">
        <v>0</v>
      </c>
      <c r="L156" s="2">
        <v>22162</v>
      </c>
      <c r="M156" s="2">
        <v>4448</v>
      </c>
      <c r="N156" s="2">
        <v>0</v>
      </c>
      <c r="O156" s="2">
        <v>0</v>
      </c>
      <c r="P156" s="2">
        <v>0</v>
      </c>
      <c r="Q156" s="2">
        <v>0</v>
      </c>
      <c r="R156" s="3">
        <f t="shared" si="6"/>
        <v>37393</v>
      </c>
      <c r="S156" s="3">
        <v>6390</v>
      </c>
      <c r="T156" s="3">
        <v>9928</v>
      </c>
      <c r="U156" s="5">
        <f t="shared" si="7"/>
        <v>21075</v>
      </c>
    </row>
    <row r="157" spans="1:21" ht="18.75" customHeight="1">
      <c r="A157" s="7" t="s">
        <v>18</v>
      </c>
      <c r="B157" s="10">
        <v>45082</v>
      </c>
      <c r="C157" s="2">
        <v>1465</v>
      </c>
      <c r="D157" s="2">
        <v>1470</v>
      </c>
      <c r="E157" s="2">
        <v>0</v>
      </c>
      <c r="F157" s="2">
        <v>3140</v>
      </c>
      <c r="G157" s="2">
        <v>2142</v>
      </c>
      <c r="H157" s="2">
        <v>392</v>
      </c>
      <c r="I157" s="2">
        <v>660</v>
      </c>
      <c r="J157" s="2">
        <v>755</v>
      </c>
      <c r="K157" s="2">
        <v>0</v>
      </c>
      <c r="L157" s="2">
        <v>6698</v>
      </c>
      <c r="M157" s="2">
        <v>2748</v>
      </c>
      <c r="N157" s="2">
        <v>412</v>
      </c>
      <c r="O157" s="2">
        <v>0</v>
      </c>
      <c r="P157" s="2">
        <v>0</v>
      </c>
      <c r="Q157" s="2">
        <v>0</v>
      </c>
      <c r="R157" s="3">
        <f t="shared" si="6"/>
        <v>19882</v>
      </c>
      <c r="S157" s="3">
        <v>4280</v>
      </c>
      <c r="T157" s="3">
        <v>10864</v>
      </c>
      <c r="U157" s="5">
        <f t="shared" si="7"/>
        <v>4738</v>
      </c>
    </row>
    <row r="158" spans="1:21" ht="18.75" customHeight="1">
      <c r="A158" s="7" t="s">
        <v>19</v>
      </c>
      <c r="B158" s="10">
        <v>45083</v>
      </c>
      <c r="C158" s="2">
        <v>1595</v>
      </c>
      <c r="D158" s="2">
        <v>1630</v>
      </c>
      <c r="E158" s="2">
        <v>405</v>
      </c>
      <c r="F158" s="2">
        <v>625</v>
      </c>
      <c r="G158" s="2">
        <v>1502</v>
      </c>
      <c r="H158" s="2">
        <v>0</v>
      </c>
      <c r="I158" s="2">
        <v>1145</v>
      </c>
      <c r="J158" s="2">
        <v>50</v>
      </c>
      <c r="K158" s="2">
        <v>517</v>
      </c>
      <c r="L158" s="2">
        <v>7256</v>
      </c>
      <c r="M158" s="2">
        <v>1584</v>
      </c>
      <c r="N158" s="2">
        <v>0</v>
      </c>
      <c r="O158" s="2">
        <v>0</v>
      </c>
      <c r="P158" s="2">
        <v>0</v>
      </c>
      <c r="Q158" s="2">
        <v>0</v>
      </c>
      <c r="R158" s="3">
        <f t="shared" si="6"/>
        <v>16309</v>
      </c>
      <c r="S158" s="3">
        <v>6400</v>
      </c>
      <c r="T158" s="3">
        <v>6580</v>
      </c>
      <c r="U158" s="5">
        <f t="shared" si="7"/>
        <v>3329</v>
      </c>
    </row>
    <row r="159" spans="1:21" ht="18.75" customHeight="1">
      <c r="A159" s="7" t="s">
        <v>20</v>
      </c>
      <c r="B159" s="10">
        <v>45084</v>
      </c>
      <c r="C159" s="2">
        <v>2100</v>
      </c>
      <c r="D159" s="2">
        <v>1380</v>
      </c>
      <c r="E159" s="2">
        <v>505</v>
      </c>
      <c r="F159" s="2">
        <v>1415</v>
      </c>
      <c r="G159" s="2">
        <v>2265</v>
      </c>
      <c r="H159" s="2">
        <v>0</v>
      </c>
      <c r="I159" s="2">
        <v>728</v>
      </c>
      <c r="J159" s="2">
        <v>385</v>
      </c>
      <c r="K159" s="2">
        <v>1470</v>
      </c>
      <c r="L159" s="2">
        <v>5544</v>
      </c>
      <c r="M159" s="2">
        <v>3580</v>
      </c>
      <c r="N159" s="2">
        <v>768</v>
      </c>
      <c r="O159" s="2">
        <v>0</v>
      </c>
      <c r="P159" s="2">
        <v>0</v>
      </c>
      <c r="Q159" s="2">
        <v>0</v>
      </c>
      <c r="R159" s="3">
        <f t="shared" si="6"/>
        <v>20140</v>
      </c>
      <c r="S159" s="3">
        <v>5710</v>
      </c>
      <c r="T159" s="3">
        <v>7902</v>
      </c>
      <c r="U159" s="5">
        <f t="shared" si="7"/>
        <v>6528</v>
      </c>
    </row>
    <row r="160" spans="1:21" ht="18.75" customHeight="1">
      <c r="A160" s="7" t="s">
        <v>21</v>
      </c>
      <c r="B160" s="10">
        <v>45085</v>
      </c>
      <c r="C160" s="2">
        <v>2160</v>
      </c>
      <c r="D160" s="2">
        <v>625</v>
      </c>
      <c r="E160" s="2">
        <v>240</v>
      </c>
      <c r="F160" s="2">
        <v>1210</v>
      </c>
      <c r="G160" s="2">
        <v>2338</v>
      </c>
      <c r="H160" s="2">
        <v>0</v>
      </c>
      <c r="I160" s="2">
        <v>539</v>
      </c>
      <c r="J160" s="2">
        <v>485</v>
      </c>
      <c r="K160" s="2">
        <v>865</v>
      </c>
      <c r="L160" s="2">
        <v>6117</v>
      </c>
      <c r="M160" s="2">
        <v>1454</v>
      </c>
      <c r="N160" s="2">
        <v>541</v>
      </c>
      <c r="O160" s="2">
        <v>0</v>
      </c>
      <c r="P160" s="2">
        <v>0</v>
      </c>
      <c r="Q160" s="2">
        <v>0</v>
      </c>
      <c r="R160" s="3">
        <f t="shared" si="6"/>
        <v>16574</v>
      </c>
      <c r="S160" s="3">
        <v>5080</v>
      </c>
      <c r="T160" s="3">
        <v>9952</v>
      </c>
      <c r="U160" s="5">
        <f t="shared" si="7"/>
        <v>1542</v>
      </c>
    </row>
    <row r="161" spans="1:21" ht="18.75" customHeight="1">
      <c r="A161" s="7" t="s">
        <v>22</v>
      </c>
      <c r="B161" s="10">
        <v>45086</v>
      </c>
      <c r="C161" s="2">
        <v>2290</v>
      </c>
      <c r="D161" s="2">
        <v>1646</v>
      </c>
      <c r="E161" s="2">
        <v>625</v>
      </c>
      <c r="F161" s="2">
        <v>1200</v>
      </c>
      <c r="G161" s="2">
        <v>2953.5</v>
      </c>
      <c r="H161" s="2">
        <v>0</v>
      </c>
      <c r="I161" s="2">
        <v>795</v>
      </c>
      <c r="J161" s="2">
        <v>454</v>
      </c>
      <c r="K161" s="2">
        <v>616</v>
      </c>
      <c r="L161" s="2">
        <v>5158</v>
      </c>
      <c r="M161" s="2">
        <v>2573</v>
      </c>
      <c r="N161" s="2">
        <v>450</v>
      </c>
      <c r="O161" s="2">
        <v>0</v>
      </c>
      <c r="P161" s="2">
        <v>0</v>
      </c>
      <c r="Q161" s="2">
        <v>0</v>
      </c>
      <c r="R161" s="3">
        <f t="shared" si="6"/>
        <v>18760.5</v>
      </c>
      <c r="S161" s="3">
        <v>5650</v>
      </c>
      <c r="T161" s="3">
        <v>9607</v>
      </c>
      <c r="U161" s="5">
        <f t="shared" si="7"/>
        <v>3503.5</v>
      </c>
    </row>
    <row r="162" spans="1:21" ht="18.75" customHeight="1">
      <c r="A162" s="7" t="s">
        <v>23</v>
      </c>
      <c r="B162" s="10">
        <v>45087</v>
      </c>
      <c r="C162" s="2">
        <v>2590</v>
      </c>
      <c r="D162" s="2">
        <v>1050</v>
      </c>
      <c r="E162" s="2">
        <v>340</v>
      </c>
      <c r="F162" s="2">
        <v>1730</v>
      </c>
      <c r="G162" s="2">
        <v>1956</v>
      </c>
      <c r="H162" s="2">
        <v>0</v>
      </c>
      <c r="I162" s="2">
        <v>870</v>
      </c>
      <c r="J162" s="2">
        <v>746</v>
      </c>
      <c r="K162" s="2">
        <v>720</v>
      </c>
      <c r="L162" s="2">
        <v>6034</v>
      </c>
      <c r="M162" s="2">
        <v>3827</v>
      </c>
      <c r="N162" s="2">
        <v>0</v>
      </c>
      <c r="O162" s="2">
        <v>0</v>
      </c>
      <c r="P162" s="2">
        <v>0</v>
      </c>
      <c r="Q162" s="2">
        <v>0</v>
      </c>
      <c r="R162" s="3">
        <f t="shared" si="6"/>
        <v>19863</v>
      </c>
      <c r="S162" s="3">
        <v>7970</v>
      </c>
      <c r="T162" s="3">
        <v>9708</v>
      </c>
      <c r="U162" s="5">
        <f t="shared" si="7"/>
        <v>2185</v>
      </c>
    </row>
    <row r="163" spans="1:21" ht="18.75" customHeight="1">
      <c r="A163" s="7" t="s">
        <v>17</v>
      </c>
      <c r="B163" s="10">
        <v>45088</v>
      </c>
      <c r="C163" s="2">
        <v>2240</v>
      </c>
      <c r="D163" s="2">
        <v>1250</v>
      </c>
      <c r="E163" s="2">
        <v>0</v>
      </c>
      <c r="F163" s="2">
        <v>1590</v>
      </c>
      <c r="G163" s="2">
        <v>2506</v>
      </c>
      <c r="H163" s="2">
        <v>2560</v>
      </c>
      <c r="I163" s="2">
        <v>395</v>
      </c>
      <c r="J163" s="2">
        <v>0</v>
      </c>
      <c r="K163" s="2">
        <v>1410</v>
      </c>
      <c r="L163" s="2">
        <v>14987</v>
      </c>
      <c r="M163" s="2">
        <v>3893</v>
      </c>
      <c r="N163" s="2">
        <v>0</v>
      </c>
      <c r="O163" s="2">
        <v>0</v>
      </c>
      <c r="P163" s="2">
        <v>0</v>
      </c>
      <c r="Q163" s="2">
        <v>0</v>
      </c>
      <c r="R163" s="3">
        <f t="shared" ref="R163:R182" si="8">SUM(C163:N163)</f>
        <v>30831</v>
      </c>
      <c r="S163" s="3">
        <v>6315</v>
      </c>
      <c r="T163" s="3">
        <v>8948</v>
      </c>
      <c r="U163" s="5">
        <f t="shared" si="7"/>
        <v>15568</v>
      </c>
    </row>
    <row r="164" spans="1:21" ht="18.75" customHeight="1">
      <c r="A164" s="7" t="s">
        <v>18</v>
      </c>
      <c r="B164" s="10">
        <v>45089</v>
      </c>
      <c r="C164" s="2">
        <v>2125</v>
      </c>
      <c r="D164" s="2">
        <v>980</v>
      </c>
      <c r="E164" s="2">
        <v>220</v>
      </c>
      <c r="F164" s="2">
        <v>1570</v>
      </c>
      <c r="G164" s="2">
        <v>1728</v>
      </c>
      <c r="H164" s="2">
        <v>950</v>
      </c>
      <c r="I164" s="2">
        <v>1035</v>
      </c>
      <c r="J164" s="2">
        <v>0</v>
      </c>
      <c r="K164" s="2">
        <v>705</v>
      </c>
      <c r="L164" s="2">
        <v>5132</v>
      </c>
      <c r="M164" s="2">
        <v>2753</v>
      </c>
      <c r="N164" s="2">
        <v>512</v>
      </c>
      <c r="O164" s="2">
        <v>0</v>
      </c>
      <c r="P164" s="2">
        <v>0</v>
      </c>
      <c r="Q164" s="2">
        <v>0</v>
      </c>
      <c r="R164" s="3">
        <f t="shared" si="8"/>
        <v>17710</v>
      </c>
      <c r="S164" s="3">
        <v>5660</v>
      </c>
      <c r="T164" s="3">
        <v>11372</v>
      </c>
      <c r="U164" s="5">
        <f t="shared" si="7"/>
        <v>678</v>
      </c>
    </row>
    <row r="165" spans="1:21" ht="18.75" customHeight="1">
      <c r="A165" s="7" t="s">
        <v>19</v>
      </c>
      <c r="B165" s="10">
        <v>45090</v>
      </c>
      <c r="C165" s="2">
        <v>1650</v>
      </c>
      <c r="D165" s="2">
        <v>1215</v>
      </c>
      <c r="E165" s="2">
        <v>0</v>
      </c>
      <c r="F165" s="2">
        <v>1570</v>
      </c>
      <c r="G165" s="2">
        <v>2157</v>
      </c>
      <c r="H165" s="2">
        <v>0</v>
      </c>
      <c r="I165" s="2">
        <v>400</v>
      </c>
      <c r="J165" s="2">
        <v>274</v>
      </c>
      <c r="K165" s="2">
        <v>721</v>
      </c>
      <c r="L165" s="2">
        <v>4570</v>
      </c>
      <c r="M165" s="2">
        <v>1611</v>
      </c>
      <c r="N165" s="2">
        <v>445</v>
      </c>
      <c r="O165" s="2">
        <v>0</v>
      </c>
      <c r="P165" s="2">
        <v>0</v>
      </c>
      <c r="Q165" s="2">
        <v>0</v>
      </c>
      <c r="R165" s="3">
        <f t="shared" si="8"/>
        <v>14613</v>
      </c>
      <c r="S165" s="3">
        <v>5568</v>
      </c>
      <c r="T165" s="3">
        <v>8292</v>
      </c>
      <c r="U165" s="5">
        <f t="shared" si="7"/>
        <v>753</v>
      </c>
    </row>
    <row r="166" spans="1:21" ht="18.75" customHeight="1">
      <c r="A166" s="7" t="s">
        <v>20</v>
      </c>
      <c r="B166" s="10">
        <v>45091</v>
      </c>
      <c r="C166" s="2">
        <v>1765</v>
      </c>
      <c r="D166" s="2">
        <v>1390</v>
      </c>
      <c r="E166" s="2">
        <v>0</v>
      </c>
      <c r="F166" s="2">
        <v>875</v>
      </c>
      <c r="G166" s="2">
        <v>1746</v>
      </c>
      <c r="H166" s="2">
        <v>0</v>
      </c>
      <c r="I166" s="2">
        <v>715</v>
      </c>
      <c r="J166" s="2">
        <v>271</v>
      </c>
      <c r="K166" s="2">
        <v>990</v>
      </c>
      <c r="L166" s="2">
        <v>9112</v>
      </c>
      <c r="M166" s="2">
        <v>743</v>
      </c>
      <c r="N166" s="2">
        <v>330</v>
      </c>
      <c r="O166" s="2">
        <v>0</v>
      </c>
      <c r="P166" s="2">
        <v>0</v>
      </c>
      <c r="Q166" s="2">
        <v>0</v>
      </c>
      <c r="R166" s="3">
        <f t="shared" si="8"/>
        <v>17937</v>
      </c>
      <c r="S166" s="3">
        <v>5490</v>
      </c>
      <c r="T166" s="3">
        <v>5759</v>
      </c>
      <c r="U166" s="5">
        <f t="shared" si="7"/>
        <v>6688</v>
      </c>
    </row>
    <row r="167" spans="1:21" ht="18.75" customHeight="1">
      <c r="A167" s="7" t="s">
        <v>21</v>
      </c>
      <c r="B167" s="10">
        <v>45092</v>
      </c>
      <c r="C167" s="2">
        <v>1485</v>
      </c>
      <c r="D167" s="2">
        <v>1115</v>
      </c>
      <c r="E167" s="2">
        <v>0</v>
      </c>
      <c r="F167" s="2">
        <v>2000</v>
      </c>
      <c r="G167" s="2">
        <v>1423</v>
      </c>
      <c r="H167" s="2">
        <v>0</v>
      </c>
      <c r="I167" s="2">
        <v>790</v>
      </c>
      <c r="J167" s="2">
        <v>614</v>
      </c>
      <c r="K167" s="2">
        <v>550</v>
      </c>
      <c r="L167" s="2">
        <v>9006</v>
      </c>
      <c r="M167" s="2">
        <v>1428</v>
      </c>
      <c r="N167" s="2">
        <v>90</v>
      </c>
      <c r="O167" s="2">
        <v>0</v>
      </c>
      <c r="P167" s="2">
        <v>0</v>
      </c>
      <c r="Q167" s="2">
        <v>0</v>
      </c>
      <c r="R167" s="3">
        <f t="shared" si="8"/>
        <v>18501</v>
      </c>
      <c r="S167" s="3">
        <v>5840</v>
      </c>
      <c r="T167" s="3">
        <v>10781</v>
      </c>
      <c r="U167" s="5">
        <f t="shared" si="7"/>
        <v>1880</v>
      </c>
    </row>
    <row r="168" spans="1:21" ht="18.75" customHeight="1">
      <c r="A168" s="7" t="s">
        <v>22</v>
      </c>
      <c r="B168" s="10">
        <v>45093</v>
      </c>
      <c r="C168" s="2">
        <v>1970</v>
      </c>
      <c r="D168" s="2">
        <v>1395</v>
      </c>
      <c r="E168" s="2">
        <v>495</v>
      </c>
      <c r="F168" s="2">
        <v>1735</v>
      </c>
      <c r="G168" s="2">
        <v>2065</v>
      </c>
      <c r="H168" s="2">
        <v>0</v>
      </c>
      <c r="I168" s="2">
        <v>650</v>
      </c>
      <c r="J168" s="2">
        <v>201</v>
      </c>
      <c r="K168" s="2">
        <v>1460</v>
      </c>
      <c r="L168" s="2">
        <v>6206</v>
      </c>
      <c r="M168" s="2">
        <v>1376</v>
      </c>
      <c r="N168" s="2">
        <v>1395</v>
      </c>
      <c r="O168" s="2">
        <v>0</v>
      </c>
      <c r="P168" s="2">
        <v>0</v>
      </c>
      <c r="Q168" s="2">
        <v>0</v>
      </c>
      <c r="R168" s="3">
        <f t="shared" si="8"/>
        <v>18948</v>
      </c>
      <c r="S168" s="3">
        <v>6525</v>
      </c>
      <c r="T168" s="3">
        <v>10445</v>
      </c>
      <c r="U168" s="5">
        <f t="shared" si="7"/>
        <v>1978</v>
      </c>
    </row>
    <row r="169" spans="1:21" ht="18.75" customHeight="1">
      <c r="A169" s="7" t="s">
        <v>23</v>
      </c>
      <c r="B169" s="10">
        <v>45094</v>
      </c>
      <c r="C169" s="2">
        <v>1905</v>
      </c>
      <c r="D169" s="2">
        <v>1720</v>
      </c>
      <c r="E169" s="2">
        <v>0</v>
      </c>
      <c r="F169" s="2">
        <v>2730</v>
      </c>
      <c r="G169" s="2">
        <v>2244</v>
      </c>
      <c r="H169" s="2">
        <v>1010</v>
      </c>
      <c r="I169" s="2">
        <v>815</v>
      </c>
      <c r="J169" s="2">
        <v>580</v>
      </c>
      <c r="K169" s="2">
        <v>590</v>
      </c>
      <c r="L169" s="2">
        <v>8781</v>
      </c>
      <c r="M169" s="2">
        <v>4144</v>
      </c>
      <c r="N169" s="2">
        <v>514</v>
      </c>
      <c r="O169" s="2">
        <v>0</v>
      </c>
      <c r="P169" s="2">
        <v>0</v>
      </c>
      <c r="Q169" s="2">
        <v>0</v>
      </c>
      <c r="R169" s="3">
        <f t="shared" si="8"/>
        <v>25033</v>
      </c>
      <c r="S169" s="3">
        <v>6940</v>
      </c>
      <c r="T169" s="3">
        <v>10916</v>
      </c>
      <c r="U169" s="5">
        <f t="shared" si="7"/>
        <v>7177</v>
      </c>
    </row>
    <row r="170" spans="1:21" ht="18.75" customHeight="1">
      <c r="A170" s="7" t="s">
        <v>17</v>
      </c>
      <c r="B170" s="10">
        <v>45095</v>
      </c>
      <c r="C170" s="2">
        <v>1519</v>
      </c>
      <c r="D170" s="2">
        <v>1040</v>
      </c>
      <c r="E170" s="2">
        <v>0</v>
      </c>
      <c r="F170" s="2">
        <v>3728</v>
      </c>
      <c r="G170" s="2">
        <v>1614</v>
      </c>
      <c r="H170" s="2">
        <v>795</v>
      </c>
      <c r="I170" s="2">
        <v>0</v>
      </c>
      <c r="J170" s="2">
        <v>312</v>
      </c>
      <c r="K170" s="2">
        <v>1295</v>
      </c>
      <c r="L170" s="2">
        <v>15534</v>
      </c>
      <c r="M170" s="2">
        <v>4198</v>
      </c>
      <c r="N170" s="2">
        <v>0</v>
      </c>
      <c r="O170" s="2">
        <v>0</v>
      </c>
      <c r="P170" s="2">
        <v>0</v>
      </c>
      <c r="Q170" s="2">
        <v>0</v>
      </c>
      <c r="R170" s="3">
        <f t="shared" si="8"/>
        <v>30035</v>
      </c>
      <c r="S170" s="3">
        <v>6150</v>
      </c>
      <c r="T170" s="3">
        <v>7145</v>
      </c>
      <c r="U170" s="5">
        <f t="shared" si="7"/>
        <v>16740</v>
      </c>
    </row>
    <row r="171" spans="1:21" ht="18.75" customHeight="1">
      <c r="A171" s="7" t="s">
        <v>18</v>
      </c>
      <c r="B171" s="10">
        <v>45096</v>
      </c>
      <c r="C171" s="2">
        <v>920</v>
      </c>
      <c r="D171" s="2">
        <v>2380</v>
      </c>
      <c r="E171" s="2">
        <v>675</v>
      </c>
      <c r="F171" s="2">
        <v>1777</v>
      </c>
      <c r="G171" s="2">
        <v>1770</v>
      </c>
      <c r="H171" s="2">
        <v>0</v>
      </c>
      <c r="I171" s="2">
        <v>40</v>
      </c>
      <c r="J171" s="2">
        <v>420</v>
      </c>
      <c r="K171" s="2">
        <v>1885</v>
      </c>
      <c r="L171" s="2">
        <v>7047</v>
      </c>
      <c r="M171" s="2">
        <v>2686</v>
      </c>
      <c r="N171" s="2">
        <v>0</v>
      </c>
      <c r="O171" s="2">
        <v>0</v>
      </c>
      <c r="P171" s="2">
        <v>0</v>
      </c>
      <c r="Q171" s="2">
        <v>0</v>
      </c>
      <c r="R171" s="3">
        <f t="shared" si="8"/>
        <v>19600</v>
      </c>
      <c r="S171" s="3">
        <v>5380</v>
      </c>
      <c r="T171" s="3">
        <v>13047</v>
      </c>
      <c r="U171" s="5">
        <f t="shared" si="7"/>
        <v>1173</v>
      </c>
    </row>
    <row r="172" spans="1:21" ht="18.75" customHeight="1">
      <c r="A172" s="7" t="s">
        <v>19</v>
      </c>
      <c r="B172" s="10">
        <v>45097</v>
      </c>
      <c r="C172" s="2">
        <v>2180</v>
      </c>
      <c r="D172" s="2">
        <v>1133</v>
      </c>
      <c r="E172" s="2">
        <v>0</v>
      </c>
      <c r="F172" s="2">
        <v>1105</v>
      </c>
      <c r="G172" s="2">
        <v>2028</v>
      </c>
      <c r="H172" s="2">
        <v>0</v>
      </c>
      <c r="I172" s="2">
        <v>550</v>
      </c>
      <c r="J172" s="2">
        <v>0</v>
      </c>
      <c r="K172" s="2">
        <v>800</v>
      </c>
      <c r="L172" s="2">
        <v>7461</v>
      </c>
      <c r="M172" s="2">
        <v>2275</v>
      </c>
      <c r="N172" s="2">
        <v>90</v>
      </c>
      <c r="O172" s="2">
        <v>0</v>
      </c>
      <c r="P172" s="2">
        <v>0</v>
      </c>
      <c r="Q172" s="2">
        <v>0</v>
      </c>
      <c r="R172" s="3">
        <f t="shared" si="8"/>
        <v>17622</v>
      </c>
      <c r="S172" s="3">
        <v>4700</v>
      </c>
      <c r="T172" s="3">
        <v>11103</v>
      </c>
      <c r="U172" s="5">
        <f t="shared" si="7"/>
        <v>1819</v>
      </c>
    </row>
    <row r="173" spans="1:21" ht="18.75" customHeight="1">
      <c r="A173" s="7" t="s">
        <v>20</v>
      </c>
      <c r="B173" s="10">
        <v>45098</v>
      </c>
      <c r="C173" s="2">
        <v>1375</v>
      </c>
      <c r="D173" s="2">
        <v>1700</v>
      </c>
      <c r="E173" s="2">
        <v>795</v>
      </c>
      <c r="F173" s="2">
        <v>1453</v>
      </c>
      <c r="G173" s="2">
        <v>1254.5</v>
      </c>
      <c r="H173" s="2">
        <v>0</v>
      </c>
      <c r="I173" s="2">
        <v>625</v>
      </c>
      <c r="J173" s="2">
        <v>0</v>
      </c>
      <c r="K173" s="2">
        <v>538</v>
      </c>
      <c r="L173" s="2">
        <v>7119</v>
      </c>
      <c r="M173" s="2">
        <v>2912</v>
      </c>
      <c r="N173" s="2">
        <v>553</v>
      </c>
      <c r="O173" s="2">
        <v>0</v>
      </c>
      <c r="P173" s="2">
        <v>0</v>
      </c>
      <c r="Q173" s="2">
        <v>0</v>
      </c>
      <c r="R173" s="3">
        <f t="shared" si="8"/>
        <v>18324.5</v>
      </c>
      <c r="S173" s="3">
        <v>5925</v>
      </c>
      <c r="T173" s="3">
        <v>8067</v>
      </c>
      <c r="U173" s="5">
        <f t="shared" si="7"/>
        <v>4332.5</v>
      </c>
    </row>
    <row r="174" spans="1:21" ht="18.75" customHeight="1">
      <c r="A174" s="7" t="s">
        <v>21</v>
      </c>
      <c r="B174" s="10">
        <v>45099</v>
      </c>
      <c r="C174" s="2">
        <v>2015</v>
      </c>
      <c r="D174" s="2">
        <v>1265</v>
      </c>
      <c r="E174" s="2">
        <v>1044.5</v>
      </c>
      <c r="F174" s="2">
        <v>1660</v>
      </c>
      <c r="G174" s="2">
        <v>2370</v>
      </c>
      <c r="H174" s="2">
        <v>0</v>
      </c>
      <c r="I174" s="2">
        <v>808</v>
      </c>
      <c r="J174" s="2">
        <v>0</v>
      </c>
      <c r="K174" s="2">
        <v>806</v>
      </c>
      <c r="L174" s="2">
        <v>10106</v>
      </c>
      <c r="M174" s="2">
        <v>2096</v>
      </c>
      <c r="N174" s="2">
        <v>944</v>
      </c>
      <c r="O174" s="2">
        <v>0</v>
      </c>
      <c r="P174" s="2">
        <v>0</v>
      </c>
      <c r="Q174" s="2">
        <v>0</v>
      </c>
      <c r="R174" s="3">
        <f t="shared" si="8"/>
        <v>23114.5</v>
      </c>
      <c r="S174" s="3">
        <v>4750</v>
      </c>
      <c r="T174" s="3">
        <v>8921</v>
      </c>
      <c r="U174" s="5">
        <f t="shared" si="7"/>
        <v>9443.5</v>
      </c>
    </row>
    <row r="175" spans="1:21" ht="18.75" customHeight="1">
      <c r="A175" s="7" t="s">
        <v>22</v>
      </c>
      <c r="B175" s="10">
        <v>45100</v>
      </c>
      <c r="C175" s="2">
        <v>1640</v>
      </c>
      <c r="D175" s="2">
        <v>1646</v>
      </c>
      <c r="E175" s="2">
        <v>0</v>
      </c>
      <c r="F175" s="2">
        <v>1465</v>
      </c>
      <c r="G175" s="2">
        <v>2486</v>
      </c>
      <c r="H175" s="2">
        <v>0</v>
      </c>
      <c r="I175" s="2">
        <v>600</v>
      </c>
      <c r="J175" s="2">
        <v>421</v>
      </c>
      <c r="K175" s="2">
        <v>1700</v>
      </c>
      <c r="L175" s="2">
        <v>9699</v>
      </c>
      <c r="M175" s="2">
        <v>3294</v>
      </c>
      <c r="N175" s="2">
        <v>210</v>
      </c>
      <c r="O175" s="2">
        <v>0</v>
      </c>
      <c r="P175" s="2">
        <v>0</v>
      </c>
      <c r="Q175" s="2">
        <v>0</v>
      </c>
      <c r="R175" s="3">
        <f t="shared" si="8"/>
        <v>23161</v>
      </c>
      <c r="S175" s="3">
        <v>5250</v>
      </c>
      <c r="T175" s="3">
        <v>11251</v>
      </c>
      <c r="U175" s="5">
        <f t="shared" si="7"/>
        <v>6660</v>
      </c>
    </row>
    <row r="176" spans="1:21" ht="18.75" customHeight="1">
      <c r="A176" s="7" t="s">
        <v>23</v>
      </c>
      <c r="B176" s="10">
        <v>45101</v>
      </c>
      <c r="C176" s="2">
        <v>1865</v>
      </c>
      <c r="D176" s="2">
        <v>1865</v>
      </c>
      <c r="E176" s="2">
        <v>0</v>
      </c>
      <c r="F176" s="2">
        <v>3125</v>
      </c>
      <c r="G176" s="2">
        <v>1418</v>
      </c>
      <c r="H176" s="2">
        <v>55</v>
      </c>
      <c r="I176" s="2">
        <v>0</v>
      </c>
      <c r="J176" s="2">
        <v>0</v>
      </c>
      <c r="K176" s="2">
        <v>1311</v>
      </c>
      <c r="L176" s="2">
        <v>16168</v>
      </c>
      <c r="M176" s="2">
        <v>3598</v>
      </c>
      <c r="N176" s="2">
        <v>730</v>
      </c>
      <c r="O176" s="2">
        <v>0</v>
      </c>
      <c r="P176" s="2">
        <v>0</v>
      </c>
      <c r="Q176" s="2">
        <v>0</v>
      </c>
      <c r="R176" s="3">
        <f t="shared" si="8"/>
        <v>30135</v>
      </c>
      <c r="S176" s="3">
        <v>6375</v>
      </c>
      <c r="T176" s="3">
        <v>14018</v>
      </c>
      <c r="U176" s="5">
        <f t="shared" si="7"/>
        <v>9742</v>
      </c>
    </row>
    <row r="177" spans="1:21" ht="18.75" customHeight="1">
      <c r="A177" s="7" t="s">
        <v>17</v>
      </c>
      <c r="B177" s="10">
        <v>45102</v>
      </c>
      <c r="C177" s="2">
        <v>3365</v>
      </c>
      <c r="D177" s="2">
        <v>1676</v>
      </c>
      <c r="E177" s="2">
        <v>0</v>
      </c>
      <c r="F177" s="2">
        <v>3088.5</v>
      </c>
      <c r="G177" s="2">
        <v>3000</v>
      </c>
      <c r="H177" s="2">
        <v>1315</v>
      </c>
      <c r="I177" s="2">
        <v>460</v>
      </c>
      <c r="J177" s="2">
        <v>180</v>
      </c>
      <c r="K177" s="2">
        <v>2131</v>
      </c>
      <c r="L177" s="2">
        <v>18390</v>
      </c>
      <c r="M177" s="2">
        <v>4857</v>
      </c>
      <c r="N177" s="2">
        <v>85</v>
      </c>
      <c r="O177" s="2">
        <v>0</v>
      </c>
      <c r="P177" s="2">
        <v>0</v>
      </c>
      <c r="Q177" s="2">
        <v>0</v>
      </c>
      <c r="R177" s="3">
        <f t="shared" si="8"/>
        <v>38547.5</v>
      </c>
      <c r="S177" s="3">
        <v>7380</v>
      </c>
      <c r="T177" s="3">
        <v>11731</v>
      </c>
      <c r="U177" s="5">
        <f t="shared" si="7"/>
        <v>19436.5</v>
      </c>
    </row>
    <row r="178" spans="1:21" ht="18.75" customHeight="1">
      <c r="A178" s="7" t="s">
        <v>18</v>
      </c>
      <c r="B178" s="10">
        <v>45103</v>
      </c>
      <c r="C178" s="2">
        <v>1724</v>
      </c>
      <c r="D178" s="2">
        <v>2355</v>
      </c>
      <c r="E178" s="2">
        <v>0</v>
      </c>
      <c r="F178" s="2">
        <v>2545</v>
      </c>
      <c r="G178" s="2">
        <v>1425</v>
      </c>
      <c r="H178" s="2">
        <v>0</v>
      </c>
      <c r="I178" s="2">
        <v>585</v>
      </c>
      <c r="J178" s="2">
        <v>187</v>
      </c>
      <c r="K178" s="2">
        <v>1279</v>
      </c>
      <c r="L178" s="2">
        <v>11415</v>
      </c>
      <c r="M178" s="2">
        <v>1571</v>
      </c>
      <c r="N178" s="2">
        <v>717</v>
      </c>
      <c r="O178" s="2">
        <v>0</v>
      </c>
      <c r="P178" s="2">
        <v>0</v>
      </c>
      <c r="Q178" s="2">
        <v>0</v>
      </c>
      <c r="R178" s="3">
        <f t="shared" si="8"/>
        <v>23803</v>
      </c>
      <c r="S178" s="3">
        <v>5090</v>
      </c>
      <c r="T178" s="3">
        <v>17604</v>
      </c>
      <c r="U178" s="5">
        <f t="shared" si="7"/>
        <v>1109</v>
      </c>
    </row>
    <row r="179" spans="1:21" ht="18.75" customHeight="1">
      <c r="A179" s="7" t="s">
        <v>19</v>
      </c>
      <c r="B179" s="10">
        <v>45104</v>
      </c>
      <c r="C179" s="2">
        <v>1510</v>
      </c>
      <c r="D179" s="2">
        <v>1150</v>
      </c>
      <c r="E179" s="2">
        <v>0</v>
      </c>
      <c r="F179" s="2">
        <v>2427</v>
      </c>
      <c r="G179" s="2">
        <v>1925</v>
      </c>
      <c r="H179" s="2">
        <v>0</v>
      </c>
      <c r="I179" s="2">
        <v>780</v>
      </c>
      <c r="J179" s="2">
        <v>0</v>
      </c>
      <c r="K179" s="2">
        <v>1265</v>
      </c>
      <c r="L179" s="2">
        <v>7681</v>
      </c>
      <c r="M179" s="2">
        <v>3061</v>
      </c>
      <c r="N179" s="2">
        <v>446</v>
      </c>
      <c r="O179" s="2">
        <v>0</v>
      </c>
      <c r="P179" s="2">
        <v>0</v>
      </c>
      <c r="Q179" s="2">
        <v>0</v>
      </c>
      <c r="R179" s="3">
        <f t="shared" si="8"/>
        <v>20245</v>
      </c>
      <c r="S179" s="3">
        <v>6470</v>
      </c>
      <c r="T179" s="3">
        <v>9709</v>
      </c>
      <c r="U179" s="5">
        <f t="shared" si="7"/>
        <v>4066</v>
      </c>
    </row>
    <row r="180" spans="1:21" ht="18.75" customHeight="1">
      <c r="A180" s="7" t="s">
        <v>20</v>
      </c>
      <c r="B180" s="10">
        <v>45105</v>
      </c>
      <c r="C180" s="2">
        <v>1525</v>
      </c>
      <c r="D180" s="2">
        <v>1690</v>
      </c>
      <c r="E180" s="2">
        <v>445</v>
      </c>
      <c r="F180" s="2">
        <v>1556</v>
      </c>
      <c r="G180" s="2">
        <v>2243</v>
      </c>
      <c r="H180" s="2">
        <v>0</v>
      </c>
      <c r="I180" s="2">
        <v>535</v>
      </c>
      <c r="J180" s="2">
        <v>0</v>
      </c>
      <c r="K180" s="2">
        <v>800</v>
      </c>
      <c r="L180" s="2">
        <v>5727</v>
      </c>
      <c r="M180" s="2">
        <v>2477</v>
      </c>
      <c r="N180" s="2">
        <v>722</v>
      </c>
      <c r="O180" s="2">
        <v>0</v>
      </c>
      <c r="P180" s="2">
        <v>0</v>
      </c>
      <c r="Q180" s="2">
        <v>0</v>
      </c>
      <c r="R180" s="3">
        <f t="shared" si="8"/>
        <v>17720</v>
      </c>
      <c r="S180" s="3">
        <v>5275</v>
      </c>
      <c r="T180" s="3">
        <v>13041</v>
      </c>
      <c r="U180" s="5">
        <f t="shared" si="7"/>
        <v>-596</v>
      </c>
    </row>
    <row r="181" spans="1:21" ht="18.75" customHeight="1">
      <c r="A181" s="7" t="s">
        <v>21</v>
      </c>
      <c r="B181" s="10">
        <v>45106</v>
      </c>
      <c r="C181" s="2">
        <v>2711</v>
      </c>
      <c r="D181" s="2">
        <v>1225</v>
      </c>
      <c r="E181" s="2">
        <v>487</v>
      </c>
      <c r="F181" s="2">
        <v>3625</v>
      </c>
      <c r="G181" s="2">
        <v>2779</v>
      </c>
      <c r="H181" s="2">
        <v>0</v>
      </c>
      <c r="I181" s="2">
        <v>624</v>
      </c>
      <c r="J181" s="2">
        <v>0</v>
      </c>
      <c r="K181" s="2">
        <v>825</v>
      </c>
      <c r="L181" s="2">
        <v>5642</v>
      </c>
      <c r="M181" s="2">
        <v>1462</v>
      </c>
      <c r="N181" s="2">
        <v>345</v>
      </c>
      <c r="O181" s="2">
        <v>0</v>
      </c>
      <c r="P181" s="2">
        <v>0</v>
      </c>
      <c r="Q181" s="2">
        <v>0</v>
      </c>
      <c r="R181" s="3">
        <f t="shared" si="8"/>
        <v>19725</v>
      </c>
      <c r="S181" s="3">
        <v>6685</v>
      </c>
      <c r="T181" s="3">
        <v>8979</v>
      </c>
      <c r="U181" s="5">
        <f t="shared" si="7"/>
        <v>4061</v>
      </c>
    </row>
    <row r="182" spans="1:21" ht="18.75" customHeight="1">
      <c r="A182" s="7" t="s">
        <v>22</v>
      </c>
      <c r="B182" s="10">
        <v>45107</v>
      </c>
      <c r="C182" s="2">
        <v>1850</v>
      </c>
      <c r="D182" s="2">
        <v>1080</v>
      </c>
      <c r="E182" s="2">
        <v>465</v>
      </c>
      <c r="F182" s="2">
        <v>1435</v>
      </c>
      <c r="G182" s="2">
        <v>2375</v>
      </c>
      <c r="H182" s="2">
        <v>0</v>
      </c>
      <c r="I182" s="2">
        <v>860</v>
      </c>
      <c r="J182" s="2">
        <v>0</v>
      </c>
      <c r="K182" s="2">
        <v>1408</v>
      </c>
      <c r="L182" s="2">
        <v>7347</v>
      </c>
      <c r="M182" s="2">
        <v>3248</v>
      </c>
      <c r="N182" s="2">
        <v>1154</v>
      </c>
      <c r="O182" s="2">
        <v>0</v>
      </c>
      <c r="P182" s="2">
        <v>0</v>
      </c>
      <c r="Q182" s="2">
        <v>0</v>
      </c>
      <c r="R182" s="3">
        <f t="shared" si="8"/>
        <v>21222</v>
      </c>
      <c r="S182" s="3">
        <v>5780</v>
      </c>
      <c r="T182" s="3">
        <v>10449</v>
      </c>
      <c r="U182" s="5">
        <f t="shared" si="7"/>
        <v>4993</v>
      </c>
    </row>
    <row r="183" spans="1:21" ht="18.75" customHeight="1">
      <c r="A183" s="7" t="s">
        <v>16</v>
      </c>
      <c r="B183" s="10">
        <v>45108</v>
      </c>
      <c r="C183" s="2">
        <v>2060</v>
      </c>
      <c r="D183" s="2">
        <v>870</v>
      </c>
      <c r="E183" s="2">
        <v>565</v>
      </c>
      <c r="F183" s="2">
        <v>1305</v>
      </c>
      <c r="G183" s="2">
        <v>1363</v>
      </c>
      <c r="H183" s="2">
        <v>570</v>
      </c>
      <c r="I183" s="2">
        <v>660</v>
      </c>
      <c r="J183" s="2">
        <v>0</v>
      </c>
      <c r="K183" s="2">
        <v>1015</v>
      </c>
      <c r="L183" s="2">
        <v>13131</v>
      </c>
      <c r="M183" s="2">
        <v>4235</v>
      </c>
      <c r="N183" s="2">
        <v>0</v>
      </c>
      <c r="O183" s="2">
        <v>0</v>
      </c>
      <c r="P183" s="2">
        <v>563</v>
      </c>
      <c r="Q183" s="2">
        <v>0</v>
      </c>
      <c r="R183" s="3">
        <f t="shared" ref="R183:R214" si="9">SUM(C183:Q183)</f>
        <v>26337</v>
      </c>
      <c r="S183" s="3">
        <v>9355</v>
      </c>
      <c r="T183" s="3">
        <v>13546</v>
      </c>
      <c r="U183" s="5">
        <f t="shared" si="7"/>
        <v>3436</v>
      </c>
    </row>
    <row r="184" spans="1:21" ht="18.75" customHeight="1">
      <c r="A184" s="7" t="s">
        <v>17</v>
      </c>
      <c r="B184" s="10">
        <v>45109</v>
      </c>
      <c r="C184" s="2">
        <v>1750</v>
      </c>
      <c r="D184" s="2">
        <v>1955</v>
      </c>
      <c r="E184" s="2">
        <v>0</v>
      </c>
      <c r="F184" s="2">
        <v>3150</v>
      </c>
      <c r="G184" s="2">
        <v>3274</v>
      </c>
      <c r="H184" s="2">
        <v>950</v>
      </c>
      <c r="I184" s="2">
        <v>0</v>
      </c>
      <c r="J184" s="2">
        <v>0</v>
      </c>
      <c r="K184" s="2">
        <v>1120</v>
      </c>
      <c r="L184" s="2">
        <v>17030</v>
      </c>
      <c r="M184" s="2">
        <v>2797</v>
      </c>
      <c r="N184" s="2">
        <v>0</v>
      </c>
      <c r="O184" s="2">
        <v>0</v>
      </c>
      <c r="P184" s="2">
        <v>0</v>
      </c>
      <c r="Q184" s="2">
        <v>0</v>
      </c>
      <c r="R184" s="3">
        <f t="shared" si="9"/>
        <v>32026</v>
      </c>
      <c r="S184" s="3">
        <v>7215</v>
      </c>
      <c r="T184" s="3">
        <v>6995</v>
      </c>
      <c r="U184" s="5">
        <f t="shared" si="7"/>
        <v>17816</v>
      </c>
    </row>
    <row r="185" spans="1:21" ht="18.75" customHeight="1">
      <c r="A185" s="7" t="s">
        <v>18</v>
      </c>
      <c r="B185" s="10">
        <v>45110</v>
      </c>
      <c r="C185" s="2">
        <v>1545</v>
      </c>
      <c r="D185" s="2">
        <v>1230</v>
      </c>
      <c r="E185" s="2">
        <v>0</v>
      </c>
      <c r="F185" s="2">
        <v>1915</v>
      </c>
      <c r="G185" s="2">
        <v>2409</v>
      </c>
      <c r="H185" s="2">
        <v>540</v>
      </c>
      <c r="I185" s="2">
        <v>505</v>
      </c>
      <c r="J185" s="2">
        <v>0</v>
      </c>
      <c r="K185" s="2">
        <v>665</v>
      </c>
      <c r="L185" s="2">
        <v>10407</v>
      </c>
      <c r="M185" s="2">
        <v>3000</v>
      </c>
      <c r="N185" s="2">
        <v>200</v>
      </c>
      <c r="O185" s="2">
        <v>0</v>
      </c>
      <c r="P185" s="2">
        <v>0</v>
      </c>
      <c r="Q185" s="2">
        <v>0</v>
      </c>
      <c r="R185" s="3">
        <f t="shared" si="9"/>
        <v>22416</v>
      </c>
      <c r="S185" s="3">
        <v>6000</v>
      </c>
      <c r="T185" s="3">
        <v>15929</v>
      </c>
      <c r="U185" s="5">
        <f t="shared" si="7"/>
        <v>487</v>
      </c>
    </row>
    <row r="186" spans="1:21" ht="18.75" customHeight="1">
      <c r="A186" s="7" t="s">
        <v>19</v>
      </c>
      <c r="B186" s="10">
        <v>45111</v>
      </c>
      <c r="C186" s="2">
        <v>1715</v>
      </c>
      <c r="D186" s="2">
        <v>1915</v>
      </c>
      <c r="E186" s="2">
        <v>820</v>
      </c>
      <c r="F186" s="2">
        <v>2465</v>
      </c>
      <c r="G186" s="2">
        <v>2284</v>
      </c>
      <c r="H186" s="2">
        <v>0</v>
      </c>
      <c r="I186" s="2">
        <v>840</v>
      </c>
      <c r="J186" s="2">
        <v>0</v>
      </c>
      <c r="K186" s="2">
        <v>630</v>
      </c>
      <c r="L186" s="2">
        <v>7310</v>
      </c>
      <c r="M186" s="2">
        <v>2867</v>
      </c>
      <c r="N186" s="2">
        <v>610</v>
      </c>
      <c r="O186" s="2">
        <v>0</v>
      </c>
      <c r="P186" s="2">
        <v>0</v>
      </c>
      <c r="Q186" s="2">
        <v>0</v>
      </c>
      <c r="R186" s="3">
        <f t="shared" si="9"/>
        <v>21456</v>
      </c>
      <c r="S186" s="3">
        <v>5850</v>
      </c>
      <c r="T186" s="3">
        <v>7807</v>
      </c>
      <c r="U186" s="5">
        <f t="shared" si="7"/>
        <v>7799</v>
      </c>
    </row>
    <row r="187" spans="1:21" ht="18.75" customHeight="1">
      <c r="A187" s="7" t="s">
        <v>20</v>
      </c>
      <c r="B187" s="10">
        <v>45112</v>
      </c>
      <c r="C187" s="2">
        <v>2128</v>
      </c>
      <c r="D187" s="2">
        <v>1510</v>
      </c>
      <c r="E187" s="2">
        <v>0</v>
      </c>
      <c r="F187" s="2">
        <v>2910</v>
      </c>
      <c r="G187" s="2">
        <v>1865</v>
      </c>
      <c r="H187" s="2">
        <v>0</v>
      </c>
      <c r="I187" s="2">
        <v>660</v>
      </c>
      <c r="J187" s="2">
        <v>0</v>
      </c>
      <c r="K187" s="2">
        <v>900</v>
      </c>
      <c r="L187" s="2">
        <v>9386</v>
      </c>
      <c r="M187" s="2">
        <v>3698</v>
      </c>
      <c r="N187" s="2">
        <v>893</v>
      </c>
      <c r="O187" s="2">
        <v>0</v>
      </c>
      <c r="P187" s="2">
        <v>0</v>
      </c>
      <c r="Q187" s="2">
        <v>0</v>
      </c>
      <c r="R187" s="3">
        <f t="shared" si="9"/>
        <v>23950</v>
      </c>
      <c r="S187" s="3">
        <v>6355</v>
      </c>
      <c r="T187" s="3">
        <v>9741</v>
      </c>
      <c r="U187" s="5">
        <f t="shared" si="7"/>
        <v>7854</v>
      </c>
    </row>
    <row r="188" spans="1:21" ht="18.75" customHeight="1">
      <c r="A188" s="7" t="s">
        <v>21</v>
      </c>
      <c r="B188" s="10">
        <v>45113</v>
      </c>
      <c r="C188" s="2">
        <v>2275</v>
      </c>
      <c r="D188" s="2">
        <v>1052</v>
      </c>
      <c r="E188" s="2">
        <v>0</v>
      </c>
      <c r="F188" s="2">
        <v>2385</v>
      </c>
      <c r="G188" s="2">
        <v>1936</v>
      </c>
      <c r="H188" s="2">
        <v>355</v>
      </c>
      <c r="I188" s="2">
        <v>750</v>
      </c>
      <c r="J188" s="2">
        <v>0</v>
      </c>
      <c r="K188" s="2">
        <v>1106</v>
      </c>
      <c r="L188" s="2">
        <v>11573</v>
      </c>
      <c r="M188" s="2">
        <v>4357</v>
      </c>
      <c r="N188" s="2">
        <v>571</v>
      </c>
      <c r="O188" s="2">
        <v>0</v>
      </c>
      <c r="P188" s="2">
        <v>210</v>
      </c>
      <c r="Q188" s="2">
        <v>0</v>
      </c>
      <c r="R188" s="3">
        <f t="shared" si="9"/>
        <v>26570</v>
      </c>
      <c r="S188" s="3">
        <v>6210</v>
      </c>
      <c r="T188" s="3">
        <v>13643</v>
      </c>
      <c r="U188" s="5">
        <f t="shared" si="7"/>
        <v>6717</v>
      </c>
    </row>
    <row r="189" spans="1:21" ht="18.75" customHeight="1">
      <c r="A189" s="7" t="s">
        <v>22</v>
      </c>
      <c r="B189" s="10">
        <v>45114</v>
      </c>
      <c r="C189" s="2">
        <v>3105</v>
      </c>
      <c r="D189" s="2">
        <v>1435</v>
      </c>
      <c r="E189" s="2">
        <v>0</v>
      </c>
      <c r="F189" s="2">
        <v>3091</v>
      </c>
      <c r="G189" s="2">
        <v>1999</v>
      </c>
      <c r="H189" s="2">
        <v>40</v>
      </c>
      <c r="I189" s="2">
        <v>405</v>
      </c>
      <c r="J189" s="2">
        <v>0</v>
      </c>
      <c r="K189" s="2">
        <v>1138</v>
      </c>
      <c r="L189" s="2">
        <v>9481</v>
      </c>
      <c r="M189" s="2">
        <v>2105</v>
      </c>
      <c r="N189" s="2">
        <v>984</v>
      </c>
      <c r="O189" s="2">
        <v>0</v>
      </c>
      <c r="P189" s="2">
        <v>750</v>
      </c>
      <c r="Q189" s="2">
        <v>0</v>
      </c>
      <c r="R189" s="3">
        <f t="shared" si="9"/>
        <v>24533</v>
      </c>
      <c r="S189" s="3">
        <v>5710</v>
      </c>
      <c r="T189" s="3">
        <v>11960</v>
      </c>
      <c r="U189" s="5">
        <f t="shared" si="7"/>
        <v>6863</v>
      </c>
    </row>
    <row r="190" spans="1:21" ht="18.75" customHeight="1">
      <c r="A190" s="7" t="s">
        <v>23</v>
      </c>
      <c r="B190" s="10">
        <v>45115</v>
      </c>
      <c r="C190" s="2">
        <v>1790</v>
      </c>
      <c r="D190" s="2">
        <v>1300</v>
      </c>
      <c r="E190" s="2">
        <v>0</v>
      </c>
      <c r="F190" s="2">
        <v>1840</v>
      </c>
      <c r="G190" s="2">
        <v>1974</v>
      </c>
      <c r="H190" s="2">
        <v>590</v>
      </c>
      <c r="I190" s="2">
        <v>565</v>
      </c>
      <c r="J190" s="2">
        <v>0</v>
      </c>
      <c r="K190" s="2">
        <v>1320</v>
      </c>
      <c r="L190" s="2">
        <v>8819</v>
      </c>
      <c r="M190" s="2">
        <v>3043</v>
      </c>
      <c r="N190" s="2">
        <v>402</v>
      </c>
      <c r="O190" s="2">
        <v>0</v>
      </c>
      <c r="P190" s="2">
        <v>0</v>
      </c>
      <c r="Q190" s="2">
        <v>0</v>
      </c>
      <c r="R190" s="3">
        <f t="shared" si="9"/>
        <v>21643</v>
      </c>
      <c r="S190" s="3">
        <v>7275</v>
      </c>
      <c r="T190" s="3">
        <v>13474</v>
      </c>
      <c r="U190" s="5">
        <f t="shared" si="7"/>
        <v>894</v>
      </c>
    </row>
    <row r="191" spans="1:21" ht="18.75" customHeight="1">
      <c r="A191" s="7" t="s">
        <v>17</v>
      </c>
      <c r="B191" s="10">
        <v>45116</v>
      </c>
      <c r="C191" s="2">
        <v>2655</v>
      </c>
      <c r="D191" s="2">
        <v>1555</v>
      </c>
      <c r="E191" s="2">
        <v>0</v>
      </c>
      <c r="F191" s="2">
        <v>2110</v>
      </c>
      <c r="G191" s="2">
        <v>3446</v>
      </c>
      <c r="H191" s="2">
        <v>706</v>
      </c>
      <c r="I191" s="2">
        <v>910</v>
      </c>
      <c r="J191" s="2">
        <v>0</v>
      </c>
      <c r="K191" s="2">
        <v>1325</v>
      </c>
      <c r="L191" s="2">
        <v>16853</v>
      </c>
      <c r="M191" s="2">
        <v>4387</v>
      </c>
      <c r="N191" s="2">
        <v>1297</v>
      </c>
      <c r="O191" s="2">
        <v>160</v>
      </c>
      <c r="P191" s="2">
        <v>0</v>
      </c>
      <c r="Q191" s="2">
        <v>0</v>
      </c>
      <c r="R191" s="3">
        <f t="shared" si="9"/>
        <v>35404</v>
      </c>
      <c r="S191" s="3">
        <v>9170</v>
      </c>
      <c r="T191" s="3">
        <v>7375</v>
      </c>
      <c r="U191" s="5">
        <f t="shared" si="7"/>
        <v>18859</v>
      </c>
    </row>
    <row r="192" spans="1:21" ht="18.75" customHeight="1">
      <c r="A192" s="7" t="s">
        <v>18</v>
      </c>
      <c r="B192" s="10">
        <v>45117</v>
      </c>
      <c r="C192" s="2">
        <v>2082</v>
      </c>
      <c r="D192" s="2">
        <v>1075</v>
      </c>
      <c r="E192" s="2">
        <v>0</v>
      </c>
      <c r="F192" s="2">
        <v>2475</v>
      </c>
      <c r="G192" s="2">
        <v>2237</v>
      </c>
      <c r="H192" s="2">
        <v>0</v>
      </c>
      <c r="I192" s="2">
        <v>775</v>
      </c>
      <c r="J192" s="2">
        <v>0</v>
      </c>
      <c r="K192" s="2">
        <v>1489</v>
      </c>
      <c r="L192" s="2">
        <v>11075</v>
      </c>
      <c r="M192" s="2">
        <v>2525</v>
      </c>
      <c r="N192" s="2">
        <v>844</v>
      </c>
      <c r="O192" s="2">
        <v>0</v>
      </c>
      <c r="P192" s="2">
        <v>0</v>
      </c>
      <c r="Q192" s="2">
        <v>0</v>
      </c>
      <c r="R192" s="3">
        <f t="shared" si="9"/>
        <v>24577</v>
      </c>
      <c r="S192" s="3">
        <v>4920</v>
      </c>
      <c r="T192" s="3">
        <v>14205</v>
      </c>
      <c r="U192" s="5">
        <f t="shared" si="7"/>
        <v>5452</v>
      </c>
    </row>
    <row r="193" spans="1:21" ht="18.75" customHeight="1">
      <c r="A193" s="7" t="s">
        <v>19</v>
      </c>
      <c r="B193" s="10">
        <v>45118</v>
      </c>
      <c r="C193" s="2">
        <v>1730</v>
      </c>
      <c r="D193" s="2">
        <v>2650</v>
      </c>
      <c r="E193" s="2">
        <v>460</v>
      </c>
      <c r="F193" s="2">
        <v>1800</v>
      </c>
      <c r="G193" s="2">
        <v>2547</v>
      </c>
      <c r="H193" s="2">
        <v>370</v>
      </c>
      <c r="I193" s="2">
        <v>1315</v>
      </c>
      <c r="J193" s="2">
        <v>0</v>
      </c>
      <c r="K193" s="2">
        <v>1400</v>
      </c>
      <c r="L193" s="2">
        <v>7371</v>
      </c>
      <c r="M193" s="2">
        <v>2694</v>
      </c>
      <c r="N193" s="2">
        <v>361</v>
      </c>
      <c r="O193" s="2">
        <v>0</v>
      </c>
      <c r="P193" s="2">
        <v>0</v>
      </c>
      <c r="Q193" s="2">
        <v>0</v>
      </c>
      <c r="R193" s="3">
        <f t="shared" si="9"/>
        <v>22698</v>
      </c>
      <c r="S193" s="3">
        <v>6170</v>
      </c>
      <c r="T193" s="3">
        <v>10665</v>
      </c>
      <c r="U193" s="5">
        <f t="shared" si="7"/>
        <v>5863</v>
      </c>
    </row>
    <row r="194" spans="1:21" ht="18.75" customHeight="1">
      <c r="A194" s="7" t="s">
        <v>20</v>
      </c>
      <c r="B194" s="10">
        <v>45119</v>
      </c>
      <c r="C194" s="2">
        <v>1620</v>
      </c>
      <c r="D194" s="2">
        <v>1248</v>
      </c>
      <c r="E194" s="2">
        <v>0</v>
      </c>
      <c r="F194" s="2">
        <v>2390</v>
      </c>
      <c r="G194" s="2">
        <v>1487</v>
      </c>
      <c r="H194" s="2">
        <v>0</v>
      </c>
      <c r="I194" s="2">
        <v>370</v>
      </c>
      <c r="J194" s="2">
        <v>0</v>
      </c>
      <c r="K194" s="2">
        <v>905</v>
      </c>
      <c r="L194" s="2">
        <v>10514</v>
      </c>
      <c r="M194" s="2">
        <v>3418</v>
      </c>
      <c r="N194" s="2">
        <v>170</v>
      </c>
      <c r="O194" s="2">
        <v>0</v>
      </c>
      <c r="P194" s="2">
        <v>0</v>
      </c>
      <c r="Q194" s="2">
        <v>0</v>
      </c>
      <c r="R194" s="3">
        <f t="shared" si="9"/>
        <v>22122</v>
      </c>
      <c r="S194" s="3">
        <v>6705</v>
      </c>
      <c r="T194" s="3">
        <v>7808</v>
      </c>
      <c r="U194" s="5">
        <f t="shared" si="7"/>
        <v>7609</v>
      </c>
    </row>
    <row r="195" spans="1:21" ht="18.75" customHeight="1">
      <c r="A195" s="7" t="s">
        <v>21</v>
      </c>
      <c r="B195" s="10">
        <v>45120</v>
      </c>
      <c r="C195" s="2">
        <v>2100</v>
      </c>
      <c r="D195" s="2">
        <v>1055</v>
      </c>
      <c r="E195" s="2">
        <v>429</v>
      </c>
      <c r="F195" s="2">
        <v>2441</v>
      </c>
      <c r="G195" s="2">
        <v>1450</v>
      </c>
      <c r="H195" s="2">
        <v>500</v>
      </c>
      <c r="I195" s="2">
        <v>715</v>
      </c>
      <c r="J195" s="2">
        <v>0</v>
      </c>
      <c r="K195" s="2">
        <v>530</v>
      </c>
      <c r="L195" s="2">
        <v>10244</v>
      </c>
      <c r="M195" s="2">
        <v>2983</v>
      </c>
      <c r="N195" s="2">
        <v>128</v>
      </c>
      <c r="O195" s="2">
        <v>190</v>
      </c>
      <c r="P195" s="2">
        <v>0</v>
      </c>
      <c r="Q195" s="2">
        <v>0</v>
      </c>
      <c r="R195" s="3">
        <f t="shared" si="9"/>
        <v>22765</v>
      </c>
      <c r="S195" s="3">
        <v>5760</v>
      </c>
      <c r="T195" s="3">
        <v>10315</v>
      </c>
      <c r="U195" s="5">
        <f t="shared" ref="U195:U258" si="10">R195-S195-T195</f>
        <v>6690</v>
      </c>
    </row>
    <row r="196" spans="1:21" ht="18.75" customHeight="1">
      <c r="A196" s="7" t="s">
        <v>22</v>
      </c>
      <c r="B196" s="10">
        <v>45121</v>
      </c>
      <c r="C196" s="2">
        <v>2524</v>
      </c>
      <c r="D196" s="2">
        <v>1695</v>
      </c>
      <c r="E196" s="2">
        <v>0</v>
      </c>
      <c r="F196" s="2">
        <v>1745</v>
      </c>
      <c r="G196" s="2">
        <v>3195</v>
      </c>
      <c r="H196" s="2">
        <v>290</v>
      </c>
      <c r="I196" s="2">
        <v>825</v>
      </c>
      <c r="J196" s="2">
        <v>0</v>
      </c>
      <c r="K196" s="2">
        <v>1545</v>
      </c>
      <c r="L196" s="2">
        <v>8713</v>
      </c>
      <c r="M196" s="2">
        <v>4951</v>
      </c>
      <c r="N196" s="2">
        <v>0</v>
      </c>
      <c r="O196" s="2">
        <v>704</v>
      </c>
      <c r="P196" s="2">
        <v>190</v>
      </c>
      <c r="Q196" s="2">
        <v>0</v>
      </c>
      <c r="R196" s="3">
        <f t="shared" si="9"/>
        <v>26377</v>
      </c>
      <c r="S196" s="3">
        <v>6300</v>
      </c>
      <c r="T196" s="3">
        <v>13780</v>
      </c>
      <c r="U196" s="5">
        <f t="shared" si="10"/>
        <v>6297</v>
      </c>
    </row>
    <row r="197" spans="1:21" ht="18.75" customHeight="1">
      <c r="A197" s="7" t="s">
        <v>23</v>
      </c>
      <c r="B197" s="10">
        <v>45122</v>
      </c>
      <c r="C197" s="2">
        <v>1995</v>
      </c>
      <c r="D197" s="2">
        <v>2400</v>
      </c>
      <c r="E197" s="2">
        <v>0</v>
      </c>
      <c r="F197" s="2">
        <v>2310</v>
      </c>
      <c r="G197" s="2">
        <v>2475</v>
      </c>
      <c r="H197" s="2">
        <v>1190</v>
      </c>
      <c r="I197" s="2">
        <v>715</v>
      </c>
      <c r="J197" s="2">
        <v>0</v>
      </c>
      <c r="K197" s="2">
        <v>958</v>
      </c>
      <c r="L197" s="2">
        <v>17445</v>
      </c>
      <c r="M197" s="2">
        <v>6238</v>
      </c>
      <c r="N197" s="2">
        <v>181</v>
      </c>
      <c r="O197" s="2">
        <v>0</v>
      </c>
      <c r="P197" s="2">
        <v>399</v>
      </c>
      <c r="Q197" s="2">
        <v>0</v>
      </c>
      <c r="R197" s="3">
        <f t="shared" si="9"/>
        <v>36306</v>
      </c>
      <c r="S197" s="3">
        <v>8607</v>
      </c>
      <c r="T197" s="3">
        <v>17293</v>
      </c>
      <c r="U197" s="5">
        <f t="shared" si="10"/>
        <v>10406</v>
      </c>
    </row>
    <row r="198" spans="1:21" ht="18.75" customHeight="1">
      <c r="A198" s="7" t="s">
        <v>17</v>
      </c>
      <c r="B198" s="10">
        <v>45123</v>
      </c>
      <c r="C198" s="2">
        <v>1876</v>
      </c>
      <c r="D198" s="2">
        <v>1695</v>
      </c>
      <c r="E198" s="2">
        <v>0</v>
      </c>
      <c r="F198" s="2">
        <v>3200</v>
      </c>
      <c r="G198" s="2">
        <v>2647</v>
      </c>
      <c r="H198" s="2">
        <v>2100</v>
      </c>
      <c r="I198" s="2">
        <v>320</v>
      </c>
      <c r="J198" s="2">
        <v>0</v>
      </c>
      <c r="K198" s="2">
        <v>1250</v>
      </c>
      <c r="L198" s="2">
        <v>15989</v>
      </c>
      <c r="M198" s="2">
        <v>6809</v>
      </c>
      <c r="N198" s="2">
        <v>0</v>
      </c>
      <c r="O198" s="2">
        <v>0</v>
      </c>
      <c r="P198" s="2">
        <v>195</v>
      </c>
      <c r="Q198" s="2">
        <v>0</v>
      </c>
      <c r="R198" s="3">
        <f t="shared" si="9"/>
        <v>36081</v>
      </c>
      <c r="S198" s="3">
        <v>8290</v>
      </c>
      <c r="T198" s="3">
        <v>10811</v>
      </c>
      <c r="U198" s="5">
        <f t="shared" si="10"/>
        <v>16980</v>
      </c>
    </row>
    <row r="199" spans="1:21" ht="18.75" customHeight="1">
      <c r="A199" s="7" t="s">
        <v>18</v>
      </c>
      <c r="B199" s="10">
        <v>45124</v>
      </c>
      <c r="C199" s="2">
        <v>1770</v>
      </c>
      <c r="D199" s="2">
        <v>1610</v>
      </c>
      <c r="E199" s="2">
        <v>0</v>
      </c>
      <c r="F199" s="2">
        <v>2595</v>
      </c>
      <c r="G199" s="2">
        <v>2286</v>
      </c>
      <c r="H199" s="2">
        <v>225</v>
      </c>
      <c r="I199" s="2">
        <v>765</v>
      </c>
      <c r="J199" s="2">
        <v>0</v>
      </c>
      <c r="K199" s="2">
        <v>1737</v>
      </c>
      <c r="L199" s="2">
        <v>11458</v>
      </c>
      <c r="M199" s="2">
        <v>4211</v>
      </c>
      <c r="N199" s="2">
        <v>341</v>
      </c>
      <c r="O199" s="2">
        <v>0</v>
      </c>
      <c r="P199" s="2">
        <v>610</v>
      </c>
      <c r="Q199" s="2">
        <v>0</v>
      </c>
      <c r="R199" s="3">
        <f t="shared" si="9"/>
        <v>27608</v>
      </c>
      <c r="S199" s="3">
        <v>6950</v>
      </c>
      <c r="T199" s="3">
        <v>13181</v>
      </c>
      <c r="U199" s="5">
        <f t="shared" si="10"/>
        <v>7477</v>
      </c>
    </row>
    <row r="200" spans="1:21" ht="18.75" customHeight="1">
      <c r="A200" s="7" t="s">
        <v>19</v>
      </c>
      <c r="B200" s="10">
        <v>45125</v>
      </c>
      <c r="C200" s="2">
        <v>1650</v>
      </c>
      <c r="D200" s="2">
        <v>575</v>
      </c>
      <c r="E200" s="2">
        <v>490</v>
      </c>
      <c r="F200" s="2">
        <v>1940</v>
      </c>
      <c r="G200" s="2">
        <v>2976</v>
      </c>
      <c r="H200" s="2">
        <v>250</v>
      </c>
      <c r="I200" s="2">
        <v>950</v>
      </c>
      <c r="J200" s="2">
        <v>0</v>
      </c>
      <c r="K200" s="2">
        <v>728</v>
      </c>
      <c r="L200" s="2">
        <v>10328</v>
      </c>
      <c r="M200" s="2">
        <v>3350</v>
      </c>
      <c r="N200" s="2">
        <v>328</v>
      </c>
      <c r="O200" s="2">
        <v>0</v>
      </c>
      <c r="P200" s="2">
        <v>551</v>
      </c>
      <c r="Q200" s="2">
        <v>0</v>
      </c>
      <c r="R200" s="3">
        <f t="shared" si="9"/>
        <v>24116</v>
      </c>
      <c r="S200" s="3">
        <v>6490</v>
      </c>
      <c r="T200" s="3">
        <v>8084</v>
      </c>
      <c r="U200" s="5">
        <f t="shared" si="10"/>
        <v>9542</v>
      </c>
    </row>
    <row r="201" spans="1:21" ht="18.75" customHeight="1">
      <c r="A201" s="7" t="s">
        <v>20</v>
      </c>
      <c r="B201" s="10">
        <v>45126</v>
      </c>
      <c r="C201" s="2">
        <v>1965</v>
      </c>
      <c r="D201" s="2">
        <v>1655</v>
      </c>
      <c r="E201" s="2">
        <v>0</v>
      </c>
      <c r="F201" s="2">
        <v>2787</v>
      </c>
      <c r="G201" s="2">
        <v>2221</v>
      </c>
      <c r="H201" s="2">
        <v>465</v>
      </c>
      <c r="I201" s="2">
        <v>360</v>
      </c>
      <c r="J201" s="2">
        <v>0</v>
      </c>
      <c r="K201" s="2">
        <v>1040</v>
      </c>
      <c r="L201" s="2">
        <v>13549</v>
      </c>
      <c r="M201" s="2">
        <v>2184</v>
      </c>
      <c r="N201" s="2">
        <v>961</v>
      </c>
      <c r="O201" s="2">
        <v>131</v>
      </c>
      <c r="P201" s="2">
        <v>580</v>
      </c>
      <c r="Q201" s="2">
        <v>0</v>
      </c>
      <c r="R201" s="3">
        <f t="shared" si="9"/>
        <v>27898</v>
      </c>
      <c r="S201" s="3">
        <v>6640</v>
      </c>
      <c r="T201" s="3">
        <v>8682</v>
      </c>
      <c r="U201" s="5">
        <f t="shared" si="10"/>
        <v>12576</v>
      </c>
    </row>
    <row r="202" spans="1:21" ht="18.600000000000001" customHeight="1">
      <c r="A202" s="7" t="s">
        <v>21</v>
      </c>
      <c r="B202" s="10">
        <v>45127</v>
      </c>
      <c r="C202" s="2">
        <v>1585</v>
      </c>
      <c r="D202" s="2">
        <v>1330</v>
      </c>
      <c r="E202" s="2">
        <v>0</v>
      </c>
      <c r="F202" s="2">
        <v>2349</v>
      </c>
      <c r="G202" s="2">
        <v>1663</v>
      </c>
      <c r="H202" s="2">
        <v>470</v>
      </c>
      <c r="I202" s="2">
        <v>610</v>
      </c>
      <c r="J202" s="2">
        <v>0</v>
      </c>
      <c r="K202" s="2">
        <v>800</v>
      </c>
      <c r="L202" s="2">
        <v>14508</v>
      </c>
      <c r="M202" s="2">
        <v>2688</v>
      </c>
      <c r="N202" s="2">
        <v>685</v>
      </c>
      <c r="O202" s="2">
        <v>0</v>
      </c>
      <c r="P202" s="2">
        <v>0</v>
      </c>
      <c r="Q202" s="2">
        <v>0</v>
      </c>
      <c r="R202" s="3">
        <f t="shared" si="9"/>
        <v>26688</v>
      </c>
      <c r="S202" s="3">
        <v>7045</v>
      </c>
      <c r="T202" s="3">
        <v>14688</v>
      </c>
      <c r="U202" s="5">
        <f t="shared" si="10"/>
        <v>4955</v>
      </c>
    </row>
    <row r="203" spans="1:21" ht="18.75" customHeight="1">
      <c r="A203" s="7" t="s">
        <v>22</v>
      </c>
      <c r="B203" s="10">
        <v>45128</v>
      </c>
      <c r="C203" s="2">
        <v>2673</v>
      </c>
      <c r="D203" s="2">
        <v>1775</v>
      </c>
      <c r="E203" s="2">
        <v>0</v>
      </c>
      <c r="F203" s="2">
        <v>3164</v>
      </c>
      <c r="G203" s="2">
        <v>1900</v>
      </c>
      <c r="H203" s="2">
        <v>1435</v>
      </c>
      <c r="I203" s="2">
        <v>690</v>
      </c>
      <c r="J203" s="2">
        <v>0</v>
      </c>
      <c r="K203" s="2">
        <v>1495</v>
      </c>
      <c r="L203" s="2">
        <v>15134</v>
      </c>
      <c r="M203" s="2">
        <v>1879</v>
      </c>
      <c r="N203" s="2">
        <v>633</v>
      </c>
      <c r="O203" s="2">
        <v>0</v>
      </c>
      <c r="P203" s="2">
        <v>0</v>
      </c>
      <c r="Q203" s="2">
        <v>0</v>
      </c>
      <c r="R203" s="3">
        <f t="shared" si="9"/>
        <v>30778</v>
      </c>
      <c r="S203" s="3">
        <v>6565</v>
      </c>
      <c r="T203" s="3">
        <v>15439</v>
      </c>
      <c r="U203" s="5">
        <f t="shared" si="10"/>
        <v>8774</v>
      </c>
    </row>
    <row r="204" spans="1:21" ht="18.75" customHeight="1">
      <c r="A204" s="7" t="s">
        <v>23</v>
      </c>
      <c r="B204" s="10">
        <v>45129</v>
      </c>
      <c r="C204" s="2">
        <v>2120</v>
      </c>
      <c r="D204" s="2">
        <v>1340</v>
      </c>
      <c r="E204" s="2">
        <v>0</v>
      </c>
      <c r="F204" s="2">
        <v>5345</v>
      </c>
      <c r="G204" s="2">
        <v>2227</v>
      </c>
      <c r="H204" s="2">
        <v>190</v>
      </c>
      <c r="I204" s="2">
        <v>710</v>
      </c>
      <c r="J204" s="2">
        <v>0</v>
      </c>
      <c r="K204" s="2">
        <v>480</v>
      </c>
      <c r="L204" s="2">
        <v>18182</v>
      </c>
      <c r="M204" s="2">
        <v>5723</v>
      </c>
      <c r="N204" s="2">
        <v>720</v>
      </c>
      <c r="O204" s="2">
        <v>75</v>
      </c>
      <c r="P204" s="2">
        <v>0</v>
      </c>
      <c r="Q204" s="2">
        <v>0</v>
      </c>
      <c r="R204" s="3">
        <f t="shared" si="9"/>
        <v>37112</v>
      </c>
      <c r="S204" s="3">
        <v>8280</v>
      </c>
      <c r="T204" s="3">
        <v>16533</v>
      </c>
      <c r="U204" s="5">
        <f t="shared" si="10"/>
        <v>12299</v>
      </c>
    </row>
    <row r="205" spans="1:21" ht="18.75" customHeight="1">
      <c r="A205" s="7" t="s">
        <v>17</v>
      </c>
      <c r="B205" s="10">
        <v>45130</v>
      </c>
      <c r="C205" s="2">
        <v>3554</v>
      </c>
      <c r="D205" s="2">
        <v>1980</v>
      </c>
      <c r="E205" s="2">
        <v>0</v>
      </c>
      <c r="F205" s="2">
        <v>3155</v>
      </c>
      <c r="G205" s="2">
        <v>2470</v>
      </c>
      <c r="H205" s="2">
        <v>1244</v>
      </c>
      <c r="I205" s="2">
        <v>370</v>
      </c>
      <c r="J205" s="2">
        <v>0</v>
      </c>
      <c r="K205" s="2">
        <v>2555</v>
      </c>
      <c r="L205" s="2">
        <v>22061</v>
      </c>
      <c r="M205" s="2">
        <v>5582</v>
      </c>
      <c r="N205" s="2">
        <v>310</v>
      </c>
      <c r="O205" s="2">
        <v>280</v>
      </c>
      <c r="P205" s="2">
        <v>0</v>
      </c>
      <c r="Q205" s="2">
        <v>0</v>
      </c>
      <c r="R205" s="3">
        <f t="shared" si="9"/>
        <v>43561</v>
      </c>
      <c r="S205" s="3">
        <v>9763</v>
      </c>
      <c r="T205" s="3">
        <v>12137</v>
      </c>
      <c r="U205" s="5">
        <f t="shared" si="10"/>
        <v>21661</v>
      </c>
    </row>
    <row r="206" spans="1:21" ht="18.75" customHeight="1">
      <c r="A206" s="7" t="s">
        <v>18</v>
      </c>
      <c r="B206" s="10">
        <v>45131</v>
      </c>
      <c r="C206" s="2">
        <v>2200</v>
      </c>
      <c r="D206" s="2">
        <v>1871</v>
      </c>
      <c r="E206" s="2">
        <v>0</v>
      </c>
      <c r="F206" s="2">
        <v>3550</v>
      </c>
      <c r="G206" s="2">
        <v>2444</v>
      </c>
      <c r="H206" s="2">
        <v>310</v>
      </c>
      <c r="I206" s="2">
        <v>1055</v>
      </c>
      <c r="J206" s="2">
        <v>0</v>
      </c>
      <c r="K206" s="2">
        <v>1980</v>
      </c>
      <c r="L206" s="2">
        <v>14575</v>
      </c>
      <c r="M206" s="2">
        <v>4383</v>
      </c>
      <c r="N206" s="2">
        <v>176</v>
      </c>
      <c r="O206" s="2">
        <v>106</v>
      </c>
      <c r="P206" s="2">
        <v>0</v>
      </c>
      <c r="Q206" s="2">
        <v>0</v>
      </c>
      <c r="R206" s="3">
        <f t="shared" si="9"/>
        <v>32650</v>
      </c>
      <c r="S206" s="3">
        <v>7210</v>
      </c>
      <c r="T206" s="3">
        <v>18307</v>
      </c>
      <c r="U206" s="5">
        <f t="shared" si="10"/>
        <v>7133</v>
      </c>
    </row>
    <row r="207" spans="1:21" ht="18.75" customHeight="1">
      <c r="A207" s="7" t="s">
        <v>19</v>
      </c>
      <c r="B207" s="10">
        <v>45132</v>
      </c>
      <c r="C207" s="2">
        <v>1715</v>
      </c>
      <c r="D207" s="2">
        <v>1070</v>
      </c>
      <c r="E207" s="2">
        <v>0</v>
      </c>
      <c r="F207" s="2">
        <v>1975</v>
      </c>
      <c r="G207" s="2">
        <v>2801</v>
      </c>
      <c r="H207" s="2">
        <v>600</v>
      </c>
      <c r="I207" s="2">
        <v>750</v>
      </c>
      <c r="J207" s="2">
        <v>0</v>
      </c>
      <c r="K207" s="2">
        <v>780</v>
      </c>
      <c r="L207" s="2">
        <v>10192</v>
      </c>
      <c r="M207" s="2">
        <v>5846</v>
      </c>
      <c r="N207" s="2">
        <v>0</v>
      </c>
      <c r="O207" s="2">
        <v>0</v>
      </c>
      <c r="P207" s="2">
        <v>0</v>
      </c>
      <c r="Q207" s="2">
        <v>0</v>
      </c>
      <c r="R207" s="3">
        <f t="shared" si="9"/>
        <v>25729</v>
      </c>
      <c r="S207" s="3">
        <v>7010</v>
      </c>
      <c r="T207" s="3">
        <v>10528</v>
      </c>
      <c r="U207" s="5">
        <f t="shared" si="10"/>
        <v>8191</v>
      </c>
    </row>
    <row r="208" spans="1:21" ht="18.75" customHeight="1">
      <c r="A208" s="7" t="s">
        <v>20</v>
      </c>
      <c r="B208" s="10">
        <v>45133</v>
      </c>
      <c r="C208" s="2">
        <v>1950</v>
      </c>
      <c r="D208" s="2">
        <v>1560</v>
      </c>
      <c r="E208" s="2">
        <v>0</v>
      </c>
      <c r="F208" s="2">
        <v>2155</v>
      </c>
      <c r="G208" s="2">
        <v>1615</v>
      </c>
      <c r="H208" s="2">
        <v>1760</v>
      </c>
      <c r="I208" s="2">
        <v>1025</v>
      </c>
      <c r="J208" s="2">
        <v>0</v>
      </c>
      <c r="K208" s="2">
        <v>1327</v>
      </c>
      <c r="L208" s="2">
        <v>11370</v>
      </c>
      <c r="M208" s="2">
        <v>3460</v>
      </c>
      <c r="N208" s="2">
        <v>520</v>
      </c>
      <c r="O208" s="2">
        <v>0</v>
      </c>
      <c r="P208" s="2">
        <v>0</v>
      </c>
      <c r="Q208" s="2">
        <v>830</v>
      </c>
      <c r="R208" s="3">
        <f t="shared" si="9"/>
        <v>27572</v>
      </c>
      <c r="S208" s="3">
        <v>5705</v>
      </c>
      <c r="T208" s="3">
        <v>12709</v>
      </c>
      <c r="U208" s="5">
        <f t="shared" si="10"/>
        <v>9158</v>
      </c>
    </row>
    <row r="209" spans="1:21" ht="18.75" customHeight="1">
      <c r="A209" s="7" t="s">
        <v>21</v>
      </c>
      <c r="B209" s="10">
        <v>45134</v>
      </c>
      <c r="C209" s="2">
        <v>2060</v>
      </c>
      <c r="D209" s="2">
        <v>1320</v>
      </c>
      <c r="E209" s="2">
        <v>0</v>
      </c>
      <c r="F209" s="2">
        <v>2823.5</v>
      </c>
      <c r="G209" s="2">
        <v>3870</v>
      </c>
      <c r="H209" s="2">
        <v>495</v>
      </c>
      <c r="I209" s="2">
        <v>530</v>
      </c>
      <c r="J209" s="2">
        <v>0</v>
      </c>
      <c r="K209" s="2">
        <v>770</v>
      </c>
      <c r="L209" s="2">
        <v>15675</v>
      </c>
      <c r="M209" s="2">
        <v>2819</v>
      </c>
      <c r="N209" s="2">
        <v>160</v>
      </c>
      <c r="O209" s="2">
        <v>0</v>
      </c>
      <c r="P209" s="2">
        <v>0</v>
      </c>
      <c r="Q209" s="2">
        <v>0</v>
      </c>
      <c r="R209" s="3">
        <f t="shared" si="9"/>
        <v>30522.5</v>
      </c>
      <c r="S209" s="3">
        <v>5975</v>
      </c>
      <c r="T209" s="3">
        <v>11589</v>
      </c>
      <c r="U209" s="5">
        <f t="shared" si="10"/>
        <v>12958.5</v>
      </c>
    </row>
    <row r="210" spans="1:21" ht="18.75" customHeight="1">
      <c r="A210" s="7" t="s">
        <v>22</v>
      </c>
      <c r="B210" s="10">
        <v>45135</v>
      </c>
      <c r="C210" s="2">
        <v>2500</v>
      </c>
      <c r="D210" s="2">
        <v>2120</v>
      </c>
      <c r="E210" s="2">
        <v>0</v>
      </c>
      <c r="F210" s="2">
        <v>2365</v>
      </c>
      <c r="G210" s="2">
        <v>2040</v>
      </c>
      <c r="H210" s="2">
        <v>590</v>
      </c>
      <c r="I210" s="2">
        <v>960</v>
      </c>
      <c r="J210" s="2">
        <v>0</v>
      </c>
      <c r="K210" s="2">
        <v>1111</v>
      </c>
      <c r="L210" s="2">
        <v>13879</v>
      </c>
      <c r="M210" s="2">
        <v>3925</v>
      </c>
      <c r="N210" s="2">
        <v>1030</v>
      </c>
      <c r="O210" s="2">
        <v>102</v>
      </c>
      <c r="P210" s="2">
        <v>0</v>
      </c>
      <c r="Q210" s="2">
        <v>0</v>
      </c>
      <c r="R210" s="3">
        <f t="shared" si="9"/>
        <v>30622</v>
      </c>
      <c r="S210" s="3">
        <v>8830</v>
      </c>
      <c r="T210" s="3">
        <v>12683</v>
      </c>
      <c r="U210" s="5">
        <f t="shared" si="10"/>
        <v>9109</v>
      </c>
    </row>
    <row r="211" spans="1:21" ht="18.75" customHeight="1">
      <c r="A211" s="7" t="s">
        <v>23</v>
      </c>
      <c r="B211" s="10">
        <v>45136</v>
      </c>
      <c r="C211" s="2">
        <v>2765</v>
      </c>
      <c r="D211" s="2">
        <v>2285</v>
      </c>
      <c r="E211" s="2">
        <v>0</v>
      </c>
      <c r="F211" s="2">
        <v>1953</v>
      </c>
      <c r="G211" s="2">
        <v>2835</v>
      </c>
      <c r="H211" s="2">
        <v>1155</v>
      </c>
      <c r="I211" s="2">
        <v>780</v>
      </c>
      <c r="J211" s="2">
        <v>0</v>
      </c>
      <c r="K211" s="2">
        <v>1245</v>
      </c>
      <c r="L211" s="2">
        <v>18263</v>
      </c>
      <c r="M211" s="2">
        <v>5741</v>
      </c>
      <c r="N211" s="2">
        <v>461</v>
      </c>
      <c r="O211" s="2">
        <v>255</v>
      </c>
      <c r="P211" s="2">
        <v>1012</v>
      </c>
      <c r="Q211" s="2">
        <v>0</v>
      </c>
      <c r="R211" s="3">
        <f t="shared" si="9"/>
        <v>38750</v>
      </c>
      <c r="S211" s="3">
        <v>8195</v>
      </c>
      <c r="T211" s="3">
        <v>21584</v>
      </c>
      <c r="U211" s="5">
        <f t="shared" si="10"/>
        <v>8971</v>
      </c>
    </row>
    <row r="212" spans="1:21" ht="18.75" customHeight="1">
      <c r="A212" s="7" t="s">
        <v>17</v>
      </c>
      <c r="B212" s="10">
        <v>45137</v>
      </c>
      <c r="C212" s="2">
        <v>1740</v>
      </c>
      <c r="D212" s="2">
        <v>2362</v>
      </c>
      <c r="E212" s="2">
        <v>0</v>
      </c>
      <c r="F212" s="2">
        <v>4070</v>
      </c>
      <c r="G212" s="2">
        <v>2432</v>
      </c>
      <c r="H212" s="2">
        <v>0</v>
      </c>
      <c r="I212" s="2">
        <v>0</v>
      </c>
      <c r="J212" s="2">
        <v>0</v>
      </c>
      <c r="K212" s="2">
        <v>1560</v>
      </c>
      <c r="L212" s="2">
        <v>24206</v>
      </c>
      <c r="M212" s="2">
        <v>8248</v>
      </c>
      <c r="N212" s="2">
        <v>204</v>
      </c>
      <c r="O212" s="2">
        <v>0</v>
      </c>
      <c r="P212" s="2">
        <v>0</v>
      </c>
      <c r="Q212" s="2">
        <v>0</v>
      </c>
      <c r="R212" s="3">
        <f t="shared" si="9"/>
        <v>44822</v>
      </c>
      <c r="S212" s="3">
        <v>11201</v>
      </c>
      <c r="T212" s="3">
        <v>12248</v>
      </c>
      <c r="U212" s="5">
        <f t="shared" si="10"/>
        <v>21373</v>
      </c>
    </row>
    <row r="213" spans="1:21" ht="18.75" customHeight="1">
      <c r="A213" s="7" t="s">
        <v>18</v>
      </c>
      <c r="B213" s="10">
        <v>45138</v>
      </c>
      <c r="C213" s="2">
        <v>2200</v>
      </c>
      <c r="D213" s="2">
        <v>1460</v>
      </c>
      <c r="E213" s="2">
        <v>0</v>
      </c>
      <c r="F213" s="2">
        <v>2710</v>
      </c>
      <c r="G213" s="2">
        <v>3148</v>
      </c>
      <c r="H213" s="2">
        <v>635</v>
      </c>
      <c r="I213" s="2">
        <v>265</v>
      </c>
      <c r="J213" s="2">
        <v>0</v>
      </c>
      <c r="K213" s="2">
        <v>1210</v>
      </c>
      <c r="L213" s="2">
        <v>12306</v>
      </c>
      <c r="M213" s="2">
        <v>3132</v>
      </c>
      <c r="N213" s="2">
        <v>234</v>
      </c>
      <c r="O213" s="2">
        <v>232</v>
      </c>
      <c r="P213" s="2">
        <v>0</v>
      </c>
      <c r="Q213" s="2">
        <v>0</v>
      </c>
      <c r="R213" s="3">
        <f t="shared" si="9"/>
        <v>27532</v>
      </c>
      <c r="S213" s="3">
        <v>6820</v>
      </c>
      <c r="T213" s="3">
        <v>17107</v>
      </c>
      <c r="U213" s="5">
        <f t="shared" si="10"/>
        <v>3605</v>
      </c>
    </row>
    <row r="214" spans="1:21" ht="18.75" customHeight="1">
      <c r="A214" s="7" t="s">
        <v>19</v>
      </c>
      <c r="B214" s="10">
        <v>45139</v>
      </c>
      <c r="C214" s="2">
        <v>2103</v>
      </c>
      <c r="D214" s="2">
        <v>1220</v>
      </c>
      <c r="E214" s="2">
        <v>0</v>
      </c>
      <c r="F214" s="2">
        <v>3085</v>
      </c>
      <c r="G214" s="2">
        <v>3300</v>
      </c>
      <c r="H214" s="2">
        <v>1110</v>
      </c>
      <c r="I214" s="2">
        <v>415</v>
      </c>
      <c r="J214" s="2">
        <v>0</v>
      </c>
      <c r="K214" s="2">
        <v>1162</v>
      </c>
      <c r="L214" s="2">
        <v>11932</v>
      </c>
      <c r="M214" s="2">
        <v>4895</v>
      </c>
      <c r="N214" s="2">
        <v>561</v>
      </c>
      <c r="O214" s="2">
        <v>0</v>
      </c>
      <c r="P214" s="2">
        <v>0</v>
      </c>
      <c r="Q214" s="2">
        <v>0</v>
      </c>
      <c r="R214" s="3">
        <f t="shared" si="9"/>
        <v>29783</v>
      </c>
      <c r="S214" s="3">
        <v>6250</v>
      </c>
      <c r="T214" s="3">
        <v>14159</v>
      </c>
      <c r="U214" s="5">
        <f t="shared" si="10"/>
        <v>9374</v>
      </c>
    </row>
    <row r="215" spans="1:21" ht="18.75" customHeight="1">
      <c r="A215" s="7" t="s">
        <v>20</v>
      </c>
      <c r="B215" s="10">
        <v>45140</v>
      </c>
      <c r="C215" s="2">
        <v>2232</v>
      </c>
      <c r="D215" s="2">
        <v>1045</v>
      </c>
      <c r="E215" s="2">
        <v>0</v>
      </c>
      <c r="F215" s="2">
        <v>2117</v>
      </c>
      <c r="G215" s="2">
        <v>2197</v>
      </c>
      <c r="H215" s="2">
        <v>675</v>
      </c>
      <c r="I215" s="2">
        <v>805</v>
      </c>
      <c r="J215" s="2">
        <v>0</v>
      </c>
      <c r="K215" s="2">
        <v>1300</v>
      </c>
      <c r="L215" s="2">
        <v>10815</v>
      </c>
      <c r="M215" s="2">
        <v>2779</v>
      </c>
      <c r="N215" s="2">
        <v>458</v>
      </c>
      <c r="O215" s="2">
        <v>120</v>
      </c>
      <c r="P215" s="2">
        <v>256</v>
      </c>
      <c r="Q215" s="2">
        <v>0</v>
      </c>
      <c r="R215" s="3">
        <f t="shared" ref="R215:R246" si="11">SUM(C215:Q215)</f>
        <v>24799</v>
      </c>
      <c r="S215" s="3">
        <v>5895</v>
      </c>
      <c r="T215" s="3">
        <v>12998</v>
      </c>
      <c r="U215" s="5">
        <f t="shared" si="10"/>
        <v>5906</v>
      </c>
    </row>
    <row r="216" spans="1:21" ht="18.75" customHeight="1">
      <c r="A216" s="7" t="s">
        <v>21</v>
      </c>
      <c r="B216" s="10">
        <v>45141</v>
      </c>
      <c r="C216" s="2">
        <v>1525</v>
      </c>
      <c r="D216" s="2">
        <v>1780</v>
      </c>
      <c r="E216" s="2">
        <v>0</v>
      </c>
      <c r="F216" s="2">
        <v>2220</v>
      </c>
      <c r="G216" s="2">
        <v>2563</v>
      </c>
      <c r="H216" s="2">
        <v>785</v>
      </c>
      <c r="I216" s="2">
        <v>830</v>
      </c>
      <c r="J216" s="2">
        <v>0</v>
      </c>
      <c r="K216" s="2">
        <v>1177</v>
      </c>
      <c r="L216" s="2">
        <v>10195</v>
      </c>
      <c r="M216" s="2">
        <v>6321</v>
      </c>
      <c r="N216" s="2">
        <v>384</v>
      </c>
      <c r="O216" s="2">
        <v>80</v>
      </c>
      <c r="P216" s="2">
        <v>276</v>
      </c>
      <c r="Q216" s="2">
        <v>0</v>
      </c>
      <c r="R216" s="3">
        <f t="shared" si="11"/>
        <v>28136</v>
      </c>
      <c r="S216" s="3">
        <v>6535</v>
      </c>
      <c r="T216" s="3">
        <v>11411</v>
      </c>
      <c r="U216" s="5">
        <f t="shared" si="10"/>
        <v>10190</v>
      </c>
    </row>
    <row r="217" spans="1:21" ht="18.75" customHeight="1">
      <c r="A217" s="7" t="s">
        <v>22</v>
      </c>
      <c r="B217" s="10">
        <v>45142</v>
      </c>
      <c r="C217" s="2">
        <v>1965</v>
      </c>
      <c r="D217" s="2">
        <v>1845</v>
      </c>
      <c r="E217" s="2">
        <v>0</v>
      </c>
      <c r="F217" s="2">
        <v>3389</v>
      </c>
      <c r="G217" s="2">
        <v>1927</v>
      </c>
      <c r="H217" s="2">
        <v>820</v>
      </c>
      <c r="I217" s="2">
        <v>925</v>
      </c>
      <c r="J217" s="2">
        <v>0</v>
      </c>
      <c r="K217" s="2">
        <v>1245</v>
      </c>
      <c r="L217" s="2">
        <v>17057</v>
      </c>
      <c r="M217" s="2">
        <v>2797</v>
      </c>
      <c r="N217" s="2">
        <v>85</v>
      </c>
      <c r="O217" s="2">
        <v>0</v>
      </c>
      <c r="P217" s="2">
        <v>0</v>
      </c>
      <c r="Q217" s="2">
        <v>0</v>
      </c>
      <c r="R217" s="3">
        <f t="shared" si="11"/>
        <v>32055</v>
      </c>
      <c r="S217" s="3">
        <v>7385</v>
      </c>
      <c r="T217" s="3">
        <v>12096</v>
      </c>
      <c r="U217" s="5">
        <f t="shared" si="10"/>
        <v>12574</v>
      </c>
    </row>
    <row r="218" spans="1:21" ht="18.75" customHeight="1">
      <c r="A218" s="7" t="s">
        <v>23</v>
      </c>
      <c r="B218" s="10">
        <v>45143</v>
      </c>
      <c r="C218" s="2">
        <v>1545</v>
      </c>
      <c r="D218" s="2">
        <v>1180</v>
      </c>
      <c r="E218" s="2">
        <v>0</v>
      </c>
      <c r="F218" s="2">
        <v>3804</v>
      </c>
      <c r="G218" s="2">
        <v>2739</v>
      </c>
      <c r="H218" s="2">
        <v>550</v>
      </c>
      <c r="I218" s="2">
        <v>855</v>
      </c>
      <c r="J218" s="2">
        <v>0</v>
      </c>
      <c r="K218" s="2">
        <v>1350</v>
      </c>
      <c r="L218" s="2">
        <v>19851</v>
      </c>
      <c r="M218" s="2">
        <v>6103</v>
      </c>
      <c r="N218" s="2">
        <v>526</v>
      </c>
      <c r="O218" s="2">
        <v>264</v>
      </c>
      <c r="P218" s="2">
        <v>0</v>
      </c>
      <c r="Q218" s="2">
        <v>0</v>
      </c>
      <c r="R218" s="3">
        <f t="shared" si="11"/>
        <v>38767</v>
      </c>
      <c r="S218" s="3">
        <v>8335</v>
      </c>
      <c r="T218" s="3">
        <v>22930</v>
      </c>
      <c r="U218" s="5">
        <f t="shared" si="10"/>
        <v>7502</v>
      </c>
    </row>
    <row r="219" spans="1:21" ht="18.75" customHeight="1">
      <c r="A219" s="7" t="s">
        <v>17</v>
      </c>
      <c r="B219" s="10">
        <v>45144</v>
      </c>
      <c r="C219" s="2">
        <v>1910</v>
      </c>
      <c r="D219" s="2">
        <v>1965</v>
      </c>
      <c r="E219" s="2">
        <v>0</v>
      </c>
      <c r="F219" s="2">
        <v>3984</v>
      </c>
      <c r="G219" s="2">
        <v>3961</v>
      </c>
      <c r="H219" s="2">
        <v>1325</v>
      </c>
      <c r="I219" s="2">
        <v>220</v>
      </c>
      <c r="J219" s="2">
        <v>0</v>
      </c>
      <c r="K219" s="2">
        <v>638</v>
      </c>
      <c r="L219" s="2">
        <v>19315</v>
      </c>
      <c r="M219" s="2">
        <v>9330</v>
      </c>
      <c r="N219" s="2">
        <v>167</v>
      </c>
      <c r="O219" s="2">
        <v>0</v>
      </c>
      <c r="P219" s="2">
        <v>0</v>
      </c>
      <c r="Q219" s="2">
        <v>0</v>
      </c>
      <c r="R219" s="3">
        <f t="shared" si="11"/>
        <v>42815</v>
      </c>
      <c r="S219" s="3">
        <v>12710</v>
      </c>
      <c r="T219" s="3">
        <v>10292</v>
      </c>
      <c r="U219" s="5">
        <f t="shared" si="10"/>
        <v>19813</v>
      </c>
    </row>
    <row r="220" spans="1:21" ht="18.75" customHeight="1">
      <c r="A220" s="7" t="s">
        <v>18</v>
      </c>
      <c r="B220" s="10">
        <v>45145</v>
      </c>
      <c r="C220" s="2">
        <v>2130</v>
      </c>
      <c r="D220" s="2">
        <v>1570</v>
      </c>
      <c r="E220" s="2">
        <v>0</v>
      </c>
      <c r="F220" s="2">
        <v>3545</v>
      </c>
      <c r="G220" s="2">
        <v>1842</v>
      </c>
      <c r="H220" s="2">
        <v>245</v>
      </c>
      <c r="I220" s="2">
        <v>0</v>
      </c>
      <c r="J220" s="2">
        <v>0</v>
      </c>
      <c r="K220" s="2">
        <v>1138</v>
      </c>
      <c r="L220" s="2">
        <v>13417</v>
      </c>
      <c r="M220" s="2">
        <v>2374</v>
      </c>
      <c r="N220" s="2">
        <v>426</v>
      </c>
      <c r="O220" s="2">
        <v>85</v>
      </c>
      <c r="P220" s="2">
        <v>145</v>
      </c>
      <c r="Q220" s="2">
        <v>0</v>
      </c>
      <c r="R220" s="3">
        <f t="shared" si="11"/>
        <v>26917</v>
      </c>
      <c r="S220" s="3">
        <v>6375</v>
      </c>
      <c r="T220" s="3">
        <v>15237</v>
      </c>
      <c r="U220" s="5">
        <f t="shared" si="10"/>
        <v>5305</v>
      </c>
    </row>
    <row r="221" spans="1:21" ht="18.75" customHeight="1">
      <c r="A221" s="7" t="s">
        <v>19</v>
      </c>
      <c r="B221" s="10">
        <v>45146</v>
      </c>
      <c r="C221" s="2">
        <v>2285</v>
      </c>
      <c r="D221" s="2">
        <v>2045</v>
      </c>
      <c r="E221" s="2">
        <v>410</v>
      </c>
      <c r="F221" s="2">
        <v>1575</v>
      </c>
      <c r="G221" s="2">
        <v>3499</v>
      </c>
      <c r="H221" s="2">
        <v>0</v>
      </c>
      <c r="I221" s="2">
        <v>425</v>
      </c>
      <c r="J221" s="2">
        <v>0</v>
      </c>
      <c r="K221" s="2">
        <v>1295</v>
      </c>
      <c r="L221" s="2">
        <v>9861</v>
      </c>
      <c r="M221" s="2">
        <v>5305</v>
      </c>
      <c r="N221" s="2">
        <v>250</v>
      </c>
      <c r="O221" s="2">
        <v>0</v>
      </c>
      <c r="P221" s="2">
        <v>397</v>
      </c>
      <c r="Q221" s="2">
        <v>0</v>
      </c>
      <c r="R221" s="3">
        <f t="shared" si="11"/>
        <v>27347</v>
      </c>
      <c r="S221" s="3">
        <v>7100</v>
      </c>
      <c r="T221" s="3">
        <v>8196</v>
      </c>
      <c r="U221" s="5">
        <f t="shared" si="10"/>
        <v>12051</v>
      </c>
    </row>
    <row r="222" spans="1:21" ht="18.75" customHeight="1">
      <c r="A222" s="7" t="s">
        <v>20</v>
      </c>
      <c r="B222" s="10">
        <v>45147</v>
      </c>
      <c r="C222" s="2">
        <v>1435</v>
      </c>
      <c r="D222" s="2">
        <v>1280</v>
      </c>
      <c r="E222" s="2">
        <v>0</v>
      </c>
      <c r="F222" s="2">
        <v>3081</v>
      </c>
      <c r="G222" s="2">
        <v>2213</v>
      </c>
      <c r="H222" s="2">
        <v>565</v>
      </c>
      <c r="I222" s="2">
        <v>470</v>
      </c>
      <c r="J222" s="2">
        <v>0</v>
      </c>
      <c r="K222" s="2">
        <v>916</v>
      </c>
      <c r="L222" s="2">
        <v>9241</v>
      </c>
      <c r="M222" s="2">
        <v>6281</v>
      </c>
      <c r="N222" s="2">
        <v>122</v>
      </c>
      <c r="O222" s="2">
        <v>959</v>
      </c>
      <c r="P222" s="2">
        <v>610</v>
      </c>
      <c r="Q222" s="2">
        <v>0</v>
      </c>
      <c r="R222" s="3">
        <f t="shared" si="11"/>
        <v>27173</v>
      </c>
      <c r="S222" s="3">
        <v>4530</v>
      </c>
      <c r="T222" s="3">
        <v>9165</v>
      </c>
      <c r="U222" s="5">
        <f t="shared" si="10"/>
        <v>13478</v>
      </c>
    </row>
    <row r="223" spans="1:21" ht="18.75" customHeight="1">
      <c r="A223" s="7" t="s">
        <v>21</v>
      </c>
      <c r="B223" s="10">
        <v>45148</v>
      </c>
      <c r="C223" s="2">
        <v>1715</v>
      </c>
      <c r="D223" s="2">
        <v>1840</v>
      </c>
      <c r="E223" s="2">
        <v>0</v>
      </c>
      <c r="F223" s="2">
        <v>2743</v>
      </c>
      <c r="G223" s="2">
        <v>2660</v>
      </c>
      <c r="H223" s="2">
        <v>1525</v>
      </c>
      <c r="I223" s="2">
        <v>550</v>
      </c>
      <c r="J223" s="2">
        <v>0</v>
      </c>
      <c r="K223" s="2">
        <v>705</v>
      </c>
      <c r="L223" s="2">
        <v>11579</v>
      </c>
      <c r="M223" s="2">
        <v>3533</v>
      </c>
      <c r="N223" s="2">
        <v>458</v>
      </c>
      <c r="O223" s="2">
        <v>0</v>
      </c>
      <c r="P223" s="2">
        <v>0</v>
      </c>
      <c r="Q223" s="2">
        <v>0</v>
      </c>
      <c r="R223" s="3">
        <f t="shared" si="11"/>
        <v>27308</v>
      </c>
      <c r="S223" s="3">
        <v>6210</v>
      </c>
      <c r="T223" s="3">
        <v>11873</v>
      </c>
      <c r="U223" s="5">
        <f t="shared" si="10"/>
        <v>9225</v>
      </c>
    </row>
    <row r="224" spans="1:21" ht="18.75" customHeight="1">
      <c r="A224" s="7" t="s">
        <v>22</v>
      </c>
      <c r="B224" s="10">
        <v>45149</v>
      </c>
      <c r="C224" s="2">
        <v>1965</v>
      </c>
      <c r="D224" s="2">
        <v>1350</v>
      </c>
      <c r="E224" s="2">
        <v>0</v>
      </c>
      <c r="F224" s="2">
        <v>2900</v>
      </c>
      <c r="G224" s="2">
        <v>2521</v>
      </c>
      <c r="H224" s="2">
        <v>1155</v>
      </c>
      <c r="I224" s="2">
        <v>771</v>
      </c>
      <c r="J224" s="2">
        <v>0</v>
      </c>
      <c r="K224" s="2">
        <v>1195</v>
      </c>
      <c r="L224" s="2">
        <v>11664</v>
      </c>
      <c r="M224" s="2">
        <v>3702</v>
      </c>
      <c r="N224" s="2">
        <v>746</v>
      </c>
      <c r="O224" s="2">
        <v>0</v>
      </c>
      <c r="P224" s="2">
        <v>0</v>
      </c>
      <c r="Q224" s="2">
        <v>0</v>
      </c>
      <c r="R224" s="3">
        <f t="shared" si="11"/>
        <v>27969</v>
      </c>
      <c r="S224" s="3">
        <v>7060</v>
      </c>
      <c r="T224" s="3">
        <v>11988</v>
      </c>
      <c r="U224" s="5">
        <f t="shared" si="10"/>
        <v>8921</v>
      </c>
    </row>
    <row r="225" spans="1:21" ht="18.75" customHeight="1">
      <c r="A225" s="7" t="s">
        <v>23</v>
      </c>
      <c r="B225" s="10">
        <v>45150</v>
      </c>
      <c r="C225" s="2">
        <v>2030</v>
      </c>
      <c r="D225" s="2">
        <v>1720</v>
      </c>
      <c r="E225" s="2">
        <v>0</v>
      </c>
      <c r="F225" s="2">
        <v>2880</v>
      </c>
      <c r="G225" s="2">
        <v>2209</v>
      </c>
      <c r="H225" s="2">
        <v>1220</v>
      </c>
      <c r="I225" s="2">
        <v>1130</v>
      </c>
      <c r="J225" s="2">
        <v>0</v>
      </c>
      <c r="K225" s="2">
        <v>1372</v>
      </c>
      <c r="L225" s="2">
        <v>19508</v>
      </c>
      <c r="M225" s="2">
        <v>9328</v>
      </c>
      <c r="N225" s="2">
        <v>240</v>
      </c>
      <c r="O225" s="2">
        <v>454</v>
      </c>
      <c r="P225" s="2">
        <v>346</v>
      </c>
      <c r="Q225" s="2">
        <v>0</v>
      </c>
      <c r="R225" s="3">
        <f t="shared" si="11"/>
        <v>42437</v>
      </c>
      <c r="S225" s="3">
        <v>6720</v>
      </c>
      <c r="T225" s="3">
        <v>18637</v>
      </c>
      <c r="U225" s="5">
        <f t="shared" si="10"/>
        <v>17080</v>
      </c>
    </row>
    <row r="226" spans="1:21" ht="18.75" customHeight="1">
      <c r="A226" s="7" t="s">
        <v>17</v>
      </c>
      <c r="B226" s="10">
        <v>45151</v>
      </c>
      <c r="C226" s="2">
        <v>2395</v>
      </c>
      <c r="D226" s="2">
        <v>1780</v>
      </c>
      <c r="E226" s="2">
        <v>0</v>
      </c>
      <c r="F226" s="2">
        <v>3766</v>
      </c>
      <c r="G226" s="2">
        <v>3943</v>
      </c>
      <c r="H226" s="2">
        <v>1095</v>
      </c>
      <c r="I226" s="2">
        <v>640</v>
      </c>
      <c r="J226" s="2">
        <v>0</v>
      </c>
      <c r="K226" s="2">
        <v>572</v>
      </c>
      <c r="L226" s="2">
        <v>24908</v>
      </c>
      <c r="M226" s="2">
        <v>8521</v>
      </c>
      <c r="N226" s="2">
        <v>0</v>
      </c>
      <c r="O226" s="2">
        <v>0</v>
      </c>
      <c r="P226" s="2">
        <v>1092</v>
      </c>
      <c r="Q226" s="2">
        <v>0</v>
      </c>
      <c r="R226" s="3">
        <f t="shared" si="11"/>
        <v>48712</v>
      </c>
      <c r="S226" s="3">
        <v>12120</v>
      </c>
      <c r="T226" s="3">
        <v>12067</v>
      </c>
      <c r="U226" s="5">
        <f t="shared" si="10"/>
        <v>24525</v>
      </c>
    </row>
    <row r="227" spans="1:21" ht="18.75" customHeight="1">
      <c r="A227" s="7" t="s">
        <v>18</v>
      </c>
      <c r="B227" s="10">
        <v>45152</v>
      </c>
      <c r="C227" s="2">
        <v>1660</v>
      </c>
      <c r="D227" s="2">
        <v>2120</v>
      </c>
      <c r="E227" s="2">
        <v>2030</v>
      </c>
      <c r="F227" s="2">
        <v>0</v>
      </c>
      <c r="G227" s="2">
        <v>3823</v>
      </c>
      <c r="H227" s="2">
        <v>0</v>
      </c>
      <c r="I227" s="2">
        <v>955</v>
      </c>
      <c r="J227" s="2">
        <v>0</v>
      </c>
      <c r="K227" s="2">
        <v>590</v>
      </c>
      <c r="L227" s="2">
        <v>11688</v>
      </c>
      <c r="M227" s="2">
        <v>2202</v>
      </c>
      <c r="N227" s="2">
        <v>322</v>
      </c>
      <c r="O227" s="2">
        <v>0</v>
      </c>
      <c r="P227" s="2">
        <v>0</v>
      </c>
      <c r="Q227" s="2">
        <v>0</v>
      </c>
      <c r="R227" s="3">
        <f t="shared" si="11"/>
        <v>25390</v>
      </c>
      <c r="S227" s="3">
        <v>7080</v>
      </c>
      <c r="T227" s="3">
        <v>9584</v>
      </c>
      <c r="U227" s="5">
        <f t="shared" si="10"/>
        <v>8726</v>
      </c>
    </row>
    <row r="228" spans="1:21" ht="18.75" customHeight="1">
      <c r="A228" s="7" t="s">
        <v>19</v>
      </c>
      <c r="B228" s="10">
        <v>45153</v>
      </c>
      <c r="C228" s="2">
        <v>2120</v>
      </c>
      <c r="D228" s="2">
        <v>0</v>
      </c>
      <c r="E228" s="2">
        <v>0</v>
      </c>
      <c r="F228" s="2">
        <v>1660</v>
      </c>
      <c r="G228" s="2">
        <v>3823</v>
      </c>
      <c r="H228" s="2">
        <v>0</v>
      </c>
      <c r="I228" s="2">
        <v>955</v>
      </c>
      <c r="J228" s="2">
        <v>0</v>
      </c>
      <c r="K228" s="2">
        <v>590</v>
      </c>
      <c r="L228" s="2">
        <v>9238</v>
      </c>
      <c r="M228" s="2">
        <v>1590</v>
      </c>
      <c r="N228" s="2">
        <v>672</v>
      </c>
      <c r="O228" s="2">
        <v>172</v>
      </c>
      <c r="P228" s="2">
        <v>0</v>
      </c>
      <c r="Q228" s="2">
        <v>0</v>
      </c>
      <c r="R228" s="3">
        <f t="shared" si="11"/>
        <v>20820</v>
      </c>
      <c r="S228" s="3">
        <v>7040</v>
      </c>
      <c r="T228" s="3">
        <v>9191</v>
      </c>
      <c r="U228" s="5">
        <f t="shared" si="10"/>
        <v>4589</v>
      </c>
    </row>
    <row r="229" spans="1:21" ht="18.75" customHeight="1">
      <c r="A229" s="7" t="s">
        <v>20</v>
      </c>
      <c r="B229" s="10">
        <v>45154</v>
      </c>
      <c r="C229" s="2">
        <v>1763</v>
      </c>
      <c r="D229" s="2">
        <v>1455</v>
      </c>
      <c r="E229" s="2">
        <v>0</v>
      </c>
      <c r="F229" s="2">
        <v>2951</v>
      </c>
      <c r="G229" s="2">
        <v>2522</v>
      </c>
      <c r="H229" s="2">
        <v>1270</v>
      </c>
      <c r="I229" s="2">
        <v>650</v>
      </c>
      <c r="J229" s="2">
        <v>0</v>
      </c>
      <c r="K229" s="2">
        <v>693</v>
      </c>
      <c r="L229" s="2">
        <v>13462</v>
      </c>
      <c r="M229" s="2">
        <v>1523</v>
      </c>
      <c r="N229" s="2">
        <v>675</v>
      </c>
      <c r="O229" s="2">
        <v>0</v>
      </c>
      <c r="P229" s="2">
        <v>275</v>
      </c>
      <c r="Q229" s="2">
        <v>0</v>
      </c>
      <c r="R229" s="3">
        <f t="shared" si="11"/>
        <v>27239</v>
      </c>
      <c r="S229" s="3">
        <v>6780</v>
      </c>
      <c r="T229" s="3">
        <v>10708</v>
      </c>
      <c r="U229" s="5">
        <f t="shared" si="10"/>
        <v>9751</v>
      </c>
    </row>
    <row r="230" spans="1:21" ht="18.75" customHeight="1">
      <c r="A230" s="7" t="s">
        <v>21</v>
      </c>
      <c r="B230" s="10">
        <v>45155</v>
      </c>
      <c r="C230" s="2">
        <v>1305</v>
      </c>
      <c r="D230" s="2">
        <v>1010</v>
      </c>
      <c r="E230" s="2">
        <v>0</v>
      </c>
      <c r="F230" s="2">
        <v>1865</v>
      </c>
      <c r="G230" s="2">
        <v>2890</v>
      </c>
      <c r="H230" s="2">
        <v>710</v>
      </c>
      <c r="I230" s="2">
        <v>954</v>
      </c>
      <c r="J230" s="2">
        <v>0</v>
      </c>
      <c r="K230" s="2">
        <v>974</v>
      </c>
      <c r="L230" s="2">
        <v>14496</v>
      </c>
      <c r="M230" s="2">
        <v>3814</v>
      </c>
      <c r="N230" s="2">
        <v>667</v>
      </c>
      <c r="O230" s="2">
        <v>0</v>
      </c>
      <c r="P230" s="2">
        <v>255</v>
      </c>
      <c r="Q230" s="2">
        <v>0</v>
      </c>
      <c r="R230" s="3">
        <f t="shared" si="11"/>
        <v>28940</v>
      </c>
      <c r="S230" s="3">
        <v>6550</v>
      </c>
      <c r="T230" s="3">
        <v>14117</v>
      </c>
      <c r="U230" s="5">
        <f t="shared" si="10"/>
        <v>8273</v>
      </c>
    </row>
    <row r="231" spans="1:21" ht="18.75" customHeight="1">
      <c r="A231" s="7" t="s">
        <v>22</v>
      </c>
      <c r="B231" s="10">
        <v>45156</v>
      </c>
      <c r="C231" s="2">
        <v>1174</v>
      </c>
      <c r="D231" s="2">
        <v>1640</v>
      </c>
      <c r="E231" s="2">
        <v>0</v>
      </c>
      <c r="F231" s="2">
        <v>3355</v>
      </c>
      <c r="G231" s="2">
        <v>1615</v>
      </c>
      <c r="H231" s="2">
        <v>450</v>
      </c>
      <c r="I231" s="2">
        <v>325</v>
      </c>
      <c r="J231" s="2">
        <v>0</v>
      </c>
      <c r="K231" s="2">
        <v>1285</v>
      </c>
      <c r="L231" s="2">
        <v>14994</v>
      </c>
      <c r="M231" s="2">
        <v>3756</v>
      </c>
      <c r="N231" s="2">
        <v>396</v>
      </c>
      <c r="O231" s="2">
        <v>694</v>
      </c>
      <c r="P231" s="2">
        <v>0</v>
      </c>
      <c r="Q231" s="2">
        <v>0</v>
      </c>
      <c r="R231" s="3">
        <f t="shared" si="11"/>
        <v>29684</v>
      </c>
      <c r="S231" s="3">
        <v>6620</v>
      </c>
      <c r="T231" s="3">
        <v>12550</v>
      </c>
      <c r="U231" s="5">
        <f t="shared" si="10"/>
        <v>10514</v>
      </c>
    </row>
    <row r="232" spans="1:21" ht="18.75" customHeight="1">
      <c r="A232" s="7" t="s">
        <v>23</v>
      </c>
      <c r="B232" s="10">
        <v>45157</v>
      </c>
      <c r="C232" s="2">
        <v>2070</v>
      </c>
      <c r="D232" s="2">
        <v>2520</v>
      </c>
      <c r="E232" s="2">
        <v>0</v>
      </c>
      <c r="F232" s="2">
        <v>2310</v>
      </c>
      <c r="G232" s="2">
        <v>2726</v>
      </c>
      <c r="H232" s="2">
        <v>0</v>
      </c>
      <c r="I232" s="2">
        <v>1060</v>
      </c>
      <c r="J232" s="2">
        <v>0</v>
      </c>
      <c r="K232" s="2">
        <v>1975</v>
      </c>
      <c r="L232" s="2">
        <v>16169</v>
      </c>
      <c r="M232" s="2">
        <v>7552</v>
      </c>
      <c r="N232" s="2">
        <v>115</v>
      </c>
      <c r="O232" s="2">
        <v>0</v>
      </c>
      <c r="P232" s="2">
        <v>0</v>
      </c>
      <c r="Q232" s="2">
        <v>0</v>
      </c>
      <c r="R232" s="3">
        <f t="shared" si="11"/>
        <v>36497</v>
      </c>
      <c r="S232" s="3">
        <v>6780</v>
      </c>
      <c r="T232" s="3">
        <v>14705</v>
      </c>
      <c r="U232" s="5">
        <f t="shared" si="10"/>
        <v>15012</v>
      </c>
    </row>
    <row r="233" spans="1:21" ht="18.75" customHeight="1">
      <c r="A233" s="7" t="s">
        <v>17</v>
      </c>
      <c r="B233" s="10">
        <v>45158</v>
      </c>
      <c r="C233" s="2">
        <v>2110</v>
      </c>
      <c r="D233" s="2">
        <v>2220</v>
      </c>
      <c r="E233" s="2">
        <v>0</v>
      </c>
      <c r="F233" s="2">
        <v>4450</v>
      </c>
      <c r="G233" s="2">
        <v>2025</v>
      </c>
      <c r="H233" s="2">
        <v>0</v>
      </c>
      <c r="I233" s="2">
        <v>235</v>
      </c>
      <c r="J233" s="2">
        <v>0</v>
      </c>
      <c r="K233" s="2">
        <v>1288</v>
      </c>
      <c r="L233" s="2">
        <v>23166</v>
      </c>
      <c r="M233" s="2">
        <v>5508</v>
      </c>
      <c r="N233" s="2">
        <v>200</v>
      </c>
      <c r="O233" s="2">
        <v>258</v>
      </c>
      <c r="P233" s="2">
        <v>829</v>
      </c>
      <c r="Q233" s="2">
        <v>0</v>
      </c>
      <c r="R233" s="3">
        <f t="shared" si="11"/>
        <v>42289</v>
      </c>
      <c r="S233" s="3">
        <v>11300</v>
      </c>
      <c r="T233" s="3">
        <v>12193</v>
      </c>
      <c r="U233" s="5">
        <f t="shared" si="10"/>
        <v>18796</v>
      </c>
    </row>
    <row r="234" spans="1:21" ht="18.75" customHeight="1">
      <c r="A234" s="7" t="s">
        <v>18</v>
      </c>
      <c r="B234" s="10">
        <v>45159</v>
      </c>
      <c r="C234" s="2">
        <v>1435</v>
      </c>
      <c r="D234" s="2">
        <v>1470</v>
      </c>
      <c r="E234" s="2">
        <v>0</v>
      </c>
      <c r="F234" s="2">
        <v>1940</v>
      </c>
      <c r="G234" s="2">
        <v>2540</v>
      </c>
      <c r="H234" s="2">
        <v>270</v>
      </c>
      <c r="I234" s="2">
        <v>1215</v>
      </c>
      <c r="J234" s="2">
        <v>0</v>
      </c>
      <c r="K234" s="2">
        <v>1109</v>
      </c>
      <c r="L234" s="2">
        <v>11768</v>
      </c>
      <c r="M234" s="2">
        <v>2127</v>
      </c>
      <c r="N234" s="2">
        <v>885</v>
      </c>
      <c r="O234" s="2">
        <v>0</v>
      </c>
      <c r="P234" s="2">
        <v>566</v>
      </c>
      <c r="Q234" s="2">
        <v>0</v>
      </c>
      <c r="R234" s="3">
        <f t="shared" si="11"/>
        <v>25325</v>
      </c>
      <c r="S234" s="3">
        <v>6360</v>
      </c>
      <c r="T234" s="3">
        <v>13609</v>
      </c>
      <c r="U234" s="5">
        <f t="shared" si="10"/>
        <v>5356</v>
      </c>
    </row>
    <row r="235" spans="1:21" ht="18.75" customHeight="1">
      <c r="A235" s="7" t="s">
        <v>19</v>
      </c>
      <c r="B235" s="10">
        <v>45160</v>
      </c>
      <c r="C235" s="2">
        <v>1450</v>
      </c>
      <c r="D235" s="2">
        <v>2745</v>
      </c>
      <c r="E235" s="2">
        <v>1260</v>
      </c>
      <c r="F235" s="2">
        <v>0</v>
      </c>
      <c r="G235" s="2">
        <v>2591</v>
      </c>
      <c r="H235" s="2">
        <v>0</v>
      </c>
      <c r="I235" s="2">
        <v>975</v>
      </c>
      <c r="J235" s="2">
        <v>0</v>
      </c>
      <c r="K235" s="2">
        <v>585</v>
      </c>
      <c r="L235" s="2">
        <v>6411</v>
      </c>
      <c r="M235" s="2">
        <v>3744</v>
      </c>
      <c r="N235" s="2">
        <v>900</v>
      </c>
      <c r="O235" s="2">
        <v>0</v>
      </c>
      <c r="P235" s="2">
        <v>242</v>
      </c>
      <c r="Q235" s="2">
        <v>0</v>
      </c>
      <c r="R235" s="3">
        <f t="shared" si="11"/>
        <v>20903</v>
      </c>
      <c r="S235" s="3">
        <v>6180</v>
      </c>
      <c r="T235" s="3">
        <v>6651</v>
      </c>
      <c r="U235" s="5">
        <f t="shared" si="10"/>
        <v>8072</v>
      </c>
    </row>
    <row r="236" spans="1:21" ht="18.75" customHeight="1">
      <c r="A236" s="7" t="s">
        <v>20</v>
      </c>
      <c r="B236" s="10">
        <v>45161</v>
      </c>
      <c r="C236" s="2">
        <v>1115</v>
      </c>
      <c r="D236" s="2">
        <v>1310</v>
      </c>
      <c r="E236" s="2">
        <v>0</v>
      </c>
      <c r="F236" s="2">
        <v>2014</v>
      </c>
      <c r="G236" s="2">
        <v>2350</v>
      </c>
      <c r="H236" s="2">
        <v>0</v>
      </c>
      <c r="I236" s="2">
        <v>372</v>
      </c>
      <c r="J236" s="2">
        <v>0</v>
      </c>
      <c r="K236" s="2">
        <v>980</v>
      </c>
      <c r="L236" s="2">
        <v>8806</v>
      </c>
      <c r="M236" s="2">
        <v>4969</v>
      </c>
      <c r="N236" s="2">
        <v>610</v>
      </c>
      <c r="O236" s="2">
        <v>94</v>
      </c>
      <c r="P236" s="2">
        <v>324</v>
      </c>
      <c r="Q236" s="2">
        <v>0</v>
      </c>
      <c r="R236" s="3">
        <f t="shared" si="11"/>
        <v>22944</v>
      </c>
      <c r="S236" s="3">
        <v>6920</v>
      </c>
      <c r="T236" s="3">
        <v>6697</v>
      </c>
      <c r="U236" s="5">
        <f t="shared" si="10"/>
        <v>9327</v>
      </c>
    </row>
    <row r="237" spans="1:21" ht="18.75" customHeight="1">
      <c r="A237" s="7" t="s">
        <v>21</v>
      </c>
      <c r="B237" s="10">
        <v>45162</v>
      </c>
      <c r="C237" s="2">
        <v>895</v>
      </c>
      <c r="D237" s="2">
        <v>1120</v>
      </c>
      <c r="E237" s="2">
        <v>0</v>
      </c>
      <c r="F237" s="2">
        <v>1845</v>
      </c>
      <c r="G237" s="2">
        <v>3389</v>
      </c>
      <c r="H237" s="2">
        <v>0</v>
      </c>
      <c r="I237" s="2">
        <v>535</v>
      </c>
      <c r="J237" s="2">
        <v>0</v>
      </c>
      <c r="K237" s="2">
        <v>1115</v>
      </c>
      <c r="L237" s="2">
        <v>10246</v>
      </c>
      <c r="M237" s="2">
        <v>4102</v>
      </c>
      <c r="N237" s="2">
        <v>285</v>
      </c>
      <c r="O237" s="2">
        <v>0</v>
      </c>
      <c r="P237" s="2">
        <v>671</v>
      </c>
      <c r="Q237" s="2">
        <v>0</v>
      </c>
      <c r="R237" s="3">
        <f t="shared" si="11"/>
        <v>24203</v>
      </c>
      <c r="S237" s="3">
        <v>6630</v>
      </c>
      <c r="T237" s="3">
        <v>14292</v>
      </c>
      <c r="U237" s="5">
        <f t="shared" si="10"/>
        <v>3281</v>
      </c>
    </row>
    <row r="238" spans="1:21" ht="18.75" customHeight="1">
      <c r="A238" s="7" t="s">
        <v>22</v>
      </c>
      <c r="B238" s="10">
        <v>45163</v>
      </c>
      <c r="C238" s="2">
        <v>1620</v>
      </c>
      <c r="D238" s="2">
        <v>1600</v>
      </c>
      <c r="E238" s="2">
        <v>0</v>
      </c>
      <c r="F238" s="2">
        <v>1805</v>
      </c>
      <c r="G238" s="2">
        <v>2315</v>
      </c>
      <c r="H238" s="2">
        <v>0</v>
      </c>
      <c r="I238" s="2">
        <v>655</v>
      </c>
      <c r="J238" s="2">
        <v>0</v>
      </c>
      <c r="K238" s="2">
        <v>1593</v>
      </c>
      <c r="L238" s="2">
        <v>9214</v>
      </c>
      <c r="M238" s="2">
        <v>2033</v>
      </c>
      <c r="N238" s="2">
        <v>235</v>
      </c>
      <c r="O238" s="2">
        <v>573</v>
      </c>
      <c r="P238" s="2">
        <v>149</v>
      </c>
      <c r="Q238" s="2">
        <v>0</v>
      </c>
      <c r="R238" s="3">
        <f t="shared" si="11"/>
        <v>21792</v>
      </c>
      <c r="S238" s="3">
        <v>4970</v>
      </c>
      <c r="T238" s="3">
        <v>9230</v>
      </c>
      <c r="U238" s="5">
        <f t="shared" si="10"/>
        <v>7592</v>
      </c>
    </row>
    <row r="239" spans="1:21" ht="18.75" customHeight="1">
      <c r="A239" s="7" t="s">
        <v>23</v>
      </c>
      <c r="B239" s="10">
        <v>45164</v>
      </c>
      <c r="C239" s="2">
        <v>1395</v>
      </c>
      <c r="D239" s="2">
        <v>1430</v>
      </c>
      <c r="E239" s="2">
        <v>0</v>
      </c>
      <c r="F239" s="2">
        <v>2781</v>
      </c>
      <c r="G239" s="2">
        <v>1493</v>
      </c>
      <c r="H239" s="2">
        <v>535</v>
      </c>
      <c r="I239" s="2">
        <v>988</v>
      </c>
      <c r="J239" s="2">
        <v>0</v>
      </c>
      <c r="K239" s="2">
        <v>1040</v>
      </c>
      <c r="L239" s="2">
        <v>10581</v>
      </c>
      <c r="M239" s="2">
        <v>3650</v>
      </c>
      <c r="N239" s="2">
        <v>416</v>
      </c>
      <c r="O239" s="2">
        <v>149</v>
      </c>
      <c r="P239" s="2">
        <v>328</v>
      </c>
      <c r="Q239" s="2">
        <v>0</v>
      </c>
      <c r="R239" s="3">
        <f t="shared" si="11"/>
        <v>24786</v>
      </c>
      <c r="S239" s="3">
        <v>6900</v>
      </c>
      <c r="T239" s="3">
        <v>10254</v>
      </c>
      <c r="U239" s="5">
        <f t="shared" si="10"/>
        <v>7632</v>
      </c>
    </row>
    <row r="240" spans="1:21" ht="18.75" customHeight="1">
      <c r="A240" s="7" t="s">
        <v>17</v>
      </c>
      <c r="B240" s="10">
        <v>45165</v>
      </c>
      <c r="C240" s="2">
        <v>1395</v>
      </c>
      <c r="D240" s="2">
        <v>2980</v>
      </c>
      <c r="E240" s="2">
        <v>0</v>
      </c>
      <c r="F240" s="2">
        <v>3275</v>
      </c>
      <c r="G240" s="2">
        <v>2804.5</v>
      </c>
      <c r="H240" s="2">
        <v>1282</v>
      </c>
      <c r="I240" s="2">
        <v>495</v>
      </c>
      <c r="J240" s="2">
        <v>0</v>
      </c>
      <c r="K240" s="2">
        <v>180</v>
      </c>
      <c r="L240" s="2">
        <v>11701</v>
      </c>
      <c r="M240" s="2">
        <v>4715</v>
      </c>
      <c r="N240" s="2">
        <v>155</v>
      </c>
      <c r="O240" s="2">
        <v>153</v>
      </c>
      <c r="P240" s="2">
        <v>553</v>
      </c>
      <c r="Q240" s="2">
        <v>0</v>
      </c>
      <c r="R240" s="3">
        <f t="shared" si="11"/>
        <v>29688.5</v>
      </c>
      <c r="S240" s="3">
        <v>6185</v>
      </c>
      <c r="T240" s="3">
        <v>12939</v>
      </c>
      <c r="U240" s="5">
        <f t="shared" si="10"/>
        <v>10564.5</v>
      </c>
    </row>
    <row r="241" spans="1:21" ht="18.75" customHeight="1">
      <c r="A241" s="7" t="s">
        <v>18</v>
      </c>
      <c r="B241" s="10">
        <v>45166</v>
      </c>
      <c r="C241" s="2">
        <v>2210</v>
      </c>
      <c r="D241" s="2">
        <v>1370</v>
      </c>
      <c r="E241" s="2">
        <v>880</v>
      </c>
      <c r="F241" s="2">
        <v>0</v>
      </c>
      <c r="G241" s="2">
        <v>2268</v>
      </c>
      <c r="H241" s="2">
        <v>545</v>
      </c>
      <c r="I241" s="2">
        <v>490</v>
      </c>
      <c r="J241" s="2">
        <v>0</v>
      </c>
      <c r="K241" s="2">
        <v>695</v>
      </c>
      <c r="L241" s="2">
        <v>6581</v>
      </c>
      <c r="M241" s="2">
        <v>1824</v>
      </c>
      <c r="N241" s="2">
        <v>140</v>
      </c>
      <c r="O241" s="2">
        <v>0</v>
      </c>
      <c r="P241" s="2">
        <v>127</v>
      </c>
      <c r="Q241" s="2">
        <v>0</v>
      </c>
      <c r="R241" s="3">
        <f t="shared" si="11"/>
        <v>17130</v>
      </c>
      <c r="S241" s="3">
        <v>5870</v>
      </c>
      <c r="T241" s="3">
        <v>7431</v>
      </c>
      <c r="U241" s="5">
        <f t="shared" si="10"/>
        <v>3829</v>
      </c>
    </row>
    <row r="242" spans="1:21" ht="18.75" customHeight="1">
      <c r="A242" s="7" t="s">
        <v>19</v>
      </c>
      <c r="B242" s="10">
        <v>45167</v>
      </c>
      <c r="C242" s="2">
        <v>880</v>
      </c>
      <c r="D242" s="2">
        <v>1370</v>
      </c>
      <c r="E242" s="2">
        <v>545</v>
      </c>
      <c r="F242" s="2">
        <v>2210</v>
      </c>
      <c r="G242" s="2">
        <v>2268</v>
      </c>
      <c r="H242" s="2">
        <v>0</v>
      </c>
      <c r="I242" s="2">
        <v>490</v>
      </c>
      <c r="J242" s="2">
        <v>0</v>
      </c>
      <c r="K242" s="2">
        <v>695</v>
      </c>
      <c r="L242" s="2">
        <v>6518</v>
      </c>
      <c r="M242" s="2">
        <v>1914</v>
      </c>
      <c r="N242" s="2">
        <v>128</v>
      </c>
      <c r="O242" s="2">
        <v>0</v>
      </c>
      <c r="P242" s="2">
        <v>0</v>
      </c>
      <c r="Q242" s="2">
        <v>0</v>
      </c>
      <c r="R242" s="3">
        <f t="shared" si="11"/>
        <v>17018</v>
      </c>
      <c r="S242" s="3">
        <v>5690</v>
      </c>
      <c r="T242" s="3">
        <v>6907</v>
      </c>
      <c r="U242" s="5">
        <f t="shared" si="10"/>
        <v>4421</v>
      </c>
    </row>
    <row r="243" spans="1:21" ht="18.75" customHeight="1">
      <c r="A243" s="7" t="s">
        <v>20</v>
      </c>
      <c r="B243" s="10">
        <v>45168</v>
      </c>
      <c r="C243" s="2">
        <v>1560</v>
      </c>
      <c r="D243" s="2">
        <v>1645</v>
      </c>
      <c r="E243" s="2">
        <v>920</v>
      </c>
      <c r="F243" s="2">
        <v>1485</v>
      </c>
      <c r="G243" s="2">
        <v>1914</v>
      </c>
      <c r="H243" s="2">
        <v>0</v>
      </c>
      <c r="I243" s="2">
        <v>695</v>
      </c>
      <c r="J243" s="2">
        <v>0</v>
      </c>
      <c r="K243" s="2">
        <v>1360</v>
      </c>
      <c r="L243" s="2">
        <v>9009</v>
      </c>
      <c r="M243" s="2">
        <v>2143</v>
      </c>
      <c r="N243" s="2">
        <v>948</v>
      </c>
      <c r="O243" s="2">
        <v>0</v>
      </c>
      <c r="P243" s="2">
        <v>0</v>
      </c>
      <c r="Q243" s="2">
        <v>0</v>
      </c>
      <c r="R243" s="3">
        <f t="shared" si="11"/>
        <v>21679</v>
      </c>
      <c r="S243" s="3">
        <v>5430</v>
      </c>
      <c r="T243" s="3">
        <v>5683</v>
      </c>
      <c r="U243" s="5">
        <f t="shared" si="10"/>
        <v>10566</v>
      </c>
    </row>
    <row r="244" spans="1:21" ht="18.75" customHeight="1">
      <c r="A244" s="7" t="s">
        <v>21</v>
      </c>
      <c r="B244" s="10">
        <v>45169</v>
      </c>
      <c r="C244" s="2">
        <v>1110</v>
      </c>
      <c r="D244" s="2">
        <v>1640</v>
      </c>
      <c r="E244" s="2">
        <v>240</v>
      </c>
      <c r="F244" s="2">
        <v>1940</v>
      </c>
      <c r="G244" s="2">
        <v>2554</v>
      </c>
      <c r="H244" s="2">
        <v>0</v>
      </c>
      <c r="I244" s="2">
        <v>575</v>
      </c>
      <c r="J244" s="2">
        <v>0</v>
      </c>
      <c r="K244" s="2">
        <v>2053</v>
      </c>
      <c r="L244" s="2">
        <v>7399</v>
      </c>
      <c r="M244" s="2">
        <v>2891</v>
      </c>
      <c r="N244" s="2">
        <v>613</v>
      </c>
      <c r="O244" s="2">
        <v>242</v>
      </c>
      <c r="P244" s="2">
        <v>212</v>
      </c>
      <c r="Q244" s="2">
        <v>0</v>
      </c>
      <c r="R244" s="3">
        <f t="shared" si="11"/>
        <v>21469</v>
      </c>
      <c r="S244" s="3">
        <v>5590</v>
      </c>
      <c r="T244" s="3">
        <v>9838</v>
      </c>
      <c r="U244" s="5">
        <f t="shared" si="10"/>
        <v>6041</v>
      </c>
    </row>
    <row r="245" spans="1:21" ht="18.75" customHeight="1">
      <c r="A245" s="7" t="s">
        <v>22</v>
      </c>
      <c r="B245" s="10">
        <v>45170</v>
      </c>
      <c r="C245" s="2">
        <v>1835</v>
      </c>
      <c r="D245" s="2">
        <v>870</v>
      </c>
      <c r="E245" s="2">
        <v>675</v>
      </c>
      <c r="F245" s="2">
        <v>1975</v>
      </c>
      <c r="G245" s="2">
        <v>2451</v>
      </c>
      <c r="H245" s="2">
        <v>0</v>
      </c>
      <c r="I245" s="2">
        <v>390</v>
      </c>
      <c r="J245" s="2">
        <v>0</v>
      </c>
      <c r="K245" s="2">
        <v>1240</v>
      </c>
      <c r="L245" s="2">
        <v>7712</v>
      </c>
      <c r="M245" s="2">
        <v>1932</v>
      </c>
      <c r="N245" s="2">
        <v>684</v>
      </c>
      <c r="O245" s="2">
        <v>0</v>
      </c>
      <c r="P245" s="2">
        <v>193</v>
      </c>
      <c r="Q245" s="2">
        <v>0</v>
      </c>
      <c r="R245" s="3">
        <f t="shared" si="11"/>
        <v>19957</v>
      </c>
      <c r="S245" s="3">
        <v>6505</v>
      </c>
      <c r="T245" s="3">
        <v>10574</v>
      </c>
      <c r="U245" s="5">
        <f t="shared" si="10"/>
        <v>2878</v>
      </c>
    </row>
    <row r="246" spans="1:21" ht="18.75" customHeight="1">
      <c r="A246" s="7" t="s">
        <v>23</v>
      </c>
      <c r="B246" s="10">
        <v>45171</v>
      </c>
      <c r="C246" s="2">
        <v>1715</v>
      </c>
      <c r="D246" s="2">
        <v>1385</v>
      </c>
      <c r="E246" s="2">
        <v>665</v>
      </c>
      <c r="F246" s="2">
        <v>2059</v>
      </c>
      <c r="G246" s="2">
        <v>1847</v>
      </c>
      <c r="H246" s="2">
        <v>0</v>
      </c>
      <c r="I246" s="2">
        <v>770</v>
      </c>
      <c r="J246" s="2">
        <v>0</v>
      </c>
      <c r="K246" s="2">
        <v>498</v>
      </c>
      <c r="L246" s="2">
        <v>8079</v>
      </c>
      <c r="M246" s="2">
        <v>4501</v>
      </c>
      <c r="N246" s="2">
        <v>0</v>
      </c>
      <c r="O246" s="2">
        <v>0</v>
      </c>
      <c r="P246" s="2">
        <v>260</v>
      </c>
      <c r="Q246" s="2">
        <v>0</v>
      </c>
      <c r="R246" s="3">
        <f t="shared" si="11"/>
        <v>21779</v>
      </c>
      <c r="S246" s="3">
        <v>6675</v>
      </c>
      <c r="T246" s="3">
        <v>8733</v>
      </c>
      <c r="U246" s="5">
        <f t="shared" si="10"/>
        <v>6371</v>
      </c>
    </row>
    <row r="247" spans="1:21" ht="18.75" customHeight="1">
      <c r="A247" s="7" t="s">
        <v>17</v>
      </c>
      <c r="B247" s="10">
        <v>45172</v>
      </c>
      <c r="C247" s="2">
        <v>1389</v>
      </c>
      <c r="D247" s="2">
        <v>1645</v>
      </c>
      <c r="E247" s="2">
        <v>0</v>
      </c>
      <c r="F247" s="2">
        <v>2245</v>
      </c>
      <c r="G247" s="2">
        <v>2960</v>
      </c>
      <c r="H247" s="2">
        <v>0</v>
      </c>
      <c r="I247" s="2">
        <v>310</v>
      </c>
      <c r="J247" s="2">
        <v>0</v>
      </c>
      <c r="K247" s="2">
        <v>820</v>
      </c>
      <c r="L247" s="2">
        <v>10947</v>
      </c>
      <c r="M247" s="2">
        <v>11199</v>
      </c>
      <c r="N247" s="2">
        <v>513</v>
      </c>
      <c r="O247" s="2">
        <v>575</v>
      </c>
      <c r="P247" s="2">
        <v>564</v>
      </c>
      <c r="Q247" s="2">
        <v>0</v>
      </c>
      <c r="R247" s="3">
        <f t="shared" ref="R247:R278" si="12">SUM(C247:Q247)</f>
        <v>33167</v>
      </c>
      <c r="S247" s="3">
        <v>10440</v>
      </c>
      <c r="T247" s="3">
        <v>8642</v>
      </c>
      <c r="U247" s="5">
        <f t="shared" si="10"/>
        <v>14085</v>
      </c>
    </row>
    <row r="248" spans="1:21" ht="18.75" customHeight="1">
      <c r="A248" s="7" t="s">
        <v>18</v>
      </c>
      <c r="B248" s="10">
        <v>45173</v>
      </c>
      <c r="C248" s="2">
        <v>2030</v>
      </c>
      <c r="D248" s="2">
        <v>2090</v>
      </c>
      <c r="E248" s="2">
        <v>515</v>
      </c>
      <c r="F248" s="2">
        <v>2015</v>
      </c>
      <c r="G248" s="2">
        <v>2076</v>
      </c>
      <c r="H248" s="2">
        <v>0</v>
      </c>
      <c r="I248" s="2">
        <v>615</v>
      </c>
      <c r="J248" s="2">
        <v>0</v>
      </c>
      <c r="K248" s="2">
        <v>1371</v>
      </c>
      <c r="L248" s="2">
        <v>7345</v>
      </c>
      <c r="M248" s="2">
        <v>2291</v>
      </c>
      <c r="N248" s="2">
        <v>350</v>
      </c>
      <c r="O248" s="2">
        <v>0</v>
      </c>
      <c r="P248" s="2">
        <v>128</v>
      </c>
      <c r="Q248" s="2">
        <v>0</v>
      </c>
      <c r="R248" s="3">
        <f t="shared" si="12"/>
        <v>20826</v>
      </c>
      <c r="S248" s="3">
        <v>5560</v>
      </c>
      <c r="T248" s="3">
        <v>11696</v>
      </c>
      <c r="U248" s="5">
        <f t="shared" si="10"/>
        <v>3570</v>
      </c>
    </row>
    <row r="249" spans="1:21" ht="18.75" customHeight="1">
      <c r="A249" s="7" t="s">
        <v>19</v>
      </c>
      <c r="B249" s="10">
        <v>45174</v>
      </c>
      <c r="C249" s="2">
        <v>1265</v>
      </c>
      <c r="D249" s="2">
        <v>1680</v>
      </c>
      <c r="E249" s="2">
        <v>505</v>
      </c>
      <c r="F249" s="2">
        <v>1461</v>
      </c>
      <c r="G249" s="2">
        <v>2053</v>
      </c>
      <c r="H249" s="2">
        <v>0</v>
      </c>
      <c r="I249" s="2">
        <v>575</v>
      </c>
      <c r="J249" s="2">
        <v>0</v>
      </c>
      <c r="K249" s="2">
        <v>800</v>
      </c>
      <c r="L249" s="2">
        <v>6011</v>
      </c>
      <c r="M249" s="2">
        <v>2664</v>
      </c>
      <c r="N249" s="2">
        <v>345</v>
      </c>
      <c r="O249" s="2">
        <v>0</v>
      </c>
      <c r="P249" s="2">
        <v>127</v>
      </c>
      <c r="Q249" s="2">
        <v>0</v>
      </c>
      <c r="R249" s="3">
        <f t="shared" si="12"/>
        <v>17486</v>
      </c>
      <c r="S249" s="3">
        <v>5765</v>
      </c>
      <c r="T249" s="3">
        <v>6558</v>
      </c>
      <c r="U249" s="5">
        <f t="shared" si="10"/>
        <v>5163</v>
      </c>
    </row>
    <row r="250" spans="1:21" ht="18.75" customHeight="1">
      <c r="A250" s="7" t="s">
        <v>20</v>
      </c>
      <c r="B250" s="10">
        <v>45175</v>
      </c>
      <c r="C250" s="2">
        <v>1000</v>
      </c>
      <c r="D250" s="2">
        <v>1420</v>
      </c>
      <c r="E250" s="2">
        <v>0</v>
      </c>
      <c r="F250" s="2">
        <v>2095</v>
      </c>
      <c r="G250" s="2">
        <v>1299</v>
      </c>
      <c r="H250" s="2">
        <v>0</v>
      </c>
      <c r="I250" s="2">
        <v>775</v>
      </c>
      <c r="J250" s="2">
        <v>0</v>
      </c>
      <c r="K250" s="2">
        <v>560</v>
      </c>
      <c r="L250" s="2">
        <v>6880</v>
      </c>
      <c r="M250" s="2">
        <v>1463</v>
      </c>
      <c r="N250" s="2">
        <v>500</v>
      </c>
      <c r="O250" s="2">
        <v>0</v>
      </c>
      <c r="P250" s="2">
        <v>374</v>
      </c>
      <c r="Q250" s="2">
        <v>0</v>
      </c>
      <c r="R250" s="3">
        <f t="shared" si="12"/>
        <v>16366</v>
      </c>
      <c r="S250" s="3">
        <v>4760</v>
      </c>
      <c r="T250" s="3">
        <v>9044</v>
      </c>
      <c r="U250" s="5">
        <f t="shared" si="10"/>
        <v>2562</v>
      </c>
    </row>
    <row r="251" spans="1:21" ht="18.75" customHeight="1">
      <c r="A251" s="7" t="s">
        <v>21</v>
      </c>
      <c r="B251" s="10">
        <v>45176</v>
      </c>
      <c r="C251" s="2">
        <v>1395</v>
      </c>
      <c r="D251" s="2">
        <v>1125</v>
      </c>
      <c r="E251" s="2">
        <v>590</v>
      </c>
      <c r="F251" s="2">
        <v>2835</v>
      </c>
      <c r="G251" s="2">
        <v>3424</v>
      </c>
      <c r="H251" s="2">
        <v>0</v>
      </c>
      <c r="I251" s="2">
        <v>925</v>
      </c>
      <c r="J251" s="2">
        <v>0</v>
      </c>
      <c r="K251" s="2">
        <v>575</v>
      </c>
      <c r="L251" s="2">
        <v>3777</v>
      </c>
      <c r="M251" s="2">
        <v>2256</v>
      </c>
      <c r="N251" s="2">
        <v>140</v>
      </c>
      <c r="O251" s="2">
        <v>0</v>
      </c>
      <c r="P251" s="2">
        <v>0</v>
      </c>
      <c r="Q251" s="2">
        <v>0</v>
      </c>
      <c r="R251" s="3">
        <f t="shared" si="12"/>
        <v>17042</v>
      </c>
      <c r="S251" s="3">
        <v>5350</v>
      </c>
      <c r="T251" s="3">
        <v>10342</v>
      </c>
      <c r="U251" s="5">
        <f t="shared" si="10"/>
        <v>1350</v>
      </c>
    </row>
    <row r="252" spans="1:21" ht="18.75" customHeight="1">
      <c r="A252" s="7" t="s">
        <v>22</v>
      </c>
      <c r="B252" s="10">
        <v>45177</v>
      </c>
      <c r="C252" s="2">
        <v>1360</v>
      </c>
      <c r="D252" s="2">
        <v>1410</v>
      </c>
      <c r="E252" s="2">
        <v>800</v>
      </c>
      <c r="F252" s="2">
        <v>997</v>
      </c>
      <c r="G252" s="2">
        <v>1876</v>
      </c>
      <c r="H252" s="2">
        <v>0</v>
      </c>
      <c r="I252" s="2">
        <v>765</v>
      </c>
      <c r="J252" s="2">
        <v>0</v>
      </c>
      <c r="K252" s="2">
        <v>945</v>
      </c>
      <c r="L252" s="2">
        <v>6118</v>
      </c>
      <c r="M252" s="2">
        <v>2038</v>
      </c>
      <c r="N252" s="2">
        <v>981</v>
      </c>
      <c r="O252" s="2">
        <v>0</v>
      </c>
      <c r="P252" s="2">
        <v>166</v>
      </c>
      <c r="Q252" s="2">
        <v>0</v>
      </c>
      <c r="R252" s="3">
        <f t="shared" si="12"/>
        <v>17456</v>
      </c>
      <c r="S252" s="3">
        <v>5700</v>
      </c>
      <c r="T252" s="3">
        <v>7171</v>
      </c>
      <c r="U252" s="5">
        <f t="shared" si="10"/>
        <v>4585</v>
      </c>
    </row>
    <row r="253" spans="1:21" ht="18.75" customHeight="1">
      <c r="A253" s="7" t="s">
        <v>23</v>
      </c>
      <c r="B253" s="10">
        <v>45178</v>
      </c>
      <c r="C253" s="2">
        <v>1550</v>
      </c>
      <c r="D253" s="2">
        <v>835</v>
      </c>
      <c r="E253" s="2">
        <v>390</v>
      </c>
      <c r="F253" s="2">
        <v>1965</v>
      </c>
      <c r="G253" s="2">
        <v>2152</v>
      </c>
      <c r="H253" s="2">
        <v>0</v>
      </c>
      <c r="I253" s="2">
        <v>590</v>
      </c>
      <c r="J253" s="2">
        <v>0</v>
      </c>
      <c r="K253" s="2">
        <v>1095</v>
      </c>
      <c r="L253" s="2">
        <v>12163</v>
      </c>
      <c r="M253" s="2">
        <v>3081</v>
      </c>
      <c r="N253" s="2">
        <v>748</v>
      </c>
      <c r="O253" s="2">
        <v>132</v>
      </c>
      <c r="P253" s="2">
        <v>586</v>
      </c>
      <c r="Q253" s="2">
        <v>0</v>
      </c>
      <c r="R253" s="3">
        <f t="shared" si="12"/>
        <v>25287</v>
      </c>
      <c r="S253" s="3">
        <v>7010</v>
      </c>
      <c r="T253" s="3">
        <v>13431</v>
      </c>
      <c r="U253" s="5">
        <f t="shared" si="10"/>
        <v>4846</v>
      </c>
    </row>
    <row r="254" spans="1:21" ht="18.75" customHeight="1">
      <c r="A254" s="7" t="s">
        <v>17</v>
      </c>
      <c r="B254" s="10">
        <v>45179</v>
      </c>
      <c r="C254" s="2">
        <v>1300</v>
      </c>
      <c r="D254" s="2">
        <v>1270</v>
      </c>
      <c r="E254" s="2">
        <v>0</v>
      </c>
      <c r="F254" s="2">
        <v>2510</v>
      </c>
      <c r="G254" s="2">
        <v>2965</v>
      </c>
      <c r="H254" s="2">
        <v>0</v>
      </c>
      <c r="I254" s="2">
        <v>455</v>
      </c>
      <c r="J254" s="2">
        <v>0</v>
      </c>
      <c r="K254" s="2">
        <v>730</v>
      </c>
      <c r="L254" s="2">
        <v>7526</v>
      </c>
      <c r="M254" s="2">
        <v>4227</v>
      </c>
      <c r="N254" s="2">
        <v>0</v>
      </c>
      <c r="O254" s="2">
        <v>163</v>
      </c>
      <c r="P254" s="2">
        <v>0</v>
      </c>
      <c r="Q254" s="2">
        <v>0</v>
      </c>
      <c r="R254" s="3">
        <f t="shared" si="12"/>
        <v>21146</v>
      </c>
      <c r="S254" s="3">
        <v>9610</v>
      </c>
      <c r="T254" s="3">
        <v>7198</v>
      </c>
      <c r="U254" s="5">
        <f t="shared" si="10"/>
        <v>4338</v>
      </c>
    </row>
    <row r="255" spans="1:21" ht="18.75" customHeight="1">
      <c r="A255" s="7" t="s">
        <v>18</v>
      </c>
      <c r="B255" s="10">
        <v>45180</v>
      </c>
      <c r="C255" s="2">
        <v>1205</v>
      </c>
      <c r="D255" s="2">
        <v>1970</v>
      </c>
      <c r="E255" s="2">
        <v>0</v>
      </c>
      <c r="F255" s="2">
        <v>2330</v>
      </c>
      <c r="G255" s="2">
        <v>1519</v>
      </c>
      <c r="H255" s="2">
        <v>0</v>
      </c>
      <c r="I255" s="2">
        <v>780</v>
      </c>
      <c r="J255" s="2">
        <v>0</v>
      </c>
      <c r="K255" s="2">
        <v>1575</v>
      </c>
      <c r="L255" s="2">
        <v>7375</v>
      </c>
      <c r="M255" s="2">
        <v>3861</v>
      </c>
      <c r="N255" s="2">
        <v>175</v>
      </c>
      <c r="O255" s="2">
        <v>0</v>
      </c>
      <c r="P255" s="2">
        <v>185</v>
      </c>
      <c r="Q255" s="2">
        <v>0</v>
      </c>
      <c r="R255" s="3">
        <f t="shared" si="12"/>
        <v>20975</v>
      </c>
      <c r="S255" s="3">
        <v>5030</v>
      </c>
      <c r="T255" s="3">
        <v>9177</v>
      </c>
      <c r="U255" s="5">
        <f t="shared" si="10"/>
        <v>6768</v>
      </c>
    </row>
    <row r="256" spans="1:21" ht="18.75" customHeight="1">
      <c r="A256" s="7" t="s">
        <v>19</v>
      </c>
      <c r="B256" s="10">
        <v>45181</v>
      </c>
      <c r="C256" s="2">
        <v>990</v>
      </c>
      <c r="D256" s="2">
        <v>710</v>
      </c>
      <c r="E256" s="2">
        <v>255</v>
      </c>
      <c r="F256" s="2">
        <v>1740</v>
      </c>
      <c r="G256" s="2">
        <v>2807</v>
      </c>
      <c r="H256" s="2">
        <v>0</v>
      </c>
      <c r="I256" s="2">
        <v>995</v>
      </c>
      <c r="J256" s="2">
        <v>0</v>
      </c>
      <c r="K256" s="2">
        <v>450</v>
      </c>
      <c r="L256" s="2">
        <v>9010</v>
      </c>
      <c r="M256" s="2">
        <v>1956</v>
      </c>
      <c r="N256" s="2">
        <v>343</v>
      </c>
      <c r="O256" s="2">
        <v>0</v>
      </c>
      <c r="P256" s="2">
        <v>0</v>
      </c>
      <c r="Q256" s="2">
        <v>0</v>
      </c>
      <c r="R256" s="3">
        <f t="shared" si="12"/>
        <v>19256</v>
      </c>
      <c r="S256" s="3">
        <v>6310</v>
      </c>
      <c r="T256" s="3">
        <v>8768</v>
      </c>
      <c r="U256" s="5">
        <f t="shared" si="10"/>
        <v>4178</v>
      </c>
    </row>
    <row r="257" spans="1:21" ht="18.75" customHeight="1">
      <c r="A257" s="7" t="s">
        <v>20</v>
      </c>
      <c r="B257" s="10">
        <v>45182</v>
      </c>
      <c r="C257" s="2">
        <v>1320</v>
      </c>
      <c r="D257" s="2">
        <v>720</v>
      </c>
      <c r="E257" s="2">
        <v>260</v>
      </c>
      <c r="F257" s="2">
        <v>2165</v>
      </c>
      <c r="G257" s="2">
        <v>1482</v>
      </c>
      <c r="H257" s="2">
        <v>0</v>
      </c>
      <c r="I257" s="2">
        <v>740</v>
      </c>
      <c r="J257" s="2">
        <v>0</v>
      </c>
      <c r="K257" s="2">
        <v>600</v>
      </c>
      <c r="L257" s="2">
        <v>3906</v>
      </c>
      <c r="M257" s="2">
        <v>2528</v>
      </c>
      <c r="N257" s="2">
        <v>90</v>
      </c>
      <c r="O257" s="2">
        <v>345</v>
      </c>
      <c r="P257" s="2">
        <v>0</v>
      </c>
      <c r="Q257" s="2">
        <v>0</v>
      </c>
      <c r="R257" s="3">
        <f t="shared" si="12"/>
        <v>14156</v>
      </c>
      <c r="S257" s="3">
        <v>5090</v>
      </c>
      <c r="T257" s="3">
        <v>5021</v>
      </c>
      <c r="U257" s="5">
        <f t="shared" si="10"/>
        <v>4045</v>
      </c>
    </row>
    <row r="258" spans="1:21" ht="18.75" customHeight="1">
      <c r="A258" s="7" t="s">
        <v>21</v>
      </c>
      <c r="B258" s="10">
        <v>45183</v>
      </c>
      <c r="C258" s="2">
        <v>1875</v>
      </c>
      <c r="D258" s="2">
        <v>1215</v>
      </c>
      <c r="E258" s="2">
        <v>515</v>
      </c>
      <c r="F258" s="2">
        <v>2140</v>
      </c>
      <c r="G258" s="2">
        <v>2147</v>
      </c>
      <c r="H258" s="2">
        <v>0</v>
      </c>
      <c r="I258" s="2">
        <v>890</v>
      </c>
      <c r="J258" s="2">
        <v>0</v>
      </c>
      <c r="K258" s="2">
        <v>700</v>
      </c>
      <c r="L258" s="2">
        <v>7250</v>
      </c>
      <c r="M258" s="2">
        <v>2412</v>
      </c>
      <c r="N258" s="2">
        <v>455</v>
      </c>
      <c r="O258" s="2">
        <v>323</v>
      </c>
      <c r="P258" s="2">
        <v>0</v>
      </c>
      <c r="Q258" s="2">
        <v>0</v>
      </c>
      <c r="R258" s="3">
        <f t="shared" si="12"/>
        <v>19922</v>
      </c>
      <c r="S258" s="3">
        <v>7050</v>
      </c>
      <c r="T258" s="3">
        <v>8476</v>
      </c>
      <c r="U258" s="5">
        <f t="shared" si="10"/>
        <v>4396</v>
      </c>
    </row>
    <row r="259" spans="1:21" ht="18.75" customHeight="1">
      <c r="A259" s="7" t="s">
        <v>22</v>
      </c>
      <c r="B259" s="10">
        <v>45184</v>
      </c>
      <c r="C259" s="2">
        <v>2015</v>
      </c>
      <c r="D259" s="2">
        <v>2210</v>
      </c>
      <c r="E259" s="2">
        <v>600</v>
      </c>
      <c r="F259" s="2">
        <v>1405</v>
      </c>
      <c r="G259" s="2">
        <v>2509</v>
      </c>
      <c r="H259" s="2">
        <v>0</v>
      </c>
      <c r="I259" s="2">
        <v>945</v>
      </c>
      <c r="J259" s="2">
        <v>0</v>
      </c>
      <c r="K259" s="2">
        <v>1597</v>
      </c>
      <c r="L259" s="2">
        <v>9793</v>
      </c>
      <c r="M259" s="2">
        <v>2748</v>
      </c>
      <c r="N259" s="2">
        <v>993</v>
      </c>
      <c r="O259" s="2">
        <v>0</v>
      </c>
      <c r="P259" s="2">
        <v>0</v>
      </c>
      <c r="Q259" s="2">
        <v>0</v>
      </c>
      <c r="R259" s="3">
        <f t="shared" si="12"/>
        <v>24815</v>
      </c>
      <c r="S259" s="3">
        <v>6372</v>
      </c>
      <c r="T259" s="3">
        <v>11142</v>
      </c>
      <c r="U259" s="5">
        <f t="shared" ref="U259:U322" si="13">R259-S259-T259</f>
        <v>7301</v>
      </c>
    </row>
    <row r="260" spans="1:21" ht="18.75" customHeight="1">
      <c r="A260" s="7" t="s">
        <v>23</v>
      </c>
      <c r="B260" s="10">
        <v>45185</v>
      </c>
      <c r="C260" s="2">
        <v>1360</v>
      </c>
      <c r="D260" s="2">
        <v>1960</v>
      </c>
      <c r="E260" s="2">
        <v>485</v>
      </c>
      <c r="F260" s="2">
        <v>1735</v>
      </c>
      <c r="G260" s="2">
        <v>2019</v>
      </c>
      <c r="H260" s="2">
        <v>0</v>
      </c>
      <c r="I260" s="2">
        <v>575</v>
      </c>
      <c r="J260" s="2">
        <v>0</v>
      </c>
      <c r="K260" s="2">
        <v>1571</v>
      </c>
      <c r="L260" s="2">
        <v>16579</v>
      </c>
      <c r="M260" s="2">
        <v>7205</v>
      </c>
      <c r="N260" s="2">
        <v>322</v>
      </c>
      <c r="O260" s="2">
        <v>0</v>
      </c>
      <c r="P260" s="2">
        <v>85</v>
      </c>
      <c r="Q260" s="2">
        <v>0</v>
      </c>
      <c r="R260" s="3">
        <f t="shared" si="12"/>
        <v>33896</v>
      </c>
      <c r="S260" s="3">
        <v>7550</v>
      </c>
      <c r="T260" s="3">
        <v>15927</v>
      </c>
      <c r="U260" s="5">
        <f t="shared" si="13"/>
        <v>10419</v>
      </c>
    </row>
    <row r="261" spans="1:21" ht="18.75" customHeight="1">
      <c r="A261" s="7" t="s">
        <v>17</v>
      </c>
      <c r="B261" s="10">
        <v>45186</v>
      </c>
      <c r="C261" s="2">
        <v>895</v>
      </c>
      <c r="D261" s="2">
        <v>1845</v>
      </c>
      <c r="E261" s="2">
        <v>0</v>
      </c>
      <c r="F261" s="2">
        <v>2306</v>
      </c>
      <c r="G261" s="2">
        <v>2925</v>
      </c>
      <c r="H261" s="2">
        <v>0</v>
      </c>
      <c r="I261" s="2">
        <v>370</v>
      </c>
      <c r="J261" s="2">
        <v>0</v>
      </c>
      <c r="K261" s="2">
        <v>957</v>
      </c>
      <c r="L261" s="2">
        <v>16055</v>
      </c>
      <c r="M261" s="2">
        <v>7591</v>
      </c>
      <c r="N261" s="2">
        <v>269</v>
      </c>
      <c r="O261" s="2">
        <v>0</v>
      </c>
      <c r="P261" s="2">
        <v>160</v>
      </c>
      <c r="Q261" s="2">
        <v>0</v>
      </c>
      <c r="R261" s="3">
        <f t="shared" si="12"/>
        <v>33373</v>
      </c>
      <c r="S261" s="3">
        <v>9680</v>
      </c>
      <c r="T261" s="3">
        <v>11754</v>
      </c>
      <c r="U261" s="5">
        <f t="shared" si="13"/>
        <v>11939</v>
      </c>
    </row>
    <row r="262" spans="1:21" ht="18.75" customHeight="1">
      <c r="A262" s="7" t="s">
        <v>18</v>
      </c>
      <c r="B262" s="10">
        <v>45187</v>
      </c>
      <c r="C262" s="2">
        <v>1825</v>
      </c>
      <c r="D262" s="2">
        <v>1615</v>
      </c>
      <c r="E262" s="2">
        <v>0</v>
      </c>
      <c r="F262" s="2">
        <v>2292</v>
      </c>
      <c r="G262" s="2">
        <v>2124</v>
      </c>
      <c r="H262" s="2">
        <v>0</v>
      </c>
      <c r="I262" s="2">
        <v>745</v>
      </c>
      <c r="J262" s="2">
        <v>0</v>
      </c>
      <c r="K262" s="2">
        <v>1250</v>
      </c>
      <c r="L262" s="2">
        <v>11814</v>
      </c>
      <c r="M262" s="2">
        <v>1548</v>
      </c>
      <c r="N262" s="2">
        <v>356</v>
      </c>
      <c r="O262" s="2">
        <v>0</v>
      </c>
      <c r="P262" s="2">
        <v>0</v>
      </c>
      <c r="Q262" s="2">
        <v>0</v>
      </c>
      <c r="R262" s="3">
        <f t="shared" si="12"/>
        <v>23569</v>
      </c>
      <c r="S262" s="3">
        <v>4700</v>
      </c>
      <c r="T262" s="3">
        <v>11841</v>
      </c>
      <c r="U262" s="5">
        <f t="shared" si="13"/>
        <v>7028</v>
      </c>
    </row>
    <row r="263" spans="1:21" ht="18.75" customHeight="1">
      <c r="A263" s="7" t="s">
        <v>19</v>
      </c>
      <c r="B263" s="10">
        <v>45188</v>
      </c>
      <c r="C263" s="2">
        <v>1160</v>
      </c>
      <c r="D263" s="2">
        <v>1630</v>
      </c>
      <c r="E263" s="2">
        <v>0</v>
      </c>
      <c r="F263" s="2">
        <v>1600</v>
      </c>
      <c r="G263" s="2">
        <v>2101</v>
      </c>
      <c r="H263" s="2">
        <v>0</v>
      </c>
      <c r="I263" s="2">
        <v>1015</v>
      </c>
      <c r="J263" s="2">
        <v>0</v>
      </c>
      <c r="K263" s="2">
        <v>1548</v>
      </c>
      <c r="L263" s="2">
        <v>8106</v>
      </c>
      <c r="M263" s="2">
        <v>2820</v>
      </c>
      <c r="N263" s="2">
        <v>224</v>
      </c>
      <c r="O263" s="2">
        <v>0</v>
      </c>
      <c r="P263" s="2">
        <v>301</v>
      </c>
      <c r="Q263" s="2">
        <v>0</v>
      </c>
      <c r="R263" s="3">
        <f t="shared" si="12"/>
        <v>20505</v>
      </c>
      <c r="S263" s="3">
        <v>5510</v>
      </c>
      <c r="T263" s="3">
        <v>6584</v>
      </c>
      <c r="U263" s="5">
        <f t="shared" si="13"/>
        <v>8411</v>
      </c>
    </row>
    <row r="264" spans="1:21" ht="18.75" customHeight="1">
      <c r="A264" s="7" t="s">
        <v>20</v>
      </c>
      <c r="B264" s="10">
        <v>45189</v>
      </c>
      <c r="C264" s="2">
        <v>1755</v>
      </c>
      <c r="D264" s="2">
        <v>1505</v>
      </c>
      <c r="E264" s="2">
        <v>0</v>
      </c>
      <c r="F264" s="2">
        <v>1240</v>
      </c>
      <c r="G264" s="2">
        <v>3075</v>
      </c>
      <c r="H264" s="2">
        <v>0</v>
      </c>
      <c r="I264" s="2">
        <v>660</v>
      </c>
      <c r="J264" s="2">
        <v>0</v>
      </c>
      <c r="K264" s="2">
        <v>1075</v>
      </c>
      <c r="L264" s="2">
        <v>6900</v>
      </c>
      <c r="M264" s="2">
        <v>1531</v>
      </c>
      <c r="N264" s="2">
        <v>328</v>
      </c>
      <c r="O264" s="2">
        <v>172</v>
      </c>
      <c r="P264" s="2">
        <v>0</v>
      </c>
      <c r="Q264" s="2">
        <v>0</v>
      </c>
      <c r="R264" s="3">
        <f t="shared" si="12"/>
        <v>18241</v>
      </c>
      <c r="S264" s="3">
        <v>5980</v>
      </c>
      <c r="T264" s="3">
        <v>8949</v>
      </c>
      <c r="U264" s="5">
        <f t="shared" si="13"/>
        <v>3312</v>
      </c>
    </row>
    <row r="265" spans="1:21" ht="18.75" customHeight="1">
      <c r="A265" s="7" t="s">
        <v>21</v>
      </c>
      <c r="B265" s="10">
        <v>45190</v>
      </c>
      <c r="C265" s="2">
        <v>1810</v>
      </c>
      <c r="D265" s="2">
        <v>1850</v>
      </c>
      <c r="E265" s="2">
        <v>0</v>
      </c>
      <c r="F265" s="2">
        <v>1425</v>
      </c>
      <c r="G265" s="2">
        <v>3100</v>
      </c>
      <c r="H265" s="2">
        <v>0</v>
      </c>
      <c r="I265" s="2">
        <v>840</v>
      </c>
      <c r="J265" s="2">
        <v>0</v>
      </c>
      <c r="K265" s="2">
        <v>605</v>
      </c>
      <c r="L265" s="2">
        <v>7084</v>
      </c>
      <c r="M265" s="2">
        <v>1217</v>
      </c>
      <c r="N265" s="2">
        <v>366</v>
      </c>
      <c r="O265" s="2">
        <v>0</v>
      </c>
      <c r="P265" s="2">
        <v>280</v>
      </c>
      <c r="Q265" s="2">
        <v>0</v>
      </c>
      <c r="R265" s="3">
        <f t="shared" si="12"/>
        <v>18577</v>
      </c>
      <c r="S265" s="3">
        <v>4840</v>
      </c>
      <c r="T265" s="3">
        <v>9574</v>
      </c>
      <c r="U265" s="5">
        <f t="shared" si="13"/>
        <v>4163</v>
      </c>
    </row>
    <row r="266" spans="1:21" ht="18.75" customHeight="1">
      <c r="A266" s="7" t="s">
        <v>22</v>
      </c>
      <c r="B266" s="10">
        <v>45191</v>
      </c>
      <c r="C266" s="2">
        <v>1100</v>
      </c>
      <c r="D266" s="2">
        <v>2055</v>
      </c>
      <c r="E266" s="2">
        <v>0</v>
      </c>
      <c r="F266" s="2">
        <v>1725</v>
      </c>
      <c r="G266" s="2">
        <v>2069</v>
      </c>
      <c r="H266" s="2">
        <v>0</v>
      </c>
      <c r="I266" s="2">
        <v>1080</v>
      </c>
      <c r="J266" s="2">
        <v>0</v>
      </c>
      <c r="K266" s="2">
        <v>1285</v>
      </c>
      <c r="L266" s="2">
        <v>9215</v>
      </c>
      <c r="M266" s="2">
        <v>3440</v>
      </c>
      <c r="N266" s="2">
        <v>454</v>
      </c>
      <c r="O266" s="2">
        <v>0</v>
      </c>
      <c r="P266" s="2">
        <v>128</v>
      </c>
      <c r="Q266" s="2">
        <v>0</v>
      </c>
      <c r="R266" s="3">
        <f t="shared" si="12"/>
        <v>22551</v>
      </c>
      <c r="S266" s="3">
        <v>5953</v>
      </c>
      <c r="T266" s="3">
        <v>10910</v>
      </c>
      <c r="U266" s="5">
        <f t="shared" si="13"/>
        <v>5688</v>
      </c>
    </row>
    <row r="267" spans="1:21" ht="18.75" customHeight="1">
      <c r="A267" s="7" t="s">
        <v>23</v>
      </c>
      <c r="B267" s="10">
        <v>45192</v>
      </c>
      <c r="C267" s="2">
        <v>2310</v>
      </c>
      <c r="D267" s="2">
        <v>2140</v>
      </c>
      <c r="E267" s="2">
        <v>105</v>
      </c>
      <c r="F267" s="2">
        <v>1690</v>
      </c>
      <c r="G267" s="2">
        <v>2382</v>
      </c>
      <c r="H267" s="2">
        <v>0</v>
      </c>
      <c r="I267" s="2">
        <v>685</v>
      </c>
      <c r="J267" s="2">
        <v>0</v>
      </c>
      <c r="K267" s="2">
        <v>775</v>
      </c>
      <c r="L267" s="2">
        <v>14368</v>
      </c>
      <c r="M267" s="2">
        <v>3908</v>
      </c>
      <c r="N267" s="2">
        <v>543</v>
      </c>
      <c r="O267" s="2">
        <v>0</v>
      </c>
      <c r="P267" s="2">
        <v>300</v>
      </c>
      <c r="Q267" s="2">
        <v>0</v>
      </c>
      <c r="R267" s="3">
        <f t="shared" si="12"/>
        <v>29206</v>
      </c>
      <c r="S267" s="3">
        <v>5845</v>
      </c>
      <c r="T267" s="3">
        <v>17848</v>
      </c>
      <c r="U267" s="5">
        <f t="shared" si="13"/>
        <v>5513</v>
      </c>
    </row>
    <row r="268" spans="1:21" ht="18.75" customHeight="1">
      <c r="A268" s="7" t="s">
        <v>17</v>
      </c>
      <c r="B268" s="10">
        <v>45193</v>
      </c>
      <c r="C268" s="2">
        <v>1600</v>
      </c>
      <c r="D268" s="2">
        <v>1065</v>
      </c>
      <c r="E268" s="2">
        <v>0</v>
      </c>
      <c r="F268" s="2">
        <v>2230</v>
      </c>
      <c r="G268" s="2">
        <v>2363</v>
      </c>
      <c r="H268" s="2">
        <v>0</v>
      </c>
      <c r="I268" s="2">
        <v>975</v>
      </c>
      <c r="J268" s="2">
        <v>0</v>
      </c>
      <c r="K268" s="2">
        <v>890</v>
      </c>
      <c r="L268" s="2">
        <v>14364</v>
      </c>
      <c r="M268" s="2">
        <v>4972</v>
      </c>
      <c r="N268" s="2">
        <v>3329</v>
      </c>
      <c r="O268" s="2">
        <v>0</v>
      </c>
      <c r="P268" s="2">
        <v>673</v>
      </c>
      <c r="Q268" s="2">
        <v>0</v>
      </c>
      <c r="R268" s="3">
        <f t="shared" si="12"/>
        <v>32461</v>
      </c>
      <c r="S268" s="3">
        <v>10570</v>
      </c>
      <c r="T268" s="3">
        <v>10024</v>
      </c>
      <c r="U268" s="5">
        <f t="shared" si="13"/>
        <v>11867</v>
      </c>
    </row>
    <row r="269" spans="1:21" ht="18.75" customHeight="1">
      <c r="A269" s="7" t="s">
        <v>18</v>
      </c>
      <c r="B269" s="10">
        <v>45194</v>
      </c>
      <c r="C269" s="2">
        <v>1535</v>
      </c>
      <c r="D269" s="2">
        <v>1615</v>
      </c>
      <c r="E269" s="2">
        <v>220</v>
      </c>
      <c r="F269" s="2">
        <v>1280</v>
      </c>
      <c r="G269" s="2">
        <v>3291.5</v>
      </c>
      <c r="H269" s="2">
        <v>0</v>
      </c>
      <c r="I269" s="2">
        <v>1230</v>
      </c>
      <c r="J269" s="2">
        <v>0</v>
      </c>
      <c r="K269" s="2">
        <v>580</v>
      </c>
      <c r="L269" s="2">
        <v>9156</v>
      </c>
      <c r="M269" s="2">
        <v>5728</v>
      </c>
      <c r="N269" s="2">
        <v>305</v>
      </c>
      <c r="O269" s="2">
        <v>0</v>
      </c>
      <c r="P269" s="2">
        <v>165</v>
      </c>
      <c r="Q269" s="2">
        <v>0</v>
      </c>
      <c r="R269" s="3">
        <f t="shared" si="12"/>
        <v>25105.5</v>
      </c>
      <c r="S269" s="3">
        <v>6080</v>
      </c>
      <c r="T269" s="3">
        <v>12511</v>
      </c>
      <c r="U269" s="5">
        <f t="shared" si="13"/>
        <v>6514.5</v>
      </c>
    </row>
    <row r="270" spans="1:21" ht="18.75" customHeight="1">
      <c r="A270" s="7" t="s">
        <v>19</v>
      </c>
      <c r="B270" s="10">
        <v>45195</v>
      </c>
      <c r="C270" s="2">
        <v>1340</v>
      </c>
      <c r="D270" s="2">
        <v>1220</v>
      </c>
      <c r="E270" s="2">
        <v>0</v>
      </c>
      <c r="F270" s="2">
        <v>2385</v>
      </c>
      <c r="G270" s="2">
        <v>2605</v>
      </c>
      <c r="H270" s="2">
        <v>0</v>
      </c>
      <c r="I270" s="2">
        <v>330</v>
      </c>
      <c r="J270" s="2">
        <v>0</v>
      </c>
      <c r="K270" s="2">
        <v>1333</v>
      </c>
      <c r="L270" s="2">
        <v>6760</v>
      </c>
      <c r="M270" s="2">
        <v>2390</v>
      </c>
      <c r="N270" s="2">
        <v>276</v>
      </c>
      <c r="O270" s="2">
        <v>0</v>
      </c>
      <c r="P270" s="2">
        <v>330</v>
      </c>
      <c r="Q270" s="2">
        <v>0</v>
      </c>
      <c r="R270" s="3">
        <f t="shared" si="12"/>
        <v>18969</v>
      </c>
      <c r="S270" s="3">
        <v>5056</v>
      </c>
      <c r="T270" s="3">
        <v>9357</v>
      </c>
      <c r="U270" s="5">
        <f t="shared" si="13"/>
        <v>4556</v>
      </c>
    </row>
    <row r="271" spans="1:21" ht="18.75" customHeight="1">
      <c r="A271" s="7" t="s">
        <v>20</v>
      </c>
      <c r="B271" s="10">
        <v>45196</v>
      </c>
      <c r="C271" s="2">
        <v>1850</v>
      </c>
      <c r="D271" s="2">
        <v>1866</v>
      </c>
      <c r="E271" s="2">
        <v>0</v>
      </c>
      <c r="F271" s="2">
        <v>1015</v>
      </c>
      <c r="G271" s="2">
        <v>4067</v>
      </c>
      <c r="H271" s="2">
        <v>0</v>
      </c>
      <c r="I271" s="2">
        <v>740</v>
      </c>
      <c r="J271" s="2">
        <v>0</v>
      </c>
      <c r="K271" s="2">
        <v>1085</v>
      </c>
      <c r="L271" s="2">
        <v>4597</v>
      </c>
      <c r="M271" s="2">
        <v>3613</v>
      </c>
      <c r="N271" s="2">
        <v>481</v>
      </c>
      <c r="O271" s="2">
        <v>0</v>
      </c>
      <c r="P271" s="2">
        <v>132</v>
      </c>
      <c r="Q271" s="2">
        <v>0</v>
      </c>
      <c r="R271" s="3">
        <f t="shared" si="12"/>
        <v>19446</v>
      </c>
      <c r="S271" s="3">
        <v>5526</v>
      </c>
      <c r="T271" s="3">
        <v>10338</v>
      </c>
      <c r="U271" s="5">
        <f t="shared" si="13"/>
        <v>3582</v>
      </c>
    </row>
    <row r="272" spans="1:21" ht="18.75" customHeight="1">
      <c r="A272" s="7" t="s">
        <v>21</v>
      </c>
      <c r="B272" s="10">
        <v>45197</v>
      </c>
      <c r="C272" s="2">
        <v>1810</v>
      </c>
      <c r="D272" s="2">
        <v>1525</v>
      </c>
      <c r="E272" s="2">
        <v>405</v>
      </c>
      <c r="F272" s="2">
        <v>1981</v>
      </c>
      <c r="G272" s="2">
        <v>2130</v>
      </c>
      <c r="H272" s="2">
        <v>0</v>
      </c>
      <c r="I272" s="2">
        <v>730</v>
      </c>
      <c r="J272" s="2">
        <v>0</v>
      </c>
      <c r="K272" s="2">
        <v>735</v>
      </c>
      <c r="L272" s="2">
        <v>8943</v>
      </c>
      <c r="M272" s="2">
        <v>3361</v>
      </c>
      <c r="N272" s="2">
        <v>363</v>
      </c>
      <c r="O272" s="2">
        <v>0</v>
      </c>
      <c r="P272" s="2">
        <v>157</v>
      </c>
      <c r="Q272" s="2">
        <v>0</v>
      </c>
      <c r="R272" s="3">
        <f t="shared" si="12"/>
        <v>22140</v>
      </c>
      <c r="S272" s="3">
        <v>6433</v>
      </c>
      <c r="T272" s="3">
        <v>8086</v>
      </c>
      <c r="U272" s="5">
        <f t="shared" si="13"/>
        <v>7621</v>
      </c>
    </row>
    <row r="273" spans="1:21" ht="18.75" customHeight="1">
      <c r="A273" s="7" t="s">
        <v>22</v>
      </c>
      <c r="B273" s="10">
        <v>45198</v>
      </c>
      <c r="C273" s="2">
        <v>1685</v>
      </c>
      <c r="D273" s="2">
        <v>3090</v>
      </c>
      <c r="E273" s="2">
        <v>0</v>
      </c>
      <c r="F273" s="2">
        <v>1870</v>
      </c>
      <c r="G273" s="2">
        <v>2835.5</v>
      </c>
      <c r="H273" s="2">
        <v>0</v>
      </c>
      <c r="I273" s="2">
        <v>460</v>
      </c>
      <c r="J273" s="2">
        <v>0</v>
      </c>
      <c r="K273" s="2">
        <v>620</v>
      </c>
      <c r="L273" s="2">
        <v>10997</v>
      </c>
      <c r="M273" s="2">
        <v>2307</v>
      </c>
      <c r="N273" s="2">
        <v>220</v>
      </c>
      <c r="O273" s="2">
        <v>0</v>
      </c>
      <c r="P273" s="2">
        <v>268</v>
      </c>
      <c r="Q273" s="2">
        <v>0</v>
      </c>
      <c r="R273" s="3">
        <f t="shared" si="12"/>
        <v>24352.5</v>
      </c>
      <c r="S273" s="3">
        <v>5513</v>
      </c>
      <c r="T273" s="3">
        <v>11110</v>
      </c>
      <c r="U273" s="5">
        <f t="shared" si="13"/>
        <v>7729.5</v>
      </c>
    </row>
    <row r="274" spans="1:21" ht="18.75" customHeight="1">
      <c r="A274" s="7" t="s">
        <v>23</v>
      </c>
      <c r="B274" s="10">
        <v>45199</v>
      </c>
      <c r="C274" s="2">
        <v>2105</v>
      </c>
      <c r="D274" s="2">
        <v>2190</v>
      </c>
      <c r="E274" s="2">
        <v>445</v>
      </c>
      <c r="F274" s="2">
        <v>1480</v>
      </c>
      <c r="G274" s="2">
        <v>1927</v>
      </c>
      <c r="H274" s="2">
        <v>0</v>
      </c>
      <c r="I274" s="2">
        <v>820</v>
      </c>
      <c r="J274" s="2">
        <v>0</v>
      </c>
      <c r="K274" s="2">
        <v>1630</v>
      </c>
      <c r="L274" s="2">
        <v>11155</v>
      </c>
      <c r="M274" s="2">
        <v>5616</v>
      </c>
      <c r="N274" s="2">
        <v>643</v>
      </c>
      <c r="O274" s="2">
        <v>0</v>
      </c>
      <c r="P274" s="2">
        <v>132</v>
      </c>
      <c r="Q274" s="2">
        <v>0</v>
      </c>
      <c r="R274" s="3">
        <f t="shared" si="12"/>
        <v>28143</v>
      </c>
      <c r="S274" s="3">
        <v>6773</v>
      </c>
      <c r="T274" s="3">
        <v>8873</v>
      </c>
      <c r="U274" s="5">
        <f t="shared" si="13"/>
        <v>12497</v>
      </c>
    </row>
    <row r="275" spans="1:21" ht="18.75" customHeight="1">
      <c r="A275" s="7" t="s">
        <v>17</v>
      </c>
      <c r="B275" s="10">
        <v>45200</v>
      </c>
      <c r="C275" s="2">
        <v>1810</v>
      </c>
      <c r="D275" s="2">
        <v>2410</v>
      </c>
      <c r="E275" s="2">
        <v>0</v>
      </c>
      <c r="F275" s="2">
        <v>3800</v>
      </c>
      <c r="G275" s="2">
        <v>2980</v>
      </c>
      <c r="H275" s="2">
        <v>0</v>
      </c>
      <c r="I275" s="2">
        <v>890</v>
      </c>
      <c r="J275" s="2">
        <v>0</v>
      </c>
      <c r="K275" s="2">
        <v>1600</v>
      </c>
      <c r="L275" s="2">
        <v>12733</v>
      </c>
      <c r="M275" s="2">
        <v>7748</v>
      </c>
      <c r="N275" s="2">
        <v>153</v>
      </c>
      <c r="O275" s="2">
        <v>0</v>
      </c>
      <c r="P275" s="2">
        <v>262</v>
      </c>
      <c r="Q275" s="2">
        <v>0</v>
      </c>
      <c r="R275" s="3">
        <f t="shared" si="12"/>
        <v>34386</v>
      </c>
      <c r="S275" s="3">
        <v>10383</v>
      </c>
      <c r="T275" s="3">
        <v>11782</v>
      </c>
      <c r="U275" s="5">
        <f t="shared" si="13"/>
        <v>12221</v>
      </c>
    </row>
    <row r="276" spans="1:21" ht="18.75" customHeight="1">
      <c r="A276" s="7" t="s">
        <v>18</v>
      </c>
      <c r="B276" s="10">
        <v>45201</v>
      </c>
      <c r="C276" s="2">
        <v>1420</v>
      </c>
      <c r="D276" s="2">
        <v>1450</v>
      </c>
      <c r="E276" s="2">
        <v>455</v>
      </c>
      <c r="F276" s="2">
        <v>3721</v>
      </c>
      <c r="G276" s="2">
        <v>2647</v>
      </c>
      <c r="H276" s="2">
        <v>0</v>
      </c>
      <c r="I276" s="2">
        <v>605</v>
      </c>
      <c r="J276" s="2">
        <v>0</v>
      </c>
      <c r="K276" s="2">
        <v>1375</v>
      </c>
      <c r="L276" s="2">
        <v>8163</v>
      </c>
      <c r="M276" s="2">
        <v>1685</v>
      </c>
      <c r="N276" s="2">
        <v>250</v>
      </c>
      <c r="O276" s="2">
        <v>150</v>
      </c>
      <c r="P276" s="2">
        <v>160</v>
      </c>
      <c r="Q276" s="2">
        <v>0</v>
      </c>
      <c r="R276" s="3">
        <f t="shared" si="12"/>
        <v>22081</v>
      </c>
      <c r="S276" s="3">
        <v>5801</v>
      </c>
      <c r="T276" s="3">
        <v>10235</v>
      </c>
      <c r="U276" s="5">
        <f t="shared" si="13"/>
        <v>6045</v>
      </c>
    </row>
    <row r="277" spans="1:21" ht="18.75" customHeight="1">
      <c r="A277" s="7" t="s">
        <v>19</v>
      </c>
      <c r="B277" s="10">
        <v>45202</v>
      </c>
      <c r="C277" s="2">
        <v>1530</v>
      </c>
      <c r="D277" s="2">
        <v>1370</v>
      </c>
      <c r="E277" s="2">
        <v>0</v>
      </c>
      <c r="F277" s="2">
        <v>1590</v>
      </c>
      <c r="G277" s="2">
        <v>2477</v>
      </c>
      <c r="H277" s="2">
        <v>0</v>
      </c>
      <c r="I277" s="2">
        <v>1165</v>
      </c>
      <c r="J277" s="2">
        <v>0</v>
      </c>
      <c r="K277" s="2">
        <v>1102</v>
      </c>
      <c r="L277" s="2">
        <v>5633</v>
      </c>
      <c r="M277" s="2">
        <v>2196</v>
      </c>
      <c r="N277" s="2">
        <v>60</v>
      </c>
      <c r="O277" s="2">
        <v>582</v>
      </c>
      <c r="P277" s="2">
        <v>0</v>
      </c>
      <c r="Q277" s="2">
        <v>0</v>
      </c>
      <c r="R277" s="3">
        <f t="shared" si="12"/>
        <v>17705</v>
      </c>
      <c r="S277" s="3">
        <v>5423</v>
      </c>
      <c r="T277" s="3">
        <v>10182</v>
      </c>
      <c r="U277" s="5">
        <f t="shared" si="13"/>
        <v>2100</v>
      </c>
    </row>
    <row r="278" spans="1:21" ht="18.75" customHeight="1">
      <c r="A278" s="7" t="s">
        <v>20</v>
      </c>
      <c r="B278" s="10">
        <v>45203</v>
      </c>
      <c r="C278" s="2">
        <v>1730</v>
      </c>
      <c r="D278" s="2">
        <v>1495</v>
      </c>
      <c r="E278" s="2">
        <v>0</v>
      </c>
      <c r="F278" s="2">
        <v>1905</v>
      </c>
      <c r="G278" s="2">
        <v>2240</v>
      </c>
      <c r="H278" s="2">
        <v>0</v>
      </c>
      <c r="I278" s="2">
        <v>665</v>
      </c>
      <c r="J278" s="2">
        <v>0</v>
      </c>
      <c r="K278" s="2">
        <v>875</v>
      </c>
      <c r="L278" s="2">
        <v>4655</v>
      </c>
      <c r="M278" s="2">
        <v>1117</v>
      </c>
      <c r="N278" s="2">
        <v>1031</v>
      </c>
      <c r="O278" s="2">
        <v>0</v>
      </c>
      <c r="P278" s="2">
        <v>0</v>
      </c>
      <c r="Q278" s="2">
        <v>0</v>
      </c>
      <c r="R278" s="3">
        <f t="shared" si="12"/>
        <v>15713</v>
      </c>
      <c r="S278" s="3">
        <v>5942</v>
      </c>
      <c r="T278" s="3">
        <v>10521</v>
      </c>
      <c r="U278" s="5">
        <f t="shared" si="13"/>
        <v>-750</v>
      </c>
    </row>
    <row r="279" spans="1:21" ht="18.75" customHeight="1">
      <c r="A279" s="7" t="s">
        <v>21</v>
      </c>
      <c r="B279" s="10">
        <v>45204</v>
      </c>
      <c r="C279" s="2">
        <v>1414</v>
      </c>
      <c r="D279" s="2">
        <v>1460</v>
      </c>
      <c r="E279" s="2">
        <v>450</v>
      </c>
      <c r="F279" s="2">
        <v>1810</v>
      </c>
      <c r="G279" s="2">
        <v>2854</v>
      </c>
      <c r="H279" s="2">
        <v>0</v>
      </c>
      <c r="I279" s="2">
        <v>940</v>
      </c>
      <c r="J279" s="2">
        <v>0</v>
      </c>
      <c r="K279" s="2">
        <v>970</v>
      </c>
      <c r="L279" s="2">
        <v>7550</v>
      </c>
      <c r="M279" s="2">
        <v>3482</v>
      </c>
      <c r="N279" s="2">
        <v>85</v>
      </c>
      <c r="O279" s="2">
        <v>0</v>
      </c>
      <c r="P279" s="2">
        <v>0</v>
      </c>
      <c r="Q279" s="2">
        <v>0</v>
      </c>
      <c r="R279" s="3">
        <f t="shared" ref="R279:R310" si="14">SUM(C279:Q279)</f>
        <v>21015</v>
      </c>
      <c r="S279" s="3">
        <v>6384</v>
      </c>
      <c r="T279" s="3">
        <v>8469</v>
      </c>
      <c r="U279" s="5">
        <f t="shared" si="13"/>
        <v>6162</v>
      </c>
    </row>
    <row r="280" spans="1:21" ht="18.75" customHeight="1">
      <c r="A280" s="7" t="s">
        <v>22</v>
      </c>
      <c r="B280" s="10">
        <v>45205</v>
      </c>
      <c r="C280" s="2">
        <v>1295</v>
      </c>
      <c r="D280" s="2">
        <v>1380</v>
      </c>
      <c r="E280" s="2">
        <v>0</v>
      </c>
      <c r="F280" s="2">
        <v>2970</v>
      </c>
      <c r="G280" s="2">
        <v>2806</v>
      </c>
      <c r="H280" s="2">
        <v>0</v>
      </c>
      <c r="I280" s="2">
        <v>735</v>
      </c>
      <c r="J280" s="2">
        <v>0</v>
      </c>
      <c r="K280" s="2">
        <v>1350</v>
      </c>
      <c r="L280" s="2">
        <v>8169</v>
      </c>
      <c r="M280" s="2">
        <v>3883</v>
      </c>
      <c r="N280" s="2">
        <v>280</v>
      </c>
      <c r="O280" s="2">
        <v>0</v>
      </c>
      <c r="P280" s="2">
        <v>0</v>
      </c>
      <c r="Q280" s="2">
        <v>0</v>
      </c>
      <c r="R280" s="3">
        <f t="shared" si="14"/>
        <v>22868</v>
      </c>
      <c r="S280" s="3">
        <v>6449</v>
      </c>
      <c r="T280" s="3">
        <v>10892</v>
      </c>
      <c r="U280" s="5">
        <f t="shared" si="13"/>
        <v>5527</v>
      </c>
    </row>
    <row r="281" spans="1:21" ht="18.75" customHeight="1">
      <c r="A281" s="7" t="s">
        <v>23</v>
      </c>
      <c r="B281" s="10">
        <v>45206</v>
      </c>
      <c r="C281" s="2">
        <v>1625</v>
      </c>
      <c r="D281" s="2">
        <v>535</v>
      </c>
      <c r="E281" s="2">
        <v>1005</v>
      </c>
      <c r="F281" s="2">
        <v>1950</v>
      </c>
      <c r="G281" s="2">
        <v>1914</v>
      </c>
      <c r="H281" s="2">
        <v>0</v>
      </c>
      <c r="I281" s="2">
        <v>1180</v>
      </c>
      <c r="J281" s="2">
        <v>0</v>
      </c>
      <c r="K281" s="2">
        <v>1833</v>
      </c>
      <c r="L281" s="2">
        <v>8029</v>
      </c>
      <c r="M281" s="2">
        <v>3265</v>
      </c>
      <c r="N281" s="2">
        <v>621</v>
      </c>
      <c r="O281" s="2">
        <v>380</v>
      </c>
      <c r="P281" s="2">
        <v>1364</v>
      </c>
      <c r="Q281" s="2">
        <v>0</v>
      </c>
      <c r="R281" s="3">
        <f t="shared" si="14"/>
        <v>23701</v>
      </c>
      <c r="S281" s="3">
        <v>7160</v>
      </c>
      <c r="T281" s="3">
        <v>9223</v>
      </c>
      <c r="U281" s="5">
        <f t="shared" si="13"/>
        <v>7318</v>
      </c>
    </row>
    <row r="282" spans="1:21" ht="18.75" customHeight="1">
      <c r="A282" s="7" t="s">
        <v>17</v>
      </c>
      <c r="B282" s="10">
        <v>45207</v>
      </c>
      <c r="C282" s="2">
        <v>1595</v>
      </c>
      <c r="D282" s="2">
        <v>2215</v>
      </c>
      <c r="E282" s="2">
        <v>0</v>
      </c>
      <c r="F282" s="2">
        <v>910</v>
      </c>
      <c r="G282" s="2">
        <v>2760.5</v>
      </c>
      <c r="H282" s="2">
        <v>0</v>
      </c>
      <c r="I282" s="2">
        <v>400</v>
      </c>
      <c r="J282" s="2">
        <v>0</v>
      </c>
      <c r="K282" s="2">
        <v>135</v>
      </c>
      <c r="L282" s="2">
        <v>8157</v>
      </c>
      <c r="M282" s="2">
        <v>8113</v>
      </c>
      <c r="N282" s="2">
        <v>0</v>
      </c>
      <c r="O282" s="2">
        <v>240</v>
      </c>
      <c r="P282" s="2">
        <v>958</v>
      </c>
      <c r="Q282" s="2">
        <v>0</v>
      </c>
      <c r="R282" s="3">
        <f t="shared" si="14"/>
        <v>25483.5</v>
      </c>
      <c r="S282" s="3">
        <v>7114</v>
      </c>
      <c r="T282" s="3">
        <v>7037</v>
      </c>
      <c r="U282" s="5">
        <f t="shared" si="13"/>
        <v>11332.5</v>
      </c>
    </row>
    <row r="283" spans="1:21" ht="18.75" customHeight="1">
      <c r="A283" s="7" t="s">
        <v>18</v>
      </c>
      <c r="B283" s="10">
        <v>45208</v>
      </c>
      <c r="C283" s="2">
        <v>1265</v>
      </c>
      <c r="D283" s="2">
        <v>920</v>
      </c>
      <c r="E283" s="2">
        <v>435</v>
      </c>
      <c r="F283" s="2">
        <v>2010</v>
      </c>
      <c r="G283" s="2">
        <v>2665</v>
      </c>
      <c r="H283" s="2">
        <v>0</v>
      </c>
      <c r="I283" s="2">
        <v>775</v>
      </c>
      <c r="J283" s="2">
        <v>0</v>
      </c>
      <c r="K283" s="2">
        <v>1325</v>
      </c>
      <c r="L283" s="2">
        <v>5527</v>
      </c>
      <c r="M283" s="2">
        <v>1747</v>
      </c>
      <c r="N283" s="2">
        <v>0</v>
      </c>
      <c r="O283" s="2">
        <v>0</v>
      </c>
      <c r="P283" s="2">
        <v>263</v>
      </c>
      <c r="Q283" s="2">
        <v>0</v>
      </c>
      <c r="R283" s="3">
        <f t="shared" si="14"/>
        <v>16932</v>
      </c>
      <c r="S283" s="3">
        <v>6382</v>
      </c>
      <c r="T283" s="3">
        <v>13118</v>
      </c>
      <c r="U283" s="5">
        <f t="shared" si="13"/>
        <v>-2568</v>
      </c>
    </row>
    <row r="284" spans="1:21" ht="18.75" customHeight="1">
      <c r="A284" s="7" t="s">
        <v>19</v>
      </c>
      <c r="B284" s="10">
        <v>45209</v>
      </c>
      <c r="C284" s="2">
        <v>1205</v>
      </c>
      <c r="D284" s="2">
        <v>1890</v>
      </c>
      <c r="E284" s="2">
        <v>950</v>
      </c>
      <c r="F284" s="2">
        <v>2380</v>
      </c>
      <c r="G284" s="2">
        <v>2470</v>
      </c>
      <c r="H284" s="2">
        <v>0</v>
      </c>
      <c r="I284" s="2">
        <v>420</v>
      </c>
      <c r="J284" s="2">
        <v>0</v>
      </c>
      <c r="K284" s="2">
        <v>1935</v>
      </c>
      <c r="L284" s="2">
        <v>3671</v>
      </c>
      <c r="M284" s="2">
        <v>2231</v>
      </c>
      <c r="N284" s="2">
        <v>351</v>
      </c>
      <c r="O284" s="2">
        <v>0</v>
      </c>
      <c r="P284" s="2">
        <v>119</v>
      </c>
      <c r="Q284" s="2">
        <v>0</v>
      </c>
      <c r="R284" s="3">
        <f t="shared" si="14"/>
        <v>17622</v>
      </c>
      <c r="S284" s="3">
        <v>5568</v>
      </c>
      <c r="T284" s="3">
        <v>6628</v>
      </c>
      <c r="U284" s="5">
        <f t="shared" si="13"/>
        <v>5426</v>
      </c>
    </row>
    <row r="285" spans="1:21" ht="18.75" customHeight="1">
      <c r="A285" s="7" t="s">
        <v>20</v>
      </c>
      <c r="B285" s="10">
        <v>45210</v>
      </c>
      <c r="C285" s="2">
        <v>1550</v>
      </c>
      <c r="D285" s="2">
        <v>955</v>
      </c>
      <c r="E285" s="2">
        <v>230</v>
      </c>
      <c r="F285" s="2">
        <v>2170</v>
      </c>
      <c r="G285" s="2">
        <v>2084</v>
      </c>
      <c r="H285" s="2">
        <v>0</v>
      </c>
      <c r="I285" s="2">
        <v>340</v>
      </c>
      <c r="J285" s="2">
        <v>0</v>
      </c>
      <c r="K285" s="2">
        <v>785</v>
      </c>
      <c r="L285" s="2">
        <v>7003</v>
      </c>
      <c r="M285" s="2">
        <v>3026</v>
      </c>
      <c r="N285" s="2">
        <v>380</v>
      </c>
      <c r="O285" s="2">
        <v>0</v>
      </c>
      <c r="P285" s="2">
        <v>0</v>
      </c>
      <c r="Q285" s="2">
        <v>0</v>
      </c>
      <c r="R285" s="3">
        <f t="shared" si="14"/>
        <v>18523</v>
      </c>
      <c r="S285" s="3">
        <v>5112</v>
      </c>
      <c r="T285" s="3">
        <v>7098</v>
      </c>
      <c r="U285" s="5">
        <f t="shared" si="13"/>
        <v>6313</v>
      </c>
    </row>
    <row r="286" spans="1:21" ht="18.75" customHeight="1">
      <c r="A286" s="7" t="s">
        <v>21</v>
      </c>
      <c r="B286" s="10">
        <v>45211</v>
      </c>
      <c r="C286" s="2">
        <v>1170</v>
      </c>
      <c r="D286" s="2">
        <v>960</v>
      </c>
      <c r="E286" s="2">
        <v>0</v>
      </c>
      <c r="F286" s="2">
        <v>2698</v>
      </c>
      <c r="G286" s="2">
        <v>2400</v>
      </c>
      <c r="H286" s="2">
        <v>0</v>
      </c>
      <c r="I286" s="2">
        <v>710</v>
      </c>
      <c r="J286" s="2">
        <v>0</v>
      </c>
      <c r="K286" s="2">
        <v>1520</v>
      </c>
      <c r="L286" s="2">
        <v>6753</v>
      </c>
      <c r="M286" s="2">
        <v>1595</v>
      </c>
      <c r="N286" s="2">
        <v>284</v>
      </c>
      <c r="O286" s="2">
        <v>0</v>
      </c>
      <c r="P286" s="2">
        <v>872</v>
      </c>
      <c r="Q286" s="2">
        <v>0</v>
      </c>
      <c r="R286" s="3">
        <f t="shared" si="14"/>
        <v>18962</v>
      </c>
      <c r="S286" s="3">
        <v>4945</v>
      </c>
      <c r="T286" s="3">
        <v>10703</v>
      </c>
      <c r="U286" s="5">
        <f t="shared" si="13"/>
        <v>3314</v>
      </c>
    </row>
    <row r="287" spans="1:21" ht="18.75" customHeight="1">
      <c r="A287" s="7" t="s">
        <v>22</v>
      </c>
      <c r="B287" s="10">
        <v>45212</v>
      </c>
      <c r="C287" s="2">
        <v>1615</v>
      </c>
      <c r="D287" s="2">
        <v>1300</v>
      </c>
      <c r="E287" s="2">
        <v>570</v>
      </c>
      <c r="F287" s="2">
        <v>1985</v>
      </c>
      <c r="G287" s="2">
        <v>2280</v>
      </c>
      <c r="H287" s="2">
        <v>0</v>
      </c>
      <c r="I287" s="2">
        <v>905</v>
      </c>
      <c r="J287" s="2">
        <v>0</v>
      </c>
      <c r="K287" s="2">
        <v>970</v>
      </c>
      <c r="L287" s="2">
        <v>4183</v>
      </c>
      <c r="M287" s="2">
        <v>3072</v>
      </c>
      <c r="N287" s="2">
        <v>738</v>
      </c>
      <c r="O287" s="2">
        <v>233</v>
      </c>
      <c r="P287" s="2">
        <v>0</v>
      </c>
      <c r="Q287" s="2">
        <v>0</v>
      </c>
      <c r="R287" s="3">
        <f t="shared" si="14"/>
        <v>17851</v>
      </c>
      <c r="S287" s="3">
        <v>4962</v>
      </c>
      <c r="T287" s="3">
        <v>9394</v>
      </c>
      <c r="U287" s="5">
        <f t="shared" si="13"/>
        <v>3495</v>
      </c>
    </row>
    <row r="288" spans="1:21" ht="18.75" customHeight="1">
      <c r="A288" s="7" t="s">
        <v>23</v>
      </c>
      <c r="B288" s="10">
        <v>45213</v>
      </c>
      <c r="C288" s="2">
        <v>1610</v>
      </c>
      <c r="D288" s="2">
        <v>1310</v>
      </c>
      <c r="E288" s="2">
        <v>1140</v>
      </c>
      <c r="F288" s="2">
        <v>1835</v>
      </c>
      <c r="G288" s="2">
        <v>3136</v>
      </c>
      <c r="H288" s="2">
        <v>0</v>
      </c>
      <c r="I288" s="2">
        <v>815</v>
      </c>
      <c r="J288" s="2">
        <v>0</v>
      </c>
      <c r="K288" s="2">
        <v>1620</v>
      </c>
      <c r="L288" s="2">
        <v>6130</v>
      </c>
      <c r="M288" s="2">
        <v>7443</v>
      </c>
      <c r="N288" s="2">
        <v>712</v>
      </c>
      <c r="O288" s="2">
        <v>0</v>
      </c>
      <c r="P288" s="2">
        <v>481</v>
      </c>
      <c r="Q288" s="2">
        <v>0</v>
      </c>
      <c r="R288" s="3">
        <f t="shared" si="14"/>
        <v>26232</v>
      </c>
      <c r="S288" s="3">
        <v>6673</v>
      </c>
      <c r="T288" s="3">
        <v>9082</v>
      </c>
      <c r="U288" s="5">
        <f t="shared" si="13"/>
        <v>10477</v>
      </c>
    </row>
    <row r="289" spans="1:21" ht="18.75" customHeight="1">
      <c r="A289" s="7" t="s">
        <v>17</v>
      </c>
      <c r="B289" s="10">
        <v>45214</v>
      </c>
      <c r="C289" s="2">
        <v>1105</v>
      </c>
      <c r="D289" s="2">
        <v>1070</v>
      </c>
      <c r="E289" s="2">
        <v>150</v>
      </c>
      <c r="F289" s="2">
        <v>695</v>
      </c>
      <c r="G289" s="2">
        <v>2254</v>
      </c>
      <c r="H289" s="2">
        <v>0</v>
      </c>
      <c r="I289" s="2">
        <v>685</v>
      </c>
      <c r="J289" s="2">
        <v>0</v>
      </c>
      <c r="K289" s="2">
        <v>560</v>
      </c>
      <c r="L289" s="2">
        <v>16812</v>
      </c>
      <c r="M289" s="2">
        <v>3741</v>
      </c>
      <c r="N289" s="2">
        <v>435</v>
      </c>
      <c r="O289" s="2">
        <v>619</v>
      </c>
      <c r="P289" s="2">
        <v>775</v>
      </c>
      <c r="Q289" s="2">
        <v>0</v>
      </c>
      <c r="R289" s="3">
        <f t="shared" si="14"/>
        <v>28901</v>
      </c>
      <c r="S289" s="3">
        <v>6615</v>
      </c>
      <c r="T289" s="3">
        <v>7878</v>
      </c>
      <c r="U289" s="5">
        <f t="shared" si="13"/>
        <v>14408</v>
      </c>
    </row>
    <row r="290" spans="1:21" ht="18.75" customHeight="1">
      <c r="A290" s="7" t="s">
        <v>18</v>
      </c>
      <c r="B290" s="10">
        <v>45215</v>
      </c>
      <c r="C290" s="2">
        <v>900</v>
      </c>
      <c r="D290" s="2">
        <v>1465</v>
      </c>
      <c r="E290" s="2">
        <v>515</v>
      </c>
      <c r="F290" s="2">
        <v>2175</v>
      </c>
      <c r="G290" s="2">
        <v>1729</v>
      </c>
      <c r="H290" s="2">
        <v>0</v>
      </c>
      <c r="I290" s="2">
        <v>1055</v>
      </c>
      <c r="J290" s="2">
        <v>0</v>
      </c>
      <c r="K290" s="2">
        <v>668</v>
      </c>
      <c r="L290" s="2">
        <v>8924</v>
      </c>
      <c r="M290" s="2">
        <v>2433</v>
      </c>
      <c r="N290" s="2">
        <v>0</v>
      </c>
      <c r="O290" s="2">
        <v>84</v>
      </c>
      <c r="P290" s="2">
        <v>645</v>
      </c>
      <c r="Q290" s="2">
        <v>0</v>
      </c>
      <c r="R290" s="3">
        <f t="shared" si="14"/>
        <v>20593</v>
      </c>
      <c r="S290" s="3">
        <v>4747</v>
      </c>
      <c r="T290" s="3">
        <v>10309</v>
      </c>
      <c r="U290" s="5">
        <f t="shared" si="13"/>
        <v>5537</v>
      </c>
    </row>
    <row r="291" spans="1:21" ht="18.75" customHeight="1">
      <c r="A291" s="7" t="s">
        <v>19</v>
      </c>
      <c r="B291" s="10">
        <v>45216</v>
      </c>
      <c r="C291" s="2">
        <v>1315</v>
      </c>
      <c r="D291" s="2">
        <v>1535</v>
      </c>
      <c r="E291" s="2">
        <v>0</v>
      </c>
      <c r="F291" s="2">
        <v>1805</v>
      </c>
      <c r="G291" s="2">
        <v>2480</v>
      </c>
      <c r="H291" s="2">
        <v>0</v>
      </c>
      <c r="I291" s="2">
        <v>305</v>
      </c>
      <c r="J291" s="2">
        <v>0</v>
      </c>
      <c r="K291" s="2">
        <v>705</v>
      </c>
      <c r="L291" s="2">
        <v>4975</v>
      </c>
      <c r="M291" s="2">
        <v>2205</v>
      </c>
      <c r="N291" s="2">
        <v>997</v>
      </c>
      <c r="O291" s="2">
        <v>0</v>
      </c>
      <c r="P291" s="2">
        <v>434</v>
      </c>
      <c r="Q291" s="2">
        <v>0</v>
      </c>
      <c r="R291" s="3">
        <f t="shared" si="14"/>
        <v>16756</v>
      </c>
      <c r="S291" s="3">
        <v>5060</v>
      </c>
      <c r="T291" s="3">
        <v>8952</v>
      </c>
      <c r="U291" s="5">
        <f t="shared" si="13"/>
        <v>2744</v>
      </c>
    </row>
    <row r="292" spans="1:21" ht="18.75" customHeight="1">
      <c r="A292" s="7" t="s">
        <v>20</v>
      </c>
      <c r="B292" s="10">
        <v>45217</v>
      </c>
      <c r="C292" s="2">
        <v>750</v>
      </c>
      <c r="D292" s="2">
        <v>1510</v>
      </c>
      <c r="E292" s="2">
        <v>515</v>
      </c>
      <c r="F292" s="2">
        <v>1102</v>
      </c>
      <c r="G292" s="2">
        <v>2724</v>
      </c>
      <c r="H292" s="2">
        <v>0</v>
      </c>
      <c r="I292" s="2">
        <v>590</v>
      </c>
      <c r="J292" s="2">
        <v>0</v>
      </c>
      <c r="K292" s="2">
        <v>1100</v>
      </c>
      <c r="L292" s="2">
        <v>3520</v>
      </c>
      <c r="M292" s="2">
        <v>3041</v>
      </c>
      <c r="N292" s="2">
        <v>367</v>
      </c>
      <c r="O292" s="2">
        <v>444</v>
      </c>
      <c r="P292" s="2">
        <v>159</v>
      </c>
      <c r="Q292" s="2">
        <v>0</v>
      </c>
      <c r="R292" s="3">
        <f t="shared" si="14"/>
        <v>15822</v>
      </c>
      <c r="S292" s="3">
        <v>5296</v>
      </c>
      <c r="T292" s="3">
        <v>7333</v>
      </c>
      <c r="U292" s="5">
        <f t="shared" si="13"/>
        <v>3193</v>
      </c>
    </row>
    <row r="293" spans="1:21" ht="18.75" customHeight="1">
      <c r="A293" s="7" t="s">
        <v>21</v>
      </c>
      <c r="B293" s="10">
        <v>45218</v>
      </c>
      <c r="C293" s="2">
        <v>1244</v>
      </c>
      <c r="D293" s="2">
        <v>1115</v>
      </c>
      <c r="E293" s="2">
        <v>375</v>
      </c>
      <c r="F293" s="2">
        <v>2450</v>
      </c>
      <c r="G293" s="2">
        <v>2533</v>
      </c>
      <c r="H293" s="2">
        <v>0</v>
      </c>
      <c r="I293" s="2">
        <v>1265</v>
      </c>
      <c r="J293" s="2">
        <v>0</v>
      </c>
      <c r="K293" s="2">
        <v>1228</v>
      </c>
      <c r="L293" s="2">
        <v>5824</v>
      </c>
      <c r="M293" s="2">
        <v>3405</v>
      </c>
      <c r="N293" s="2">
        <v>55</v>
      </c>
      <c r="O293" s="2">
        <v>0</v>
      </c>
      <c r="P293" s="2">
        <v>421</v>
      </c>
      <c r="Q293" s="2">
        <v>0</v>
      </c>
      <c r="R293" s="3">
        <f t="shared" si="14"/>
        <v>19915</v>
      </c>
      <c r="S293" s="3">
        <v>5580</v>
      </c>
      <c r="T293" s="3">
        <v>7762</v>
      </c>
      <c r="U293" s="5">
        <f t="shared" si="13"/>
        <v>6573</v>
      </c>
    </row>
    <row r="294" spans="1:21" ht="18.75" customHeight="1">
      <c r="A294" s="7" t="s">
        <v>22</v>
      </c>
      <c r="B294" s="10">
        <v>45219</v>
      </c>
      <c r="C294" s="2">
        <v>1820</v>
      </c>
      <c r="D294" s="2">
        <v>1270</v>
      </c>
      <c r="E294" s="2">
        <v>330</v>
      </c>
      <c r="F294" s="2">
        <v>1570</v>
      </c>
      <c r="G294" s="2">
        <v>2388</v>
      </c>
      <c r="H294" s="2">
        <v>0</v>
      </c>
      <c r="I294" s="2">
        <v>560</v>
      </c>
      <c r="J294" s="2">
        <v>0</v>
      </c>
      <c r="K294" s="2">
        <v>648</v>
      </c>
      <c r="L294" s="2">
        <v>6309</v>
      </c>
      <c r="M294" s="2">
        <v>4260</v>
      </c>
      <c r="N294" s="2">
        <v>652</v>
      </c>
      <c r="O294" s="2">
        <v>70</v>
      </c>
      <c r="P294" s="2">
        <v>80</v>
      </c>
      <c r="Q294" s="2">
        <v>0</v>
      </c>
      <c r="R294" s="3">
        <f t="shared" si="14"/>
        <v>19957</v>
      </c>
      <c r="S294" s="3">
        <v>5385</v>
      </c>
      <c r="T294" s="3">
        <v>7349</v>
      </c>
      <c r="U294" s="5">
        <f t="shared" si="13"/>
        <v>7223</v>
      </c>
    </row>
    <row r="295" spans="1:21" ht="18.75" customHeight="1">
      <c r="A295" s="7" t="s">
        <v>23</v>
      </c>
      <c r="B295" s="10">
        <v>45220</v>
      </c>
      <c r="C295" s="2">
        <v>2055</v>
      </c>
      <c r="D295" s="2">
        <v>1345</v>
      </c>
      <c r="E295" s="2">
        <v>410</v>
      </c>
      <c r="F295" s="2">
        <v>1735</v>
      </c>
      <c r="G295" s="2">
        <v>2947</v>
      </c>
      <c r="H295" s="2">
        <v>0</v>
      </c>
      <c r="I295" s="2">
        <v>1110</v>
      </c>
      <c r="J295" s="2">
        <v>0</v>
      </c>
      <c r="K295" s="2">
        <v>909</v>
      </c>
      <c r="L295" s="2">
        <v>7622</v>
      </c>
      <c r="M295" s="2">
        <v>4037</v>
      </c>
      <c r="N295" s="2">
        <v>383</v>
      </c>
      <c r="O295" s="2">
        <v>168</v>
      </c>
      <c r="P295" s="2">
        <v>890</v>
      </c>
      <c r="Q295" s="2">
        <v>0</v>
      </c>
      <c r="R295" s="3">
        <f t="shared" si="14"/>
        <v>23611</v>
      </c>
      <c r="S295" s="3">
        <v>6423</v>
      </c>
      <c r="T295" s="3">
        <v>13050</v>
      </c>
      <c r="U295" s="5">
        <f t="shared" si="13"/>
        <v>4138</v>
      </c>
    </row>
    <row r="296" spans="1:21" ht="18.75" customHeight="1">
      <c r="A296" s="7" t="s">
        <v>17</v>
      </c>
      <c r="B296" s="10">
        <v>45221</v>
      </c>
      <c r="C296" s="2">
        <v>2995</v>
      </c>
      <c r="D296" s="2">
        <v>1065</v>
      </c>
      <c r="E296" s="2">
        <v>228</v>
      </c>
      <c r="F296" s="2">
        <v>2765</v>
      </c>
      <c r="G296" s="2">
        <v>3590</v>
      </c>
      <c r="H296" s="2">
        <v>0</v>
      </c>
      <c r="I296" s="2">
        <v>560</v>
      </c>
      <c r="J296" s="2">
        <v>0</v>
      </c>
      <c r="K296" s="2">
        <v>800</v>
      </c>
      <c r="L296" s="2">
        <v>14632</v>
      </c>
      <c r="M296" s="2">
        <v>3229</v>
      </c>
      <c r="N296" s="2">
        <v>639</v>
      </c>
      <c r="O296" s="2">
        <v>234</v>
      </c>
      <c r="P296" s="2">
        <v>1540</v>
      </c>
      <c r="Q296" s="2">
        <v>0</v>
      </c>
      <c r="R296" s="3">
        <f t="shared" si="14"/>
        <v>32277</v>
      </c>
      <c r="S296" s="3">
        <v>10652</v>
      </c>
      <c r="T296" s="3">
        <v>10571</v>
      </c>
      <c r="U296" s="5">
        <f t="shared" si="13"/>
        <v>11054</v>
      </c>
    </row>
    <row r="297" spans="1:21" ht="18.75" customHeight="1">
      <c r="A297" s="7" t="s">
        <v>18</v>
      </c>
      <c r="B297" s="10">
        <v>45222</v>
      </c>
      <c r="C297" s="2">
        <v>1145</v>
      </c>
      <c r="D297" s="2">
        <v>1180</v>
      </c>
      <c r="E297" s="2">
        <v>0</v>
      </c>
      <c r="F297" s="2">
        <v>2260</v>
      </c>
      <c r="G297" s="2">
        <v>2386</v>
      </c>
      <c r="H297" s="2">
        <v>0</v>
      </c>
      <c r="I297" s="2">
        <v>1160</v>
      </c>
      <c r="J297" s="2">
        <v>0</v>
      </c>
      <c r="K297" s="2">
        <v>1370</v>
      </c>
      <c r="L297" s="2">
        <v>5554</v>
      </c>
      <c r="M297" s="2">
        <v>3109</v>
      </c>
      <c r="N297" s="2">
        <v>105</v>
      </c>
      <c r="O297" s="2">
        <v>536</v>
      </c>
      <c r="P297" s="2">
        <v>933</v>
      </c>
      <c r="Q297" s="2">
        <v>0</v>
      </c>
      <c r="R297" s="3">
        <f t="shared" si="14"/>
        <v>19738</v>
      </c>
      <c r="S297" s="3">
        <v>5285</v>
      </c>
      <c r="T297" s="3">
        <v>11468</v>
      </c>
      <c r="U297" s="5">
        <f t="shared" si="13"/>
        <v>2985</v>
      </c>
    </row>
    <row r="298" spans="1:21" ht="18.75" customHeight="1">
      <c r="A298" s="7" t="s">
        <v>19</v>
      </c>
      <c r="B298" s="10">
        <v>45223</v>
      </c>
      <c r="C298" s="2">
        <v>1295</v>
      </c>
      <c r="D298" s="2">
        <v>2070</v>
      </c>
      <c r="E298" s="2">
        <v>0</v>
      </c>
      <c r="F298" s="2">
        <v>1858</v>
      </c>
      <c r="G298" s="2">
        <v>2338</v>
      </c>
      <c r="H298" s="2">
        <v>0</v>
      </c>
      <c r="I298" s="2">
        <v>1215</v>
      </c>
      <c r="J298" s="2">
        <v>0</v>
      </c>
      <c r="K298" s="2">
        <v>953</v>
      </c>
      <c r="L298" s="2">
        <v>7350</v>
      </c>
      <c r="M298" s="2">
        <v>2133</v>
      </c>
      <c r="N298" s="2">
        <v>0</v>
      </c>
      <c r="O298" s="2">
        <v>102</v>
      </c>
      <c r="P298" s="2">
        <v>263</v>
      </c>
      <c r="Q298" s="2">
        <v>0</v>
      </c>
      <c r="R298" s="3">
        <f t="shared" si="14"/>
        <v>19577</v>
      </c>
      <c r="S298" s="3">
        <v>5660</v>
      </c>
      <c r="T298" s="3">
        <v>6160</v>
      </c>
      <c r="U298" s="5">
        <f t="shared" si="13"/>
        <v>7757</v>
      </c>
    </row>
    <row r="299" spans="1:21" ht="18.75" customHeight="1">
      <c r="A299" s="7" t="s">
        <v>20</v>
      </c>
      <c r="B299" s="10">
        <v>45224</v>
      </c>
      <c r="C299" s="2">
        <v>1960</v>
      </c>
      <c r="D299" s="2">
        <v>1460</v>
      </c>
      <c r="E299" s="2">
        <v>475</v>
      </c>
      <c r="F299" s="2">
        <v>2140</v>
      </c>
      <c r="G299" s="2">
        <v>2484</v>
      </c>
      <c r="H299" s="2">
        <v>814</v>
      </c>
      <c r="I299" s="2">
        <v>660</v>
      </c>
      <c r="J299" s="2">
        <v>0</v>
      </c>
      <c r="K299" s="2">
        <v>1054</v>
      </c>
      <c r="L299" s="2">
        <v>6499</v>
      </c>
      <c r="M299" s="2">
        <v>2824</v>
      </c>
      <c r="N299" s="2">
        <v>580</v>
      </c>
      <c r="O299" s="2">
        <v>0</v>
      </c>
      <c r="P299" s="2">
        <v>464</v>
      </c>
      <c r="Q299" s="2">
        <v>0</v>
      </c>
      <c r="R299" s="3">
        <f t="shared" si="14"/>
        <v>21414</v>
      </c>
      <c r="S299" s="3">
        <v>5310</v>
      </c>
      <c r="T299" s="3">
        <v>8148</v>
      </c>
      <c r="U299" s="5">
        <f t="shared" si="13"/>
        <v>7956</v>
      </c>
    </row>
    <row r="300" spans="1:21" ht="18.75" customHeight="1">
      <c r="A300" s="7" t="s">
        <v>21</v>
      </c>
      <c r="B300" s="10">
        <v>45225</v>
      </c>
      <c r="C300" s="2">
        <v>1500</v>
      </c>
      <c r="D300" s="2">
        <v>1200</v>
      </c>
      <c r="E300" s="2">
        <v>630</v>
      </c>
      <c r="F300" s="2">
        <v>1280</v>
      </c>
      <c r="G300" s="2">
        <v>2063</v>
      </c>
      <c r="H300" s="2">
        <v>330</v>
      </c>
      <c r="I300" s="2">
        <v>945</v>
      </c>
      <c r="J300" s="2">
        <v>0</v>
      </c>
      <c r="K300" s="2">
        <v>1206</v>
      </c>
      <c r="L300" s="2">
        <v>6268</v>
      </c>
      <c r="M300" s="2">
        <v>2538</v>
      </c>
      <c r="N300" s="2">
        <v>933</v>
      </c>
      <c r="O300" s="2">
        <v>0</v>
      </c>
      <c r="P300" s="2">
        <v>160</v>
      </c>
      <c r="Q300" s="2">
        <v>0</v>
      </c>
      <c r="R300" s="3">
        <f t="shared" si="14"/>
        <v>19053</v>
      </c>
      <c r="S300" s="3">
        <v>5840</v>
      </c>
      <c r="T300" s="3">
        <v>8598</v>
      </c>
      <c r="U300" s="5">
        <f t="shared" si="13"/>
        <v>4615</v>
      </c>
    </row>
    <row r="301" spans="1:21" ht="18.75" customHeight="1">
      <c r="A301" s="7" t="s">
        <v>22</v>
      </c>
      <c r="B301" s="10">
        <v>45226</v>
      </c>
      <c r="C301" s="2">
        <v>1870</v>
      </c>
      <c r="D301" s="2">
        <v>1230</v>
      </c>
      <c r="E301" s="2">
        <v>600</v>
      </c>
      <c r="F301" s="2">
        <v>2200</v>
      </c>
      <c r="G301" s="2">
        <v>1733</v>
      </c>
      <c r="H301" s="2">
        <v>425</v>
      </c>
      <c r="I301" s="2">
        <v>1095</v>
      </c>
      <c r="J301" s="2">
        <v>0</v>
      </c>
      <c r="K301" s="2">
        <v>1430</v>
      </c>
      <c r="L301" s="2">
        <v>4883</v>
      </c>
      <c r="M301" s="2">
        <v>3918</v>
      </c>
      <c r="N301" s="2">
        <v>641</v>
      </c>
      <c r="O301" s="2">
        <v>684</v>
      </c>
      <c r="P301" s="2">
        <v>93</v>
      </c>
      <c r="Q301" s="2">
        <v>0</v>
      </c>
      <c r="R301" s="3">
        <f t="shared" si="14"/>
        <v>20802</v>
      </c>
      <c r="S301" s="3">
        <v>5921</v>
      </c>
      <c r="T301" s="3">
        <v>9385</v>
      </c>
      <c r="U301" s="5">
        <f t="shared" si="13"/>
        <v>5496</v>
      </c>
    </row>
    <row r="302" spans="1:21" ht="18.75" customHeight="1">
      <c r="A302" s="7" t="s">
        <v>23</v>
      </c>
      <c r="B302" s="10">
        <v>45227</v>
      </c>
      <c r="C302" s="2">
        <v>2755</v>
      </c>
      <c r="D302" s="2">
        <v>2045</v>
      </c>
      <c r="E302" s="2">
        <v>265</v>
      </c>
      <c r="F302" s="2">
        <v>1805</v>
      </c>
      <c r="G302" s="2">
        <v>2038</v>
      </c>
      <c r="H302" s="2">
        <v>405</v>
      </c>
      <c r="I302" s="2">
        <v>1015</v>
      </c>
      <c r="J302" s="2">
        <v>0</v>
      </c>
      <c r="K302" s="2">
        <v>985</v>
      </c>
      <c r="L302" s="2">
        <v>5298</v>
      </c>
      <c r="M302" s="2">
        <v>3107</v>
      </c>
      <c r="N302" s="2">
        <v>1796</v>
      </c>
      <c r="O302" s="2">
        <v>0</v>
      </c>
      <c r="P302" s="2">
        <v>306</v>
      </c>
      <c r="Q302" s="2">
        <v>0</v>
      </c>
      <c r="R302" s="3">
        <f t="shared" si="14"/>
        <v>21820</v>
      </c>
      <c r="S302" s="3">
        <v>6154</v>
      </c>
      <c r="T302" s="3">
        <v>11364</v>
      </c>
      <c r="U302" s="5">
        <f t="shared" si="13"/>
        <v>4302</v>
      </c>
    </row>
    <row r="303" spans="1:21" ht="18.75" customHeight="1">
      <c r="A303" s="7" t="s">
        <v>17</v>
      </c>
      <c r="B303" s="10">
        <v>45228</v>
      </c>
      <c r="C303" s="2">
        <v>1855</v>
      </c>
      <c r="D303" s="2">
        <v>915</v>
      </c>
      <c r="E303" s="2">
        <v>0</v>
      </c>
      <c r="F303" s="2">
        <v>2605</v>
      </c>
      <c r="G303" s="2">
        <v>2240</v>
      </c>
      <c r="H303" s="2">
        <v>0</v>
      </c>
      <c r="I303" s="2">
        <v>595</v>
      </c>
      <c r="J303" s="2">
        <v>0</v>
      </c>
      <c r="K303" s="2">
        <v>585</v>
      </c>
      <c r="L303" s="2">
        <v>10752</v>
      </c>
      <c r="M303" s="2">
        <v>4200</v>
      </c>
      <c r="N303" s="2">
        <v>368</v>
      </c>
      <c r="O303" s="2">
        <v>285</v>
      </c>
      <c r="P303" s="2">
        <v>1273</v>
      </c>
      <c r="Q303" s="2">
        <v>0</v>
      </c>
      <c r="R303" s="3">
        <f t="shared" si="14"/>
        <v>25673</v>
      </c>
      <c r="S303" s="3">
        <v>6034</v>
      </c>
      <c r="T303" s="3">
        <v>7759</v>
      </c>
      <c r="U303" s="5">
        <f t="shared" si="13"/>
        <v>11880</v>
      </c>
    </row>
    <row r="304" spans="1:21" ht="18.75" customHeight="1">
      <c r="A304" s="7" t="s">
        <v>18</v>
      </c>
      <c r="B304" s="10">
        <v>45229</v>
      </c>
      <c r="C304" s="2">
        <v>1410</v>
      </c>
      <c r="D304" s="2">
        <v>1343</v>
      </c>
      <c r="E304" s="2">
        <v>0</v>
      </c>
      <c r="F304" s="2">
        <v>2834</v>
      </c>
      <c r="G304" s="2">
        <v>2298</v>
      </c>
      <c r="H304" s="2">
        <v>0</v>
      </c>
      <c r="I304" s="2">
        <v>780</v>
      </c>
      <c r="J304" s="2">
        <v>0</v>
      </c>
      <c r="K304" s="2">
        <v>990</v>
      </c>
      <c r="L304" s="2">
        <v>7486</v>
      </c>
      <c r="M304" s="2">
        <v>2871</v>
      </c>
      <c r="N304" s="2">
        <v>170</v>
      </c>
      <c r="O304" s="2">
        <v>0</v>
      </c>
      <c r="P304" s="2">
        <v>132</v>
      </c>
      <c r="Q304" s="2">
        <v>0</v>
      </c>
      <c r="R304" s="3">
        <f t="shared" si="14"/>
        <v>20314</v>
      </c>
      <c r="S304" s="3">
        <v>5180</v>
      </c>
      <c r="T304" s="3">
        <v>11902</v>
      </c>
      <c r="U304" s="5">
        <f t="shared" si="13"/>
        <v>3232</v>
      </c>
    </row>
    <row r="305" spans="1:21" ht="18.75" customHeight="1">
      <c r="A305" s="7" t="s">
        <v>19</v>
      </c>
      <c r="B305" s="10">
        <v>45230</v>
      </c>
      <c r="C305" s="2">
        <v>1330</v>
      </c>
      <c r="D305" s="2">
        <v>1060</v>
      </c>
      <c r="E305" s="2">
        <v>0</v>
      </c>
      <c r="F305" s="2">
        <v>1295</v>
      </c>
      <c r="G305" s="2">
        <v>840</v>
      </c>
      <c r="H305" s="2">
        <v>0</v>
      </c>
      <c r="I305" s="2">
        <v>1240</v>
      </c>
      <c r="J305" s="2">
        <v>0</v>
      </c>
      <c r="K305" s="2">
        <v>820</v>
      </c>
      <c r="L305" s="2">
        <v>7483</v>
      </c>
      <c r="M305" s="2">
        <v>957</v>
      </c>
      <c r="N305" s="2">
        <v>547</v>
      </c>
      <c r="O305" s="2">
        <v>660</v>
      </c>
      <c r="P305" s="2">
        <v>0</v>
      </c>
      <c r="Q305" s="2">
        <v>0</v>
      </c>
      <c r="R305" s="3">
        <f t="shared" si="14"/>
        <v>16232</v>
      </c>
      <c r="S305" s="3">
        <v>4460</v>
      </c>
      <c r="T305" s="3">
        <v>7993</v>
      </c>
      <c r="U305" s="5">
        <f t="shared" si="13"/>
        <v>3779</v>
      </c>
    </row>
    <row r="306" spans="1:21" ht="18.75" customHeight="1">
      <c r="A306" s="7" t="s">
        <v>20</v>
      </c>
      <c r="B306" s="10">
        <v>45231</v>
      </c>
      <c r="C306" s="2">
        <v>1108</v>
      </c>
      <c r="D306" s="2">
        <v>945</v>
      </c>
      <c r="E306" s="2">
        <v>0</v>
      </c>
      <c r="F306" s="2">
        <v>1990</v>
      </c>
      <c r="G306" s="2">
        <v>2233</v>
      </c>
      <c r="H306" s="2">
        <v>0</v>
      </c>
      <c r="I306" s="2">
        <v>965</v>
      </c>
      <c r="J306" s="2">
        <v>0</v>
      </c>
      <c r="K306" s="2">
        <v>1395</v>
      </c>
      <c r="L306" s="2">
        <v>7634</v>
      </c>
      <c r="M306" s="2">
        <v>2140</v>
      </c>
      <c r="N306" s="2">
        <v>241</v>
      </c>
      <c r="O306" s="2">
        <v>0</v>
      </c>
      <c r="P306" s="2">
        <v>0</v>
      </c>
      <c r="Q306" s="2">
        <v>511</v>
      </c>
      <c r="R306" s="3">
        <f t="shared" si="14"/>
        <v>19162</v>
      </c>
      <c r="S306" s="3">
        <v>5134</v>
      </c>
      <c r="T306" s="3">
        <v>6768</v>
      </c>
      <c r="U306" s="5">
        <f t="shared" si="13"/>
        <v>7260</v>
      </c>
    </row>
    <row r="307" spans="1:21" ht="18.75" customHeight="1">
      <c r="A307" s="7" t="s">
        <v>21</v>
      </c>
      <c r="B307" s="10">
        <v>45232</v>
      </c>
      <c r="C307" s="2">
        <v>2214</v>
      </c>
      <c r="D307" s="2">
        <v>1030</v>
      </c>
      <c r="E307" s="2">
        <v>0</v>
      </c>
      <c r="F307" s="2">
        <v>2250</v>
      </c>
      <c r="G307" s="2">
        <v>1606</v>
      </c>
      <c r="H307" s="2">
        <v>0</v>
      </c>
      <c r="I307" s="2">
        <v>1020</v>
      </c>
      <c r="J307" s="2">
        <v>0</v>
      </c>
      <c r="K307" s="2">
        <v>545</v>
      </c>
      <c r="L307" s="2">
        <v>8777</v>
      </c>
      <c r="M307" s="2">
        <v>2598</v>
      </c>
      <c r="N307" s="2">
        <v>562</v>
      </c>
      <c r="O307" s="2">
        <v>0</v>
      </c>
      <c r="P307" s="2">
        <v>128</v>
      </c>
      <c r="Q307" s="2">
        <v>0</v>
      </c>
      <c r="R307" s="3">
        <f t="shared" si="14"/>
        <v>20730</v>
      </c>
      <c r="S307" s="3">
        <v>5592</v>
      </c>
      <c r="T307" s="3">
        <v>11257</v>
      </c>
      <c r="U307" s="5">
        <f t="shared" si="13"/>
        <v>3881</v>
      </c>
    </row>
    <row r="308" spans="1:21" ht="18.75" customHeight="1">
      <c r="A308" s="7" t="s">
        <v>22</v>
      </c>
      <c r="B308" s="10">
        <v>45233</v>
      </c>
      <c r="C308" s="2">
        <v>1080</v>
      </c>
      <c r="D308" s="2">
        <v>755</v>
      </c>
      <c r="E308" s="2">
        <v>435</v>
      </c>
      <c r="F308" s="2">
        <v>2045</v>
      </c>
      <c r="G308" s="2">
        <v>1900</v>
      </c>
      <c r="H308" s="2">
        <v>0</v>
      </c>
      <c r="I308" s="2">
        <v>845</v>
      </c>
      <c r="J308" s="2">
        <v>0</v>
      </c>
      <c r="K308" s="2">
        <v>870</v>
      </c>
      <c r="L308" s="2">
        <v>5423</v>
      </c>
      <c r="M308" s="2">
        <v>4833</v>
      </c>
      <c r="N308" s="2">
        <v>783</v>
      </c>
      <c r="O308" s="2">
        <v>0</v>
      </c>
      <c r="P308" s="2">
        <v>300</v>
      </c>
      <c r="Q308" s="2">
        <v>0</v>
      </c>
      <c r="R308" s="3">
        <f t="shared" si="14"/>
        <v>19269</v>
      </c>
      <c r="S308" s="3">
        <v>5567</v>
      </c>
      <c r="T308" s="3">
        <v>8991</v>
      </c>
      <c r="U308" s="5">
        <f t="shared" si="13"/>
        <v>4711</v>
      </c>
    </row>
    <row r="309" spans="1:21" ht="18.75" customHeight="1">
      <c r="A309" s="7" t="s">
        <v>23</v>
      </c>
      <c r="B309" s="10">
        <v>45234</v>
      </c>
      <c r="C309" s="2">
        <v>2130</v>
      </c>
      <c r="D309" s="2">
        <v>1325</v>
      </c>
      <c r="E309" s="2">
        <v>800</v>
      </c>
      <c r="F309" s="2">
        <v>1765</v>
      </c>
      <c r="G309" s="2">
        <v>2050</v>
      </c>
      <c r="H309" s="2">
        <v>0</v>
      </c>
      <c r="I309" s="2">
        <v>665</v>
      </c>
      <c r="J309" s="2">
        <v>0</v>
      </c>
      <c r="K309" s="2">
        <v>845</v>
      </c>
      <c r="L309" s="2">
        <v>9970</v>
      </c>
      <c r="M309" s="2">
        <v>2309</v>
      </c>
      <c r="N309" s="2">
        <v>214</v>
      </c>
      <c r="O309" s="2">
        <v>444</v>
      </c>
      <c r="P309" s="2">
        <v>410</v>
      </c>
      <c r="Q309" s="2">
        <v>0</v>
      </c>
      <c r="R309" s="3">
        <f t="shared" si="14"/>
        <v>22927</v>
      </c>
      <c r="S309" s="3">
        <v>6425</v>
      </c>
      <c r="T309" s="3">
        <v>12684</v>
      </c>
      <c r="U309" s="5">
        <f t="shared" si="13"/>
        <v>3818</v>
      </c>
    </row>
    <row r="310" spans="1:21" ht="18.75" customHeight="1">
      <c r="A310" s="7" t="s">
        <v>17</v>
      </c>
      <c r="B310" s="10">
        <v>45235</v>
      </c>
      <c r="C310" s="2">
        <v>1164</v>
      </c>
      <c r="D310" s="2">
        <v>1395</v>
      </c>
      <c r="E310" s="2">
        <v>0</v>
      </c>
      <c r="F310" s="2">
        <v>1965</v>
      </c>
      <c r="G310" s="2">
        <v>2276</v>
      </c>
      <c r="H310" s="2">
        <v>0</v>
      </c>
      <c r="I310" s="2">
        <v>995</v>
      </c>
      <c r="J310" s="2">
        <v>0</v>
      </c>
      <c r="K310" s="2">
        <v>915</v>
      </c>
      <c r="L310" s="2">
        <v>14865</v>
      </c>
      <c r="M310" s="2">
        <v>7081</v>
      </c>
      <c r="N310" s="2">
        <v>0</v>
      </c>
      <c r="O310" s="2">
        <v>1247</v>
      </c>
      <c r="P310" s="2">
        <v>1543</v>
      </c>
      <c r="Q310" s="2">
        <v>0</v>
      </c>
      <c r="R310" s="3">
        <f t="shared" si="14"/>
        <v>33446</v>
      </c>
      <c r="S310" s="3">
        <v>9368</v>
      </c>
      <c r="T310" s="3">
        <v>8918</v>
      </c>
      <c r="U310" s="5">
        <f t="shared" si="13"/>
        <v>15160</v>
      </c>
    </row>
    <row r="311" spans="1:21" ht="18.75" customHeight="1">
      <c r="A311" s="7" t="s">
        <v>18</v>
      </c>
      <c r="B311" s="10">
        <v>45236</v>
      </c>
      <c r="C311" s="2">
        <v>1860</v>
      </c>
      <c r="D311" s="2">
        <v>935</v>
      </c>
      <c r="E311" s="2">
        <v>365</v>
      </c>
      <c r="F311" s="2">
        <v>2450</v>
      </c>
      <c r="G311" s="2">
        <v>1730</v>
      </c>
      <c r="H311" s="2">
        <v>0</v>
      </c>
      <c r="I311" s="2">
        <v>1114</v>
      </c>
      <c r="J311" s="2">
        <v>0</v>
      </c>
      <c r="K311" s="2">
        <v>645</v>
      </c>
      <c r="L311" s="2">
        <v>6426</v>
      </c>
      <c r="M311" s="2">
        <v>3295</v>
      </c>
      <c r="N311" s="2">
        <v>0</v>
      </c>
      <c r="O311" s="2">
        <v>0</v>
      </c>
      <c r="P311" s="2">
        <v>190</v>
      </c>
      <c r="Q311" s="2">
        <v>0</v>
      </c>
      <c r="R311" s="3">
        <f t="shared" ref="R311:R342" si="15">SUM(C311:Q311)</f>
        <v>19010</v>
      </c>
      <c r="S311" s="3">
        <v>5135</v>
      </c>
      <c r="T311" s="3">
        <v>10155</v>
      </c>
      <c r="U311" s="5">
        <f t="shared" si="13"/>
        <v>3720</v>
      </c>
    </row>
    <row r="312" spans="1:21" ht="18.75" customHeight="1">
      <c r="A312" s="7" t="s">
        <v>19</v>
      </c>
      <c r="B312" s="10">
        <v>45237</v>
      </c>
      <c r="C312" s="2">
        <v>1845</v>
      </c>
      <c r="D312" s="2">
        <v>1195</v>
      </c>
      <c r="E312" s="2">
        <v>0</v>
      </c>
      <c r="F312" s="2">
        <v>1735</v>
      </c>
      <c r="G312" s="2">
        <v>2024.5</v>
      </c>
      <c r="H312" s="2">
        <v>0</v>
      </c>
      <c r="I312" s="2">
        <v>700</v>
      </c>
      <c r="J312" s="2">
        <v>0</v>
      </c>
      <c r="K312" s="2">
        <v>915</v>
      </c>
      <c r="L312" s="2">
        <v>6574</v>
      </c>
      <c r="M312" s="2">
        <v>2049</v>
      </c>
      <c r="N312" s="2">
        <v>512</v>
      </c>
      <c r="O312" s="2">
        <v>0</v>
      </c>
      <c r="P312" s="2">
        <v>392</v>
      </c>
      <c r="Q312" s="2">
        <v>0</v>
      </c>
      <c r="R312" s="3">
        <f t="shared" si="15"/>
        <v>17941.5</v>
      </c>
      <c r="S312" s="3">
        <v>5271</v>
      </c>
      <c r="T312" s="3">
        <v>9803</v>
      </c>
      <c r="U312" s="5">
        <f t="shared" si="13"/>
        <v>2867.5</v>
      </c>
    </row>
    <row r="313" spans="1:21" ht="18.75" customHeight="1">
      <c r="A313" s="7" t="s">
        <v>20</v>
      </c>
      <c r="B313" s="10">
        <v>45238</v>
      </c>
      <c r="C313" s="2">
        <v>740</v>
      </c>
      <c r="D313" s="2">
        <v>1550</v>
      </c>
      <c r="E313" s="2">
        <v>0</v>
      </c>
      <c r="F313" s="2">
        <v>2459</v>
      </c>
      <c r="G313" s="2">
        <v>1570</v>
      </c>
      <c r="H313" s="2">
        <v>0</v>
      </c>
      <c r="I313" s="2">
        <v>1330</v>
      </c>
      <c r="J313" s="2">
        <v>0</v>
      </c>
      <c r="K313" s="2">
        <v>865</v>
      </c>
      <c r="L313" s="2">
        <v>6253</v>
      </c>
      <c r="M313" s="2">
        <v>4911</v>
      </c>
      <c r="N313" s="2">
        <v>445</v>
      </c>
      <c r="O313" s="2">
        <v>125</v>
      </c>
      <c r="P313" s="2">
        <v>0</v>
      </c>
      <c r="Q313" s="2">
        <v>0</v>
      </c>
      <c r="R313" s="3">
        <f t="shared" si="15"/>
        <v>20248</v>
      </c>
      <c r="S313" s="3">
        <v>5431</v>
      </c>
      <c r="T313" s="3">
        <v>8758</v>
      </c>
      <c r="U313" s="5">
        <f t="shared" si="13"/>
        <v>6059</v>
      </c>
    </row>
    <row r="314" spans="1:21" ht="18.75" customHeight="1">
      <c r="A314" s="7" t="s">
        <v>21</v>
      </c>
      <c r="B314" s="10">
        <v>45239</v>
      </c>
      <c r="C314" s="2">
        <v>1230</v>
      </c>
      <c r="D314" s="2">
        <v>1585</v>
      </c>
      <c r="E314" s="2">
        <v>680</v>
      </c>
      <c r="F314" s="2">
        <v>2125</v>
      </c>
      <c r="G314" s="2">
        <v>1756</v>
      </c>
      <c r="H314" s="2">
        <v>0</v>
      </c>
      <c r="I314" s="2">
        <v>700</v>
      </c>
      <c r="J314" s="2">
        <v>0</v>
      </c>
      <c r="K314" s="2">
        <v>1101</v>
      </c>
      <c r="L314" s="2">
        <v>4728</v>
      </c>
      <c r="M314" s="2">
        <v>4202</v>
      </c>
      <c r="N314" s="2">
        <v>521</v>
      </c>
      <c r="O314" s="2">
        <v>38</v>
      </c>
      <c r="P314" s="2">
        <v>185</v>
      </c>
      <c r="Q314" s="2">
        <v>0</v>
      </c>
      <c r="R314" s="3">
        <f t="shared" si="15"/>
        <v>18851</v>
      </c>
      <c r="S314" s="3">
        <v>6374</v>
      </c>
      <c r="T314" s="3">
        <v>9741</v>
      </c>
      <c r="U314" s="5">
        <f t="shared" si="13"/>
        <v>2736</v>
      </c>
    </row>
    <row r="315" spans="1:21" ht="18.75" customHeight="1">
      <c r="A315" s="7" t="s">
        <v>22</v>
      </c>
      <c r="B315" s="10">
        <v>45240</v>
      </c>
      <c r="C315" s="2">
        <v>1880</v>
      </c>
      <c r="D315" s="2">
        <v>1575</v>
      </c>
      <c r="E315" s="2">
        <v>520</v>
      </c>
      <c r="F315" s="2">
        <v>2405</v>
      </c>
      <c r="G315" s="2">
        <v>2192</v>
      </c>
      <c r="H315" s="2">
        <v>445</v>
      </c>
      <c r="I315" s="2">
        <v>1785</v>
      </c>
      <c r="J315" s="2">
        <v>0</v>
      </c>
      <c r="K315" s="2">
        <v>1297</v>
      </c>
      <c r="L315" s="2">
        <v>7607</v>
      </c>
      <c r="M315" s="2">
        <v>5527</v>
      </c>
      <c r="N315" s="2">
        <v>260</v>
      </c>
      <c r="O315" s="2">
        <v>142</v>
      </c>
      <c r="P315" s="2">
        <v>515</v>
      </c>
      <c r="Q315" s="2">
        <v>0</v>
      </c>
      <c r="R315" s="3">
        <f t="shared" si="15"/>
        <v>26150</v>
      </c>
      <c r="S315" s="3">
        <v>6514</v>
      </c>
      <c r="T315" s="3">
        <v>15521</v>
      </c>
      <c r="U315" s="5">
        <f t="shared" si="13"/>
        <v>4115</v>
      </c>
    </row>
    <row r="316" spans="1:21" ht="18.75" customHeight="1">
      <c r="A316" s="7" t="s">
        <v>23</v>
      </c>
      <c r="B316" s="10">
        <v>45241</v>
      </c>
      <c r="C316" s="2">
        <v>1643</v>
      </c>
      <c r="D316" s="2">
        <v>1410</v>
      </c>
      <c r="E316" s="2">
        <v>0</v>
      </c>
      <c r="F316" s="2">
        <v>2745</v>
      </c>
      <c r="G316" s="2">
        <v>2310</v>
      </c>
      <c r="H316" s="2">
        <v>0</v>
      </c>
      <c r="I316" s="2">
        <v>590</v>
      </c>
      <c r="J316" s="2">
        <v>0</v>
      </c>
      <c r="K316" s="2">
        <v>1705</v>
      </c>
      <c r="L316" s="2">
        <v>6431</v>
      </c>
      <c r="M316" s="2">
        <v>3044</v>
      </c>
      <c r="N316" s="2">
        <v>511</v>
      </c>
      <c r="O316" s="2">
        <v>194</v>
      </c>
      <c r="P316" s="2">
        <v>410</v>
      </c>
      <c r="Q316" s="2">
        <v>0</v>
      </c>
      <c r="R316" s="3">
        <f t="shared" si="15"/>
        <v>20993</v>
      </c>
      <c r="S316" s="3">
        <v>6677</v>
      </c>
      <c r="T316" s="3">
        <v>10198</v>
      </c>
      <c r="U316" s="5">
        <f t="shared" si="13"/>
        <v>4118</v>
      </c>
    </row>
    <row r="317" spans="1:21" ht="18.75" customHeight="1">
      <c r="A317" s="7" t="s">
        <v>17</v>
      </c>
      <c r="B317" s="10">
        <v>45242</v>
      </c>
      <c r="C317" s="2">
        <v>1925</v>
      </c>
      <c r="D317" s="2">
        <v>0</v>
      </c>
      <c r="E317" s="2">
        <v>0</v>
      </c>
      <c r="F317" s="2">
        <v>2310</v>
      </c>
      <c r="G317" s="2">
        <v>4271</v>
      </c>
      <c r="H317" s="2">
        <v>0</v>
      </c>
      <c r="I317" s="2">
        <v>770</v>
      </c>
      <c r="J317" s="2">
        <v>0</v>
      </c>
      <c r="K317" s="2">
        <v>580</v>
      </c>
      <c r="L317" s="2">
        <v>14186</v>
      </c>
      <c r="M317" s="2">
        <v>1874</v>
      </c>
      <c r="N317" s="2">
        <v>575</v>
      </c>
      <c r="O317" s="2">
        <v>146</v>
      </c>
      <c r="P317" s="2">
        <v>364</v>
      </c>
      <c r="Q317" s="2">
        <v>0</v>
      </c>
      <c r="R317" s="3">
        <f t="shared" si="15"/>
        <v>27001</v>
      </c>
      <c r="S317" s="3">
        <v>10175</v>
      </c>
      <c r="T317" s="3">
        <v>7098</v>
      </c>
      <c r="U317" s="5">
        <f t="shared" si="13"/>
        <v>9728</v>
      </c>
    </row>
    <row r="318" spans="1:21" ht="18.75" customHeight="1">
      <c r="A318" s="7" t="s">
        <v>18</v>
      </c>
      <c r="B318" s="10">
        <v>45243</v>
      </c>
      <c r="C318" s="2">
        <v>1050</v>
      </c>
      <c r="D318" s="2">
        <v>1310</v>
      </c>
      <c r="E318" s="2">
        <v>490</v>
      </c>
      <c r="F318" s="2">
        <v>2060</v>
      </c>
      <c r="G318" s="2">
        <v>2510</v>
      </c>
      <c r="H318" s="2">
        <v>0</v>
      </c>
      <c r="I318" s="2">
        <v>1025</v>
      </c>
      <c r="J318" s="2">
        <v>0</v>
      </c>
      <c r="K318" s="2">
        <v>990</v>
      </c>
      <c r="L318" s="2">
        <v>8311</v>
      </c>
      <c r="M318" s="2">
        <v>3052</v>
      </c>
      <c r="N318" s="2">
        <v>288</v>
      </c>
      <c r="O318" s="2">
        <v>0</v>
      </c>
      <c r="P318" s="2">
        <v>136</v>
      </c>
      <c r="Q318" s="2">
        <v>0</v>
      </c>
      <c r="R318" s="3">
        <f t="shared" si="15"/>
        <v>21222</v>
      </c>
      <c r="S318" s="3">
        <v>5895</v>
      </c>
      <c r="T318" s="3">
        <v>13019</v>
      </c>
      <c r="U318" s="5">
        <f t="shared" si="13"/>
        <v>2308</v>
      </c>
    </row>
    <row r="319" spans="1:21" ht="18.75" customHeight="1">
      <c r="A319" s="7" t="s">
        <v>19</v>
      </c>
      <c r="B319" s="10">
        <v>45244</v>
      </c>
      <c r="C319" s="2">
        <v>1300</v>
      </c>
      <c r="D319" s="2">
        <v>1570</v>
      </c>
      <c r="E319" s="2">
        <v>410</v>
      </c>
      <c r="F319" s="2">
        <v>1000</v>
      </c>
      <c r="G319" s="2">
        <v>2325</v>
      </c>
      <c r="H319" s="2">
        <v>0</v>
      </c>
      <c r="I319" s="2">
        <v>890</v>
      </c>
      <c r="J319" s="2">
        <v>0</v>
      </c>
      <c r="K319" s="2">
        <v>1120</v>
      </c>
      <c r="L319" s="2">
        <v>7111</v>
      </c>
      <c r="M319" s="2">
        <v>2904</v>
      </c>
      <c r="N319" s="2">
        <v>629</v>
      </c>
      <c r="O319" s="2">
        <v>280</v>
      </c>
      <c r="P319" s="2">
        <v>136</v>
      </c>
      <c r="Q319" s="2">
        <v>0</v>
      </c>
      <c r="R319" s="3">
        <f t="shared" si="15"/>
        <v>19675</v>
      </c>
      <c r="S319" s="3">
        <v>5450</v>
      </c>
      <c r="T319" s="3">
        <v>8065</v>
      </c>
      <c r="U319" s="5">
        <f t="shared" si="13"/>
        <v>6160</v>
      </c>
    </row>
    <row r="320" spans="1:21" ht="18.75" customHeight="1">
      <c r="A320" s="7" t="s">
        <v>20</v>
      </c>
      <c r="B320" s="10">
        <v>45245</v>
      </c>
      <c r="C320" s="2">
        <v>1600</v>
      </c>
      <c r="D320" s="2">
        <v>1430</v>
      </c>
      <c r="E320" s="2">
        <v>0</v>
      </c>
      <c r="F320" s="2">
        <v>2760</v>
      </c>
      <c r="G320" s="2">
        <v>1091</v>
      </c>
      <c r="H320" s="2">
        <v>0</v>
      </c>
      <c r="I320" s="2">
        <v>628</v>
      </c>
      <c r="J320" s="2">
        <v>0</v>
      </c>
      <c r="K320" s="2">
        <v>1690</v>
      </c>
      <c r="L320" s="2">
        <v>8372</v>
      </c>
      <c r="M320" s="2">
        <v>1984</v>
      </c>
      <c r="N320" s="2">
        <v>320</v>
      </c>
      <c r="O320" s="2">
        <v>0</v>
      </c>
      <c r="P320" s="2">
        <v>169</v>
      </c>
      <c r="Q320" s="2">
        <v>0</v>
      </c>
      <c r="R320" s="3">
        <f t="shared" si="15"/>
        <v>20044</v>
      </c>
      <c r="S320" s="3">
        <v>5305</v>
      </c>
      <c r="T320" s="3">
        <v>8086</v>
      </c>
      <c r="U320" s="5">
        <f t="shared" si="13"/>
        <v>6653</v>
      </c>
    </row>
    <row r="321" spans="1:21" ht="18.75" customHeight="1">
      <c r="A321" s="7" t="s">
        <v>21</v>
      </c>
      <c r="B321" s="10">
        <v>45246</v>
      </c>
      <c r="C321" s="2">
        <v>1145</v>
      </c>
      <c r="D321" s="2">
        <v>1080</v>
      </c>
      <c r="E321" s="2">
        <v>400</v>
      </c>
      <c r="F321" s="2">
        <v>1910</v>
      </c>
      <c r="G321" s="2">
        <v>2600</v>
      </c>
      <c r="H321" s="2">
        <v>0</v>
      </c>
      <c r="I321" s="2">
        <v>890</v>
      </c>
      <c r="J321" s="2">
        <v>0</v>
      </c>
      <c r="K321" s="2">
        <v>990</v>
      </c>
      <c r="L321" s="2">
        <v>5407</v>
      </c>
      <c r="M321" s="2">
        <v>3864</v>
      </c>
      <c r="N321" s="2">
        <v>621</v>
      </c>
      <c r="O321" s="2">
        <v>0</v>
      </c>
      <c r="P321" s="2">
        <v>357</v>
      </c>
      <c r="Q321" s="2">
        <v>0</v>
      </c>
      <c r="R321" s="3">
        <f t="shared" si="15"/>
        <v>19264</v>
      </c>
      <c r="S321" s="3">
        <v>4800</v>
      </c>
      <c r="T321" s="3">
        <v>8630</v>
      </c>
      <c r="U321" s="5">
        <f t="shared" si="13"/>
        <v>5834</v>
      </c>
    </row>
    <row r="322" spans="1:21" ht="18.75" customHeight="1">
      <c r="A322" s="7" t="s">
        <v>22</v>
      </c>
      <c r="B322" s="10">
        <v>45247</v>
      </c>
      <c r="C322" s="2">
        <v>908</v>
      </c>
      <c r="D322" s="2">
        <v>930</v>
      </c>
      <c r="E322" s="2">
        <v>460</v>
      </c>
      <c r="F322" s="2">
        <v>2300</v>
      </c>
      <c r="G322" s="2">
        <v>2246</v>
      </c>
      <c r="H322" s="2">
        <v>0</v>
      </c>
      <c r="I322" s="2">
        <v>1250</v>
      </c>
      <c r="J322" s="2">
        <v>0</v>
      </c>
      <c r="K322" s="2">
        <v>1280</v>
      </c>
      <c r="L322" s="2">
        <v>7981</v>
      </c>
      <c r="M322" s="2">
        <v>3318</v>
      </c>
      <c r="N322" s="2">
        <v>495</v>
      </c>
      <c r="O322" s="2">
        <v>102</v>
      </c>
      <c r="P322" s="2">
        <v>638</v>
      </c>
      <c r="Q322" s="2">
        <v>0</v>
      </c>
      <c r="R322" s="3">
        <f t="shared" si="15"/>
        <v>21908</v>
      </c>
      <c r="S322" s="3">
        <v>6982</v>
      </c>
      <c r="T322" s="3">
        <v>11216</v>
      </c>
      <c r="U322" s="5">
        <f t="shared" si="13"/>
        <v>3710</v>
      </c>
    </row>
    <row r="323" spans="1:21" ht="18.75" customHeight="1">
      <c r="A323" s="7" t="s">
        <v>23</v>
      </c>
      <c r="B323" s="10">
        <v>45248</v>
      </c>
      <c r="C323" s="2">
        <v>1525</v>
      </c>
      <c r="D323" s="2">
        <v>1330</v>
      </c>
      <c r="E323" s="2">
        <v>740</v>
      </c>
      <c r="F323" s="2">
        <v>3580</v>
      </c>
      <c r="G323" s="2">
        <v>2696</v>
      </c>
      <c r="H323" s="2">
        <v>0</v>
      </c>
      <c r="I323" s="2">
        <v>840</v>
      </c>
      <c r="J323" s="2">
        <v>0</v>
      </c>
      <c r="K323" s="2">
        <v>980</v>
      </c>
      <c r="L323" s="2">
        <v>10678</v>
      </c>
      <c r="M323" s="2">
        <v>5569</v>
      </c>
      <c r="N323" s="2">
        <v>1443</v>
      </c>
      <c r="O323" s="2">
        <v>0</v>
      </c>
      <c r="P323" s="2">
        <v>100</v>
      </c>
      <c r="Q323" s="2">
        <v>0</v>
      </c>
      <c r="R323" s="3">
        <f t="shared" si="15"/>
        <v>29481</v>
      </c>
      <c r="S323" s="3">
        <v>6808</v>
      </c>
      <c r="T323" s="3">
        <v>15494</v>
      </c>
      <c r="U323" s="5">
        <f t="shared" ref="U323:U366" si="16">R323-S323-T323</f>
        <v>7179</v>
      </c>
    </row>
    <row r="324" spans="1:21" ht="18.75" customHeight="1">
      <c r="A324" s="7" t="s">
        <v>17</v>
      </c>
      <c r="B324" s="10">
        <v>45249</v>
      </c>
      <c r="C324" s="2">
        <v>1280</v>
      </c>
      <c r="D324" s="2">
        <v>910</v>
      </c>
      <c r="E324" s="2">
        <v>720</v>
      </c>
      <c r="F324" s="2">
        <v>2600</v>
      </c>
      <c r="G324" s="2">
        <v>3260</v>
      </c>
      <c r="H324" s="2">
        <v>0</v>
      </c>
      <c r="I324" s="2">
        <v>540</v>
      </c>
      <c r="J324" s="2">
        <v>0</v>
      </c>
      <c r="K324" s="2">
        <v>650</v>
      </c>
      <c r="L324" s="2">
        <v>17326</v>
      </c>
      <c r="M324" s="2">
        <v>7292</v>
      </c>
      <c r="N324" s="2">
        <v>756</v>
      </c>
      <c r="O324" s="2">
        <v>200</v>
      </c>
      <c r="P324" s="2">
        <v>831</v>
      </c>
      <c r="Q324" s="2">
        <v>0</v>
      </c>
      <c r="R324" s="3">
        <f t="shared" si="15"/>
        <v>36365</v>
      </c>
      <c r="S324" s="3">
        <v>10089</v>
      </c>
      <c r="T324" s="3">
        <v>8327</v>
      </c>
      <c r="U324" s="5">
        <f t="shared" si="16"/>
        <v>17949</v>
      </c>
    </row>
    <row r="325" spans="1:21" ht="18.75" customHeight="1">
      <c r="A325" s="7" t="s">
        <v>18</v>
      </c>
      <c r="B325" s="10">
        <v>45250</v>
      </c>
      <c r="C325" s="2">
        <v>1750</v>
      </c>
      <c r="D325" s="2">
        <v>2180</v>
      </c>
      <c r="E325" s="2">
        <v>1130</v>
      </c>
      <c r="F325" s="2">
        <v>2805</v>
      </c>
      <c r="G325" s="2">
        <v>1800</v>
      </c>
      <c r="H325" s="2">
        <v>0</v>
      </c>
      <c r="I325" s="2">
        <v>660</v>
      </c>
      <c r="J325" s="2">
        <v>0</v>
      </c>
      <c r="K325" s="2">
        <v>940</v>
      </c>
      <c r="L325" s="2">
        <v>13803</v>
      </c>
      <c r="M325" s="2">
        <v>6153</v>
      </c>
      <c r="N325" s="2">
        <v>401</v>
      </c>
      <c r="O325" s="2">
        <v>93</v>
      </c>
      <c r="P325" s="2">
        <v>200</v>
      </c>
      <c r="Q325" s="2">
        <v>0</v>
      </c>
      <c r="R325" s="3">
        <f t="shared" si="15"/>
        <v>31915</v>
      </c>
      <c r="S325" s="3">
        <v>6627</v>
      </c>
      <c r="T325" s="3">
        <v>12651</v>
      </c>
      <c r="U325" s="5">
        <f t="shared" si="16"/>
        <v>12637</v>
      </c>
    </row>
    <row r="326" spans="1:21" ht="18.75" customHeight="1">
      <c r="A326" s="7" t="s">
        <v>19</v>
      </c>
      <c r="B326" s="10">
        <v>45251</v>
      </c>
      <c r="C326" s="2">
        <v>1410</v>
      </c>
      <c r="D326" s="2">
        <v>1770</v>
      </c>
      <c r="E326" s="2">
        <v>0</v>
      </c>
      <c r="F326" s="2">
        <v>1770</v>
      </c>
      <c r="G326" s="2">
        <v>2580</v>
      </c>
      <c r="H326" s="2">
        <v>0</v>
      </c>
      <c r="I326" s="2">
        <v>840</v>
      </c>
      <c r="J326" s="2">
        <v>0</v>
      </c>
      <c r="K326" s="2">
        <v>980</v>
      </c>
      <c r="L326" s="2">
        <v>7047</v>
      </c>
      <c r="M326" s="2">
        <v>3914</v>
      </c>
      <c r="N326" s="2">
        <v>60</v>
      </c>
      <c r="O326" s="2">
        <v>0</v>
      </c>
      <c r="P326" s="2">
        <v>0</v>
      </c>
      <c r="Q326" s="2">
        <v>0</v>
      </c>
      <c r="R326" s="3">
        <f t="shared" si="15"/>
        <v>20371</v>
      </c>
      <c r="S326" s="3">
        <v>4765</v>
      </c>
      <c r="T326" s="3">
        <v>11189</v>
      </c>
      <c r="U326" s="5">
        <f t="shared" si="16"/>
        <v>4417</v>
      </c>
    </row>
    <row r="327" spans="1:21" ht="18.75" customHeight="1">
      <c r="A327" s="7" t="s">
        <v>20</v>
      </c>
      <c r="B327" s="10">
        <v>45252</v>
      </c>
      <c r="C327" s="2">
        <v>1641</v>
      </c>
      <c r="D327" s="2">
        <v>1010</v>
      </c>
      <c r="E327" s="2">
        <v>220</v>
      </c>
      <c r="F327" s="2">
        <v>2760</v>
      </c>
      <c r="G327" s="2">
        <v>1432</v>
      </c>
      <c r="H327" s="2">
        <v>0</v>
      </c>
      <c r="I327" s="2">
        <v>700</v>
      </c>
      <c r="J327" s="2">
        <v>0</v>
      </c>
      <c r="K327" s="2">
        <v>1595</v>
      </c>
      <c r="L327" s="2">
        <v>6430</v>
      </c>
      <c r="M327" s="2">
        <v>3238</v>
      </c>
      <c r="N327" s="2">
        <v>627</v>
      </c>
      <c r="O327" s="2">
        <v>0</v>
      </c>
      <c r="P327" s="2">
        <v>420</v>
      </c>
      <c r="Q327" s="2">
        <v>0</v>
      </c>
      <c r="R327" s="3">
        <f t="shared" si="15"/>
        <v>20073</v>
      </c>
      <c r="S327" s="3">
        <v>6308</v>
      </c>
      <c r="T327" s="3">
        <v>10208</v>
      </c>
      <c r="U327" s="5">
        <f t="shared" si="16"/>
        <v>3557</v>
      </c>
    </row>
    <row r="328" spans="1:21" ht="18.75" customHeight="1">
      <c r="A328" s="7" t="s">
        <v>21</v>
      </c>
      <c r="B328" s="10">
        <v>45253</v>
      </c>
      <c r="C328" s="2">
        <v>1820</v>
      </c>
      <c r="D328" s="2">
        <v>2100</v>
      </c>
      <c r="E328" s="2">
        <v>390</v>
      </c>
      <c r="F328" s="2">
        <v>2690</v>
      </c>
      <c r="G328" s="2">
        <v>2616</v>
      </c>
      <c r="H328" s="2">
        <v>0</v>
      </c>
      <c r="I328" s="2">
        <v>535</v>
      </c>
      <c r="J328" s="2">
        <v>0</v>
      </c>
      <c r="K328" s="2">
        <v>1210</v>
      </c>
      <c r="L328" s="2">
        <v>6740</v>
      </c>
      <c r="M328" s="2">
        <v>3327</v>
      </c>
      <c r="N328" s="2">
        <v>1198</v>
      </c>
      <c r="O328" s="2">
        <v>0</v>
      </c>
      <c r="P328" s="2">
        <v>359</v>
      </c>
      <c r="Q328" s="2">
        <v>0</v>
      </c>
      <c r="R328" s="3">
        <f t="shared" si="15"/>
        <v>22985</v>
      </c>
      <c r="S328" s="3">
        <v>4945</v>
      </c>
      <c r="T328" s="3">
        <v>8876</v>
      </c>
      <c r="U328" s="5">
        <f t="shared" si="16"/>
        <v>9164</v>
      </c>
    </row>
    <row r="329" spans="1:21" ht="18.75" customHeight="1">
      <c r="A329" s="7" t="s">
        <v>22</v>
      </c>
      <c r="B329" s="10">
        <v>45254</v>
      </c>
      <c r="C329" s="2">
        <v>2320</v>
      </c>
      <c r="D329" s="2">
        <v>1970</v>
      </c>
      <c r="E329" s="2">
        <v>640</v>
      </c>
      <c r="F329" s="2">
        <v>2930</v>
      </c>
      <c r="G329" s="2">
        <v>2392</v>
      </c>
      <c r="H329" s="2">
        <v>0</v>
      </c>
      <c r="I329" s="2">
        <v>839</v>
      </c>
      <c r="J329" s="2">
        <v>0</v>
      </c>
      <c r="K329" s="2">
        <v>1320</v>
      </c>
      <c r="L329" s="2">
        <v>5108</v>
      </c>
      <c r="M329" s="2">
        <v>4457</v>
      </c>
      <c r="N329" s="2">
        <v>528</v>
      </c>
      <c r="O329" s="2">
        <v>0</v>
      </c>
      <c r="P329" s="2">
        <v>332</v>
      </c>
      <c r="Q329" s="2">
        <v>0</v>
      </c>
      <c r="R329" s="3">
        <f t="shared" si="15"/>
        <v>22836</v>
      </c>
      <c r="S329" s="3">
        <v>5787</v>
      </c>
      <c r="T329" s="3">
        <v>10963</v>
      </c>
      <c r="U329" s="5">
        <f t="shared" si="16"/>
        <v>6086</v>
      </c>
    </row>
    <row r="330" spans="1:21" ht="18.75" customHeight="1">
      <c r="A330" s="7" t="s">
        <v>23</v>
      </c>
      <c r="B330" s="10">
        <v>45255</v>
      </c>
      <c r="C330" s="2">
        <v>1220</v>
      </c>
      <c r="D330" s="2">
        <v>980</v>
      </c>
      <c r="E330" s="2">
        <v>1360</v>
      </c>
      <c r="F330" s="2">
        <v>541</v>
      </c>
      <c r="G330" s="2">
        <v>2826</v>
      </c>
      <c r="H330" s="2">
        <v>0</v>
      </c>
      <c r="I330" s="2">
        <v>720</v>
      </c>
      <c r="J330" s="2">
        <v>0</v>
      </c>
      <c r="K330" s="2">
        <v>1715</v>
      </c>
      <c r="L330" s="2">
        <v>9112</v>
      </c>
      <c r="M330" s="2">
        <v>3038</v>
      </c>
      <c r="N330" s="2">
        <v>215</v>
      </c>
      <c r="O330" s="2">
        <v>0</v>
      </c>
      <c r="P330" s="2">
        <v>164</v>
      </c>
      <c r="Q330" s="2">
        <v>0</v>
      </c>
      <c r="R330" s="3">
        <f t="shared" si="15"/>
        <v>21891</v>
      </c>
      <c r="S330" s="3">
        <v>6367</v>
      </c>
      <c r="T330" s="3">
        <v>8325</v>
      </c>
      <c r="U330" s="5">
        <f t="shared" si="16"/>
        <v>7199</v>
      </c>
    </row>
    <row r="331" spans="1:21" ht="18.75" customHeight="1">
      <c r="A331" s="7" t="s">
        <v>17</v>
      </c>
      <c r="B331" s="10">
        <v>45256</v>
      </c>
      <c r="C331" s="2">
        <v>2335</v>
      </c>
      <c r="D331" s="2">
        <v>2120</v>
      </c>
      <c r="E331" s="2">
        <v>0</v>
      </c>
      <c r="F331" s="2">
        <v>2230</v>
      </c>
      <c r="G331" s="2">
        <v>3811</v>
      </c>
      <c r="H331" s="2">
        <v>0</v>
      </c>
      <c r="I331" s="2">
        <v>885</v>
      </c>
      <c r="J331" s="2">
        <v>0</v>
      </c>
      <c r="K331" s="2">
        <v>570</v>
      </c>
      <c r="L331" s="2">
        <v>14239</v>
      </c>
      <c r="M331" s="2">
        <v>4418</v>
      </c>
      <c r="N331" s="2">
        <v>393</v>
      </c>
      <c r="O331" s="2">
        <v>346</v>
      </c>
      <c r="P331" s="2">
        <v>754</v>
      </c>
      <c r="Q331" s="2">
        <v>0</v>
      </c>
      <c r="R331" s="3">
        <f t="shared" si="15"/>
        <v>32101</v>
      </c>
      <c r="S331" s="3">
        <v>5747</v>
      </c>
      <c r="T331" s="3">
        <v>9094</v>
      </c>
      <c r="U331" s="5">
        <f t="shared" si="16"/>
        <v>17260</v>
      </c>
    </row>
    <row r="332" spans="1:21" ht="18.75" customHeight="1">
      <c r="A332" s="7" t="s">
        <v>18</v>
      </c>
      <c r="B332" s="10">
        <v>45257</v>
      </c>
      <c r="C332" s="2">
        <v>1160</v>
      </c>
      <c r="D332" s="2">
        <v>1090</v>
      </c>
      <c r="E332" s="2">
        <v>690</v>
      </c>
      <c r="F332" s="2">
        <v>2836.5</v>
      </c>
      <c r="G332" s="2">
        <v>1890</v>
      </c>
      <c r="H332" s="2">
        <v>0</v>
      </c>
      <c r="I332" s="2">
        <v>850</v>
      </c>
      <c r="J332" s="2">
        <v>0</v>
      </c>
      <c r="K332" s="2">
        <v>1880</v>
      </c>
      <c r="L332" s="2">
        <v>6817</v>
      </c>
      <c r="M332" s="2">
        <v>2590</v>
      </c>
      <c r="N332" s="2">
        <v>904</v>
      </c>
      <c r="O332" s="2">
        <v>85</v>
      </c>
      <c r="P332" s="2">
        <v>318</v>
      </c>
      <c r="Q332" s="2">
        <v>0</v>
      </c>
      <c r="R332" s="3">
        <f t="shared" si="15"/>
        <v>21110.5</v>
      </c>
      <c r="S332" s="3">
        <v>5313</v>
      </c>
      <c r="T332" s="3">
        <v>12314</v>
      </c>
      <c r="U332" s="5">
        <f t="shared" si="16"/>
        <v>3483.5</v>
      </c>
    </row>
    <row r="333" spans="1:21" ht="18.75" customHeight="1">
      <c r="A333" s="7" t="s">
        <v>19</v>
      </c>
      <c r="B333" s="10">
        <v>45258</v>
      </c>
      <c r="C333" s="2">
        <v>885</v>
      </c>
      <c r="D333" s="2">
        <v>1465</v>
      </c>
      <c r="E333" s="2">
        <v>0</v>
      </c>
      <c r="F333" s="2">
        <v>1245</v>
      </c>
      <c r="G333" s="2">
        <v>2690</v>
      </c>
      <c r="H333" s="2">
        <v>0</v>
      </c>
      <c r="I333" s="2">
        <v>1005</v>
      </c>
      <c r="J333" s="2">
        <v>0</v>
      </c>
      <c r="K333" s="2">
        <v>1222</v>
      </c>
      <c r="L333" s="2">
        <v>6666</v>
      </c>
      <c r="M333" s="2">
        <v>2230</v>
      </c>
      <c r="N333" s="2">
        <v>0</v>
      </c>
      <c r="O333" s="2">
        <v>0</v>
      </c>
      <c r="P333" s="2">
        <v>0</v>
      </c>
      <c r="Q333" s="2">
        <v>0</v>
      </c>
      <c r="R333" s="3">
        <f t="shared" si="15"/>
        <v>17408</v>
      </c>
      <c r="S333" s="3">
        <v>4890</v>
      </c>
      <c r="T333" s="3">
        <v>9395</v>
      </c>
      <c r="U333" s="5">
        <f t="shared" si="16"/>
        <v>3123</v>
      </c>
    </row>
    <row r="334" spans="1:21" ht="18.75" customHeight="1">
      <c r="A334" s="7" t="s">
        <v>20</v>
      </c>
      <c r="B334" s="10">
        <v>45259</v>
      </c>
      <c r="C334" s="2">
        <v>1530</v>
      </c>
      <c r="D334" s="2">
        <v>1115</v>
      </c>
      <c r="E334" s="2">
        <v>0</v>
      </c>
      <c r="F334" s="2">
        <v>1646</v>
      </c>
      <c r="G334" s="2">
        <v>2550</v>
      </c>
      <c r="H334" s="2">
        <v>0</v>
      </c>
      <c r="I334" s="2">
        <v>520</v>
      </c>
      <c r="J334" s="2">
        <v>0</v>
      </c>
      <c r="K334" s="2">
        <v>1520</v>
      </c>
      <c r="L334" s="2">
        <v>5632</v>
      </c>
      <c r="M334" s="2">
        <v>2412</v>
      </c>
      <c r="N334" s="2">
        <v>250</v>
      </c>
      <c r="O334" s="2">
        <v>0</v>
      </c>
      <c r="P334" s="2">
        <v>123</v>
      </c>
      <c r="Q334" s="2">
        <v>0</v>
      </c>
      <c r="R334" s="3">
        <f t="shared" si="15"/>
        <v>17298</v>
      </c>
      <c r="S334" s="3">
        <v>5113</v>
      </c>
      <c r="T334" s="3">
        <v>5837</v>
      </c>
      <c r="U334" s="5">
        <f t="shared" si="16"/>
        <v>6348</v>
      </c>
    </row>
    <row r="335" spans="1:21" ht="18.75" customHeight="1">
      <c r="A335" s="7" t="s">
        <v>21</v>
      </c>
      <c r="B335" s="10">
        <v>45260</v>
      </c>
      <c r="C335" s="2">
        <v>2014.5</v>
      </c>
      <c r="D335" s="2">
        <v>1677</v>
      </c>
      <c r="E335" s="2">
        <v>820</v>
      </c>
      <c r="F335" s="2">
        <v>1680</v>
      </c>
      <c r="G335" s="2">
        <v>1902</v>
      </c>
      <c r="H335" s="2">
        <v>0</v>
      </c>
      <c r="I335" s="2">
        <v>1160</v>
      </c>
      <c r="J335" s="2">
        <v>0</v>
      </c>
      <c r="K335" s="2">
        <v>1440</v>
      </c>
      <c r="L335" s="2">
        <v>6328</v>
      </c>
      <c r="M335" s="2">
        <v>1521</v>
      </c>
      <c r="N335" s="2">
        <v>95</v>
      </c>
      <c r="O335" s="2">
        <v>0</v>
      </c>
      <c r="P335" s="2">
        <v>0</v>
      </c>
      <c r="Q335" s="2">
        <v>0</v>
      </c>
      <c r="R335" s="3">
        <f t="shared" si="15"/>
        <v>18637.5</v>
      </c>
      <c r="S335" s="3">
        <v>6916</v>
      </c>
      <c r="T335" s="3">
        <v>7045</v>
      </c>
      <c r="U335" s="5">
        <f t="shared" si="16"/>
        <v>4676.5</v>
      </c>
    </row>
    <row r="336" spans="1:21" ht="18.75" customHeight="1">
      <c r="A336" s="7" t="s">
        <v>22</v>
      </c>
      <c r="B336" s="10">
        <v>45261</v>
      </c>
      <c r="C336" s="2">
        <v>1860</v>
      </c>
      <c r="D336" s="2">
        <v>1915</v>
      </c>
      <c r="E336" s="2">
        <v>530</v>
      </c>
      <c r="F336" s="2">
        <v>2675</v>
      </c>
      <c r="G336" s="2">
        <v>1331</v>
      </c>
      <c r="H336" s="2">
        <v>0</v>
      </c>
      <c r="I336" s="2">
        <v>1300</v>
      </c>
      <c r="J336" s="2">
        <v>0</v>
      </c>
      <c r="K336" s="2">
        <v>2100</v>
      </c>
      <c r="L336" s="2">
        <v>8376</v>
      </c>
      <c r="M336" s="2">
        <v>2886</v>
      </c>
      <c r="N336" s="2">
        <v>1325</v>
      </c>
      <c r="O336" s="2">
        <v>156</v>
      </c>
      <c r="P336" s="2">
        <v>644</v>
      </c>
      <c r="Q336" s="2">
        <v>0</v>
      </c>
      <c r="R336" s="3">
        <f t="shared" si="15"/>
        <v>25098</v>
      </c>
      <c r="S336" s="3">
        <v>5540</v>
      </c>
      <c r="T336" s="3">
        <v>10138</v>
      </c>
      <c r="U336" s="5">
        <f t="shared" si="16"/>
        <v>9420</v>
      </c>
    </row>
    <row r="337" spans="1:21" ht="18.75" customHeight="1">
      <c r="A337" s="7" t="s">
        <v>23</v>
      </c>
      <c r="B337" s="10">
        <v>45262</v>
      </c>
      <c r="C337" s="2">
        <v>1180</v>
      </c>
      <c r="D337" s="2">
        <v>1880</v>
      </c>
      <c r="E337" s="2">
        <v>605</v>
      </c>
      <c r="F337" s="2">
        <v>2235</v>
      </c>
      <c r="G337" s="2">
        <v>2826</v>
      </c>
      <c r="H337" s="2">
        <v>0</v>
      </c>
      <c r="I337" s="2">
        <v>550</v>
      </c>
      <c r="J337" s="2">
        <v>0</v>
      </c>
      <c r="K337" s="2">
        <v>1790</v>
      </c>
      <c r="L337" s="2">
        <v>10224</v>
      </c>
      <c r="M337" s="2">
        <v>3327</v>
      </c>
      <c r="N337" s="2">
        <v>825</v>
      </c>
      <c r="O337" s="2">
        <v>807</v>
      </c>
      <c r="P337" s="2">
        <v>710</v>
      </c>
      <c r="Q337" s="2">
        <v>0</v>
      </c>
      <c r="R337" s="3">
        <f t="shared" si="15"/>
        <v>26959</v>
      </c>
      <c r="S337" s="3">
        <v>5885</v>
      </c>
      <c r="T337" s="3">
        <v>16161</v>
      </c>
      <c r="U337" s="5">
        <f t="shared" si="16"/>
        <v>4913</v>
      </c>
    </row>
    <row r="338" spans="1:21" ht="18.75" customHeight="1">
      <c r="A338" s="7" t="s">
        <v>17</v>
      </c>
      <c r="B338" s="10">
        <v>45263</v>
      </c>
      <c r="C338" s="2">
        <v>1855</v>
      </c>
      <c r="D338" s="2">
        <v>965</v>
      </c>
      <c r="E338" s="2">
        <v>0</v>
      </c>
      <c r="F338" s="2">
        <v>1775</v>
      </c>
      <c r="G338" s="2">
        <v>1904</v>
      </c>
      <c r="H338" s="2">
        <v>0</v>
      </c>
      <c r="I338" s="2">
        <v>485</v>
      </c>
      <c r="J338" s="2">
        <v>0</v>
      </c>
      <c r="K338" s="2">
        <v>1095</v>
      </c>
      <c r="L338" s="2">
        <v>10462</v>
      </c>
      <c r="M338" s="2">
        <v>4367</v>
      </c>
      <c r="N338" s="2">
        <v>640</v>
      </c>
      <c r="O338" s="2">
        <v>298</v>
      </c>
      <c r="P338" s="2">
        <v>624</v>
      </c>
      <c r="Q338" s="2">
        <v>0</v>
      </c>
      <c r="R338" s="3">
        <f t="shared" si="15"/>
        <v>24470</v>
      </c>
      <c r="S338" s="3">
        <v>6170</v>
      </c>
      <c r="T338" s="3">
        <v>7349</v>
      </c>
      <c r="U338" s="5">
        <f t="shared" si="16"/>
        <v>10951</v>
      </c>
    </row>
    <row r="339" spans="1:21" ht="18.75" customHeight="1">
      <c r="A339" s="7" t="s">
        <v>18</v>
      </c>
      <c r="B339" s="10">
        <v>45264</v>
      </c>
      <c r="C339" s="2">
        <v>2169</v>
      </c>
      <c r="D339" s="2">
        <v>1560</v>
      </c>
      <c r="E339" s="2">
        <v>0</v>
      </c>
      <c r="F339" s="2">
        <v>2978</v>
      </c>
      <c r="G339" s="2">
        <v>2144</v>
      </c>
      <c r="H339" s="2">
        <v>0</v>
      </c>
      <c r="I339" s="2">
        <v>505</v>
      </c>
      <c r="J339" s="2">
        <v>0</v>
      </c>
      <c r="K339" s="2">
        <v>1465</v>
      </c>
      <c r="L339" s="2">
        <v>7781</v>
      </c>
      <c r="M339" s="2">
        <v>4142</v>
      </c>
      <c r="N339" s="2">
        <v>624</v>
      </c>
      <c r="O339" s="2">
        <v>459</v>
      </c>
      <c r="P339" s="2">
        <v>366</v>
      </c>
      <c r="Q339" s="2">
        <v>0</v>
      </c>
      <c r="R339" s="3">
        <f t="shared" si="15"/>
        <v>24193</v>
      </c>
      <c r="S339" s="3">
        <v>5464</v>
      </c>
      <c r="T339" s="3">
        <v>9683</v>
      </c>
      <c r="U339" s="5">
        <f t="shared" si="16"/>
        <v>9046</v>
      </c>
    </row>
    <row r="340" spans="1:21" ht="18.75" customHeight="1">
      <c r="A340" s="7" t="s">
        <v>19</v>
      </c>
      <c r="B340" s="10">
        <v>45265</v>
      </c>
      <c r="C340" s="2">
        <v>1395</v>
      </c>
      <c r="D340" s="2">
        <v>2137</v>
      </c>
      <c r="E340" s="2">
        <v>295</v>
      </c>
      <c r="F340" s="2">
        <v>295</v>
      </c>
      <c r="G340" s="2">
        <v>2360</v>
      </c>
      <c r="H340" s="2">
        <v>0</v>
      </c>
      <c r="I340" s="2">
        <v>455</v>
      </c>
      <c r="J340" s="2">
        <v>0</v>
      </c>
      <c r="K340" s="2">
        <v>1947</v>
      </c>
      <c r="L340" s="2">
        <v>10055</v>
      </c>
      <c r="M340" s="2">
        <v>3717</v>
      </c>
      <c r="N340" s="2">
        <v>527</v>
      </c>
      <c r="O340" s="2">
        <v>350</v>
      </c>
      <c r="P340" s="2">
        <v>0</v>
      </c>
      <c r="Q340" s="2">
        <v>0</v>
      </c>
      <c r="R340" s="3">
        <f t="shared" si="15"/>
        <v>23533</v>
      </c>
      <c r="S340" s="3">
        <v>5399</v>
      </c>
      <c r="T340" s="3">
        <v>7984</v>
      </c>
      <c r="U340" s="5">
        <f t="shared" si="16"/>
        <v>10150</v>
      </c>
    </row>
    <row r="341" spans="1:21" ht="18.75" customHeight="1">
      <c r="A341" s="7" t="s">
        <v>20</v>
      </c>
      <c r="B341" s="10">
        <v>45266</v>
      </c>
      <c r="C341" s="2">
        <v>1560</v>
      </c>
      <c r="D341" s="2">
        <v>1431</v>
      </c>
      <c r="E341" s="2">
        <v>644</v>
      </c>
      <c r="F341" s="2">
        <v>1970</v>
      </c>
      <c r="G341" s="2">
        <v>2236</v>
      </c>
      <c r="H341" s="2">
        <v>0</v>
      </c>
      <c r="I341" s="2">
        <v>680</v>
      </c>
      <c r="J341" s="2">
        <v>0</v>
      </c>
      <c r="K341" s="2">
        <v>1095</v>
      </c>
      <c r="L341" s="2">
        <v>6728</v>
      </c>
      <c r="M341" s="2">
        <v>5097</v>
      </c>
      <c r="N341" s="2">
        <v>800</v>
      </c>
      <c r="O341" s="2">
        <v>0</v>
      </c>
      <c r="P341" s="2">
        <v>434</v>
      </c>
      <c r="Q341" s="2">
        <v>0</v>
      </c>
      <c r="R341" s="3">
        <f t="shared" si="15"/>
        <v>22675</v>
      </c>
      <c r="S341" s="3">
        <v>4968</v>
      </c>
      <c r="T341" s="3">
        <v>9809</v>
      </c>
      <c r="U341" s="5">
        <f t="shared" si="16"/>
        <v>7898</v>
      </c>
    </row>
    <row r="342" spans="1:21" ht="18.75" customHeight="1">
      <c r="A342" s="7" t="s">
        <v>21</v>
      </c>
      <c r="B342" s="10">
        <v>45267</v>
      </c>
      <c r="C342" s="2">
        <v>2070</v>
      </c>
      <c r="D342" s="2">
        <v>1825</v>
      </c>
      <c r="E342" s="2">
        <v>0</v>
      </c>
      <c r="F342" s="2">
        <v>1655</v>
      </c>
      <c r="G342" s="2">
        <v>2182</v>
      </c>
      <c r="H342" s="2">
        <v>0</v>
      </c>
      <c r="I342" s="2">
        <v>465</v>
      </c>
      <c r="J342" s="2">
        <v>0</v>
      </c>
      <c r="K342" s="2">
        <v>1470</v>
      </c>
      <c r="L342" s="2">
        <v>8772</v>
      </c>
      <c r="M342" s="2">
        <v>2506</v>
      </c>
      <c r="N342" s="2">
        <v>838</v>
      </c>
      <c r="O342" s="2">
        <v>0</v>
      </c>
      <c r="P342" s="2">
        <v>0</v>
      </c>
      <c r="Q342" s="2">
        <v>0</v>
      </c>
      <c r="R342" s="3">
        <f t="shared" si="15"/>
        <v>21783</v>
      </c>
      <c r="S342" s="3">
        <v>5613</v>
      </c>
      <c r="T342" s="3">
        <v>11406</v>
      </c>
      <c r="U342" s="5">
        <f t="shared" si="16"/>
        <v>4764</v>
      </c>
    </row>
    <row r="343" spans="1:21" ht="18.75" customHeight="1">
      <c r="A343" s="7" t="s">
        <v>22</v>
      </c>
      <c r="B343" s="10">
        <v>45268</v>
      </c>
      <c r="C343" s="2">
        <v>2625</v>
      </c>
      <c r="D343" s="2">
        <v>1065</v>
      </c>
      <c r="E343" s="2">
        <v>585</v>
      </c>
      <c r="F343" s="2">
        <v>1820</v>
      </c>
      <c r="G343" s="2">
        <v>2311</v>
      </c>
      <c r="H343" s="2">
        <v>0</v>
      </c>
      <c r="I343" s="2">
        <v>1738</v>
      </c>
      <c r="J343" s="2">
        <v>0</v>
      </c>
      <c r="K343" s="2">
        <v>1228</v>
      </c>
      <c r="L343" s="2">
        <v>6587</v>
      </c>
      <c r="M343" s="2">
        <v>4231</v>
      </c>
      <c r="N343" s="2">
        <v>1244</v>
      </c>
      <c r="O343" s="2">
        <v>0</v>
      </c>
      <c r="P343" s="2">
        <v>306</v>
      </c>
      <c r="Q343" s="2">
        <v>0</v>
      </c>
      <c r="R343" s="3">
        <f t="shared" ref="R343:R366" si="17">SUM(C343:Q343)</f>
        <v>23740</v>
      </c>
      <c r="S343" s="3">
        <v>7110</v>
      </c>
      <c r="T343" s="3">
        <v>10256</v>
      </c>
      <c r="U343" s="5">
        <f t="shared" si="16"/>
        <v>6374</v>
      </c>
    </row>
    <row r="344" spans="1:21" ht="18.75" customHeight="1">
      <c r="A344" s="7" t="s">
        <v>23</v>
      </c>
      <c r="B344" s="10">
        <v>45269</v>
      </c>
      <c r="C344" s="2">
        <v>2415</v>
      </c>
      <c r="D344" s="2">
        <v>2285</v>
      </c>
      <c r="E344" s="2">
        <v>0</v>
      </c>
      <c r="F344" s="2">
        <v>3779.5</v>
      </c>
      <c r="G344" s="2">
        <v>2285</v>
      </c>
      <c r="H344" s="2">
        <v>0</v>
      </c>
      <c r="I344" s="2">
        <v>1085</v>
      </c>
      <c r="J344" s="2">
        <v>0</v>
      </c>
      <c r="K344" s="2">
        <v>1870</v>
      </c>
      <c r="L344" s="2">
        <v>7668</v>
      </c>
      <c r="M344" s="2">
        <v>2710</v>
      </c>
      <c r="N344" s="2">
        <v>55</v>
      </c>
      <c r="O344" s="2">
        <v>106</v>
      </c>
      <c r="P344" s="2">
        <v>255</v>
      </c>
      <c r="Q344" s="2">
        <v>0</v>
      </c>
      <c r="R344" s="3">
        <f t="shared" si="17"/>
        <v>24513.5</v>
      </c>
      <c r="S344" s="3">
        <v>6885</v>
      </c>
      <c r="T344" s="3">
        <v>16789</v>
      </c>
      <c r="U344" s="5">
        <f t="shared" si="16"/>
        <v>839.5</v>
      </c>
    </row>
    <row r="345" spans="1:21" ht="18.75" customHeight="1">
      <c r="A345" s="7" t="s">
        <v>17</v>
      </c>
      <c r="B345" s="10">
        <v>45270</v>
      </c>
      <c r="C345" s="2">
        <v>1285</v>
      </c>
      <c r="D345" s="2">
        <v>1355</v>
      </c>
      <c r="E345" s="2">
        <v>0</v>
      </c>
      <c r="F345" s="2">
        <v>1835</v>
      </c>
      <c r="G345" s="2">
        <v>2461</v>
      </c>
      <c r="H345" s="2">
        <v>0</v>
      </c>
      <c r="I345" s="2">
        <v>0</v>
      </c>
      <c r="J345" s="2">
        <v>0</v>
      </c>
      <c r="K345" s="2">
        <v>1160</v>
      </c>
      <c r="L345" s="2">
        <v>11000</v>
      </c>
      <c r="M345" s="2">
        <v>6184</v>
      </c>
      <c r="N345" s="2">
        <v>665</v>
      </c>
      <c r="O345" s="2">
        <v>0</v>
      </c>
      <c r="P345" s="2">
        <v>1794</v>
      </c>
      <c r="Q345" s="2">
        <v>0</v>
      </c>
      <c r="R345" s="3">
        <f t="shared" si="17"/>
        <v>27739</v>
      </c>
      <c r="S345" s="3">
        <v>9455</v>
      </c>
      <c r="T345" s="3">
        <v>7710</v>
      </c>
      <c r="U345" s="5">
        <f t="shared" si="16"/>
        <v>10574</v>
      </c>
    </row>
    <row r="346" spans="1:21" ht="18.75" customHeight="1">
      <c r="A346" s="7" t="s">
        <v>18</v>
      </c>
      <c r="B346" s="10">
        <v>45271</v>
      </c>
      <c r="C346" s="2">
        <v>1545</v>
      </c>
      <c r="D346" s="2">
        <v>2620</v>
      </c>
      <c r="E346" s="2">
        <v>915</v>
      </c>
      <c r="F346" s="2">
        <v>2205</v>
      </c>
      <c r="G346" s="2">
        <v>1789</v>
      </c>
      <c r="H346" s="2">
        <v>0</v>
      </c>
      <c r="I346" s="2">
        <v>1220</v>
      </c>
      <c r="J346" s="2">
        <v>0</v>
      </c>
      <c r="K346" s="2">
        <v>1495</v>
      </c>
      <c r="L346" s="2">
        <v>9018</v>
      </c>
      <c r="M346" s="2">
        <v>3740</v>
      </c>
      <c r="N346" s="2">
        <v>786</v>
      </c>
      <c r="O346" s="2">
        <v>132</v>
      </c>
      <c r="P346" s="2">
        <v>264</v>
      </c>
      <c r="Q346" s="2">
        <v>0</v>
      </c>
      <c r="R346" s="3">
        <f t="shared" si="17"/>
        <v>25729</v>
      </c>
      <c r="S346" s="3">
        <v>5696</v>
      </c>
      <c r="T346" s="3">
        <v>13478</v>
      </c>
      <c r="U346" s="5">
        <f t="shared" si="16"/>
        <v>6555</v>
      </c>
    </row>
    <row r="347" spans="1:21" ht="18.75" customHeight="1">
      <c r="A347" s="7" t="s">
        <v>19</v>
      </c>
      <c r="B347" s="10">
        <v>45272</v>
      </c>
      <c r="C347" s="2">
        <v>1555</v>
      </c>
      <c r="D347" s="2">
        <v>920</v>
      </c>
      <c r="E347" s="2">
        <v>495</v>
      </c>
      <c r="F347" s="2">
        <v>2219</v>
      </c>
      <c r="G347" s="2">
        <v>2286</v>
      </c>
      <c r="H347" s="2">
        <v>0</v>
      </c>
      <c r="I347" s="2">
        <v>585</v>
      </c>
      <c r="J347" s="2">
        <v>0</v>
      </c>
      <c r="K347" s="2">
        <v>1120</v>
      </c>
      <c r="L347" s="2">
        <v>7305</v>
      </c>
      <c r="M347" s="2">
        <v>4467</v>
      </c>
      <c r="N347" s="2">
        <v>632</v>
      </c>
      <c r="O347" s="2">
        <v>0</v>
      </c>
      <c r="P347" s="2">
        <v>264</v>
      </c>
      <c r="Q347" s="2">
        <v>0</v>
      </c>
      <c r="R347" s="3">
        <f t="shared" si="17"/>
        <v>21848</v>
      </c>
      <c r="S347" s="3">
        <v>5554</v>
      </c>
      <c r="T347" s="3">
        <v>6492</v>
      </c>
      <c r="U347" s="5">
        <f t="shared" si="16"/>
        <v>9802</v>
      </c>
    </row>
    <row r="348" spans="1:21" ht="18.75" customHeight="1">
      <c r="A348" s="7" t="s">
        <v>20</v>
      </c>
      <c r="B348" s="10">
        <v>45273</v>
      </c>
      <c r="C348" s="2">
        <v>1125</v>
      </c>
      <c r="D348" s="2">
        <v>1077</v>
      </c>
      <c r="E348" s="2">
        <v>630</v>
      </c>
      <c r="F348" s="2">
        <v>1419</v>
      </c>
      <c r="G348" s="2">
        <v>2080</v>
      </c>
      <c r="H348" s="2">
        <v>0</v>
      </c>
      <c r="I348" s="2">
        <v>1090</v>
      </c>
      <c r="J348" s="2">
        <v>0</v>
      </c>
      <c r="K348" s="2">
        <v>1878</v>
      </c>
      <c r="L348" s="2">
        <v>7288</v>
      </c>
      <c r="M348" s="2">
        <v>3997</v>
      </c>
      <c r="N348" s="2">
        <v>684</v>
      </c>
      <c r="O348" s="2">
        <v>0</v>
      </c>
      <c r="P348" s="2">
        <v>742</v>
      </c>
      <c r="Q348" s="2">
        <v>0</v>
      </c>
      <c r="R348" s="3">
        <f t="shared" si="17"/>
        <v>22010</v>
      </c>
      <c r="S348" s="3">
        <v>5720</v>
      </c>
      <c r="T348" s="3">
        <v>9574</v>
      </c>
      <c r="U348" s="5">
        <f t="shared" si="16"/>
        <v>6716</v>
      </c>
    </row>
    <row r="349" spans="1:21" ht="18.75" customHeight="1">
      <c r="A349" s="7" t="s">
        <v>21</v>
      </c>
      <c r="B349" s="10">
        <v>45274</v>
      </c>
      <c r="C349" s="2">
        <v>1385</v>
      </c>
      <c r="D349" s="2">
        <v>937</v>
      </c>
      <c r="E349" s="2">
        <v>740</v>
      </c>
      <c r="F349" s="2">
        <v>1610</v>
      </c>
      <c r="G349" s="2">
        <v>1648</v>
      </c>
      <c r="H349" s="2">
        <v>0</v>
      </c>
      <c r="I349" s="2">
        <v>1105</v>
      </c>
      <c r="J349" s="2">
        <v>0</v>
      </c>
      <c r="K349" s="2">
        <v>1720</v>
      </c>
      <c r="L349" s="2">
        <v>10803</v>
      </c>
      <c r="M349" s="2">
        <v>3675</v>
      </c>
      <c r="N349" s="2">
        <v>860</v>
      </c>
      <c r="O349" s="2">
        <v>294</v>
      </c>
      <c r="P349" s="2">
        <v>0</v>
      </c>
      <c r="Q349" s="2">
        <v>0</v>
      </c>
      <c r="R349" s="3">
        <f t="shared" si="17"/>
        <v>24777</v>
      </c>
      <c r="S349" s="3">
        <v>5972</v>
      </c>
      <c r="T349" s="3">
        <v>8891</v>
      </c>
      <c r="U349" s="5">
        <f t="shared" si="16"/>
        <v>9914</v>
      </c>
    </row>
    <row r="350" spans="1:21" ht="18.75" customHeight="1">
      <c r="A350" s="7" t="s">
        <v>22</v>
      </c>
      <c r="B350" s="10">
        <v>45275</v>
      </c>
      <c r="C350" s="2">
        <v>2065</v>
      </c>
      <c r="D350" s="2">
        <v>695</v>
      </c>
      <c r="E350" s="2">
        <v>700</v>
      </c>
      <c r="F350" s="2">
        <v>2614</v>
      </c>
      <c r="G350" s="2">
        <v>2697</v>
      </c>
      <c r="H350" s="2">
        <v>0</v>
      </c>
      <c r="I350" s="2">
        <v>1935</v>
      </c>
      <c r="J350" s="2">
        <v>0</v>
      </c>
      <c r="K350" s="2">
        <v>1720</v>
      </c>
      <c r="L350" s="2">
        <v>6397</v>
      </c>
      <c r="M350" s="2">
        <v>3423</v>
      </c>
      <c r="N350" s="2">
        <v>1084</v>
      </c>
      <c r="O350" s="2">
        <v>0</v>
      </c>
      <c r="P350" s="2">
        <v>549</v>
      </c>
      <c r="Q350" s="2">
        <v>0</v>
      </c>
      <c r="R350" s="3">
        <f t="shared" si="17"/>
        <v>23879</v>
      </c>
      <c r="S350" s="3">
        <v>5197</v>
      </c>
      <c r="T350" s="3">
        <v>10217</v>
      </c>
      <c r="U350" s="5">
        <f t="shared" si="16"/>
        <v>8465</v>
      </c>
    </row>
    <row r="351" spans="1:21" ht="18.75" customHeight="1">
      <c r="A351" s="7" t="s">
        <v>23</v>
      </c>
      <c r="B351" s="10">
        <v>45276</v>
      </c>
      <c r="C351" s="2">
        <v>2240</v>
      </c>
      <c r="D351" s="2">
        <v>1135</v>
      </c>
      <c r="E351" s="2">
        <v>516</v>
      </c>
      <c r="F351" s="2">
        <v>1547</v>
      </c>
      <c r="G351" s="2">
        <v>2288</v>
      </c>
      <c r="H351" s="2">
        <v>0</v>
      </c>
      <c r="I351" s="2">
        <v>1180</v>
      </c>
      <c r="J351" s="2">
        <v>0</v>
      </c>
      <c r="K351" s="2">
        <v>1870</v>
      </c>
      <c r="L351" s="2">
        <v>13956</v>
      </c>
      <c r="M351" s="2">
        <v>5912</v>
      </c>
      <c r="N351" s="2">
        <v>798</v>
      </c>
      <c r="O351" s="2">
        <v>260</v>
      </c>
      <c r="P351" s="2">
        <v>0</v>
      </c>
      <c r="Q351" s="2">
        <v>0</v>
      </c>
      <c r="R351" s="3">
        <f t="shared" si="17"/>
        <v>31702</v>
      </c>
      <c r="S351" s="3">
        <v>6859</v>
      </c>
      <c r="T351" s="3">
        <v>16342</v>
      </c>
      <c r="U351" s="5">
        <f t="shared" si="16"/>
        <v>8501</v>
      </c>
    </row>
    <row r="352" spans="1:21" ht="18.75" customHeight="1">
      <c r="A352" s="7" t="s">
        <v>17</v>
      </c>
      <c r="B352" s="10">
        <v>45277</v>
      </c>
      <c r="C352" s="2">
        <v>2590</v>
      </c>
      <c r="D352" s="2">
        <v>961</v>
      </c>
      <c r="E352" s="2">
        <v>0</v>
      </c>
      <c r="F352" s="2">
        <v>2050</v>
      </c>
      <c r="G352" s="2">
        <v>2051</v>
      </c>
      <c r="H352" s="2">
        <v>0</v>
      </c>
      <c r="I352" s="2">
        <v>255</v>
      </c>
      <c r="J352" s="2">
        <v>0</v>
      </c>
      <c r="K352" s="2">
        <v>1880</v>
      </c>
      <c r="L352" s="2">
        <v>15566</v>
      </c>
      <c r="M352" s="2">
        <v>6322</v>
      </c>
      <c r="N352" s="2">
        <v>0</v>
      </c>
      <c r="O352" s="2">
        <v>0</v>
      </c>
      <c r="P352" s="2">
        <v>282</v>
      </c>
      <c r="Q352" s="2">
        <v>0</v>
      </c>
      <c r="R352" s="3">
        <f t="shared" si="17"/>
        <v>31957</v>
      </c>
      <c r="S352" s="3">
        <v>9275</v>
      </c>
      <c r="T352" s="3">
        <v>9665</v>
      </c>
      <c r="U352" s="5">
        <f t="shared" si="16"/>
        <v>13017</v>
      </c>
    </row>
    <row r="353" spans="1:21" ht="18.75" customHeight="1">
      <c r="A353" s="7" t="s">
        <v>18</v>
      </c>
      <c r="B353" s="10">
        <v>45278</v>
      </c>
      <c r="C353" s="2">
        <v>1654</v>
      </c>
      <c r="D353" s="2">
        <v>1070</v>
      </c>
      <c r="E353" s="2">
        <v>940</v>
      </c>
      <c r="F353" s="2">
        <v>2120</v>
      </c>
      <c r="G353" s="2">
        <v>2054</v>
      </c>
      <c r="H353" s="2">
        <v>0</v>
      </c>
      <c r="I353" s="2">
        <v>985</v>
      </c>
      <c r="J353" s="2">
        <v>0</v>
      </c>
      <c r="K353" s="2">
        <v>1960</v>
      </c>
      <c r="L353" s="2">
        <v>9885</v>
      </c>
      <c r="M353" s="2">
        <v>6277</v>
      </c>
      <c r="N353" s="2">
        <v>1152</v>
      </c>
      <c r="O353" s="2">
        <v>0</v>
      </c>
      <c r="P353" s="2">
        <v>559</v>
      </c>
      <c r="Q353" s="2">
        <v>0</v>
      </c>
      <c r="R353" s="3">
        <f t="shared" si="17"/>
        <v>28656</v>
      </c>
      <c r="S353" s="3">
        <v>6042</v>
      </c>
      <c r="T353" s="3">
        <v>12786</v>
      </c>
      <c r="U353" s="5">
        <f t="shared" si="16"/>
        <v>9828</v>
      </c>
    </row>
    <row r="354" spans="1:21" ht="18.75" customHeight="1">
      <c r="A354" s="7" t="s">
        <v>19</v>
      </c>
      <c r="B354" s="10">
        <v>45279</v>
      </c>
      <c r="C354" s="2">
        <v>1600</v>
      </c>
      <c r="D354" s="2">
        <v>1040</v>
      </c>
      <c r="E354" s="2">
        <v>505</v>
      </c>
      <c r="F354" s="2">
        <v>1760</v>
      </c>
      <c r="G354" s="2">
        <v>1654</v>
      </c>
      <c r="H354" s="2">
        <v>0</v>
      </c>
      <c r="I354" s="2">
        <v>1225</v>
      </c>
      <c r="J354" s="2">
        <v>0</v>
      </c>
      <c r="K354" s="2">
        <v>1365</v>
      </c>
      <c r="L354" s="2">
        <v>13193</v>
      </c>
      <c r="M354" s="2">
        <v>5873</v>
      </c>
      <c r="N354" s="2">
        <v>928</v>
      </c>
      <c r="O354" s="2">
        <v>0</v>
      </c>
      <c r="P354" s="2">
        <v>312</v>
      </c>
      <c r="Q354" s="2">
        <v>0</v>
      </c>
      <c r="R354" s="3">
        <f t="shared" si="17"/>
        <v>29455</v>
      </c>
      <c r="S354" s="3">
        <v>6285</v>
      </c>
      <c r="T354" s="3">
        <v>14910</v>
      </c>
      <c r="U354" s="5">
        <f t="shared" si="16"/>
        <v>8260</v>
      </c>
    </row>
    <row r="355" spans="1:21" ht="18.75" customHeight="1">
      <c r="A355" s="7" t="s">
        <v>20</v>
      </c>
      <c r="B355" s="10">
        <v>45280</v>
      </c>
      <c r="C355" s="2">
        <v>1580</v>
      </c>
      <c r="D355" s="2">
        <v>1200</v>
      </c>
      <c r="E355" s="2">
        <v>700</v>
      </c>
      <c r="F355" s="2">
        <v>2429</v>
      </c>
      <c r="G355" s="2">
        <v>2116</v>
      </c>
      <c r="H355" s="2">
        <v>0</v>
      </c>
      <c r="I355" s="2">
        <v>985</v>
      </c>
      <c r="J355" s="2">
        <v>0</v>
      </c>
      <c r="K355" s="2">
        <v>1075</v>
      </c>
      <c r="L355" s="2">
        <v>14195</v>
      </c>
      <c r="M355" s="2">
        <v>3345</v>
      </c>
      <c r="N355" s="2">
        <v>707</v>
      </c>
      <c r="O355" s="2">
        <v>143</v>
      </c>
      <c r="P355" s="2">
        <v>888</v>
      </c>
      <c r="Q355" s="2">
        <v>0</v>
      </c>
      <c r="R355" s="3">
        <f t="shared" si="17"/>
        <v>29363</v>
      </c>
      <c r="S355" s="3">
        <v>8275</v>
      </c>
      <c r="T355" s="3">
        <v>11191</v>
      </c>
      <c r="U355" s="5">
        <f t="shared" si="16"/>
        <v>9897</v>
      </c>
    </row>
    <row r="356" spans="1:21" ht="18.75" customHeight="1">
      <c r="A356" s="7" t="s">
        <v>21</v>
      </c>
      <c r="B356" s="10">
        <v>45281</v>
      </c>
      <c r="C356" s="2">
        <v>1480</v>
      </c>
      <c r="D356" s="2">
        <v>1925</v>
      </c>
      <c r="E356" s="2">
        <v>573</v>
      </c>
      <c r="F356" s="2">
        <v>2133.5</v>
      </c>
      <c r="G356" s="2">
        <v>1710</v>
      </c>
      <c r="H356" s="2">
        <v>0</v>
      </c>
      <c r="I356" s="2">
        <v>970</v>
      </c>
      <c r="J356" s="2">
        <v>0</v>
      </c>
      <c r="K356" s="2">
        <v>1675</v>
      </c>
      <c r="L356" s="2">
        <v>8105</v>
      </c>
      <c r="M356" s="2">
        <v>5289</v>
      </c>
      <c r="N356" s="2">
        <v>704</v>
      </c>
      <c r="O356" s="2">
        <v>87</v>
      </c>
      <c r="P356" s="2">
        <v>127</v>
      </c>
      <c r="Q356" s="2">
        <v>0</v>
      </c>
      <c r="R356" s="3">
        <f t="shared" si="17"/>
        <v>24778.5</v>
      </c>
      <c r="S356" s="3">
        <v>6831</v>
      </c>
      <c r="T356" s="3">
        <v>11407</v>
      </c>
      <c r="U356" s="5">
        <f t="shared" si="16"/>
        <v>6540.5</v>
      </c>
    </row>
    <row r="357" spans="1:21" ht="18.75" customHeight="1">
      <c r="A357" s="7" t="s">
        <v>22</v>
      </c>
      <c r="B357" s="10">
        <v>45282</v>
      </c>
      <c r="C357" s="2">
        <v>1580</v>
      </c>
      <c r="D357" s="2">
        <v>1935</v>
      </c>
      <c r="E357" s="2">
        <v>1090</v>
      </c>
      <c r="F357" s="2">
        <v>3085</v>
      </c>
      <c r="G357" s="2">
        <v>1975</v>
      </c>
      <c r="H357" s="2">
        <v>0</v>
      </c>
      <c r="I357" s="2">
        <v>526</v>
      </c>
      <c r="J357" s="2">
        <v>0</v>
      </c>
      <c r="K357" s="2">
        <v>2199</v>
      </c>
      <c r="L357" s="2">
        <v>11653</v>
      </c>
      <c r="M357" s="2">
        <v>5239</v>
      </c>
      <c r="N357" s="2">
        <v>140</v>
      </c>
      <c r="O357" s="2">
        <v>292</v>
      </c>
      <c r="P357" s="2">
        <v>833</v>
      </c>
      <c r="Q357" s="2">
        <v>0</v>
      </c>
      <c r="R357" s="3">
        <f t="shared" si="17"/>
        <v>30547</v>
      </c>
      <c r="S357" s="3">
        <v>7011</v>
      </c>
      <c r="T357" s="3">
        <v>11686</v>
      </c>
      <c r="U357" s="5">
        <f t="shared" si="16"/>
        <v>11850</v>
      </c>
    </row>
    <row r="358" spans="1:21" ht="18.75" customHeight="1">
      <c r="A358" s="7" t="s">
        <v>23</v>
      </c>
      <c r="B358" s="10">
        <v>45283</v>
      </c>
      <c r="C358" s="2">
        <v>1325</v>
      </c>
      <c r="D358" s="2">
        <v>665</v>
      </c>
      <c r="E358" s="2">
        <v>620</v>
      </c>
      <c r="F358" s="2">
        <v>2374.5</v>
      </c>
      <c r="G358" s="2">
        <v>1912</v>
      </c>
      <c r="H358" s="2">
        <v>0</v>
      </c>
      <c r="I358" s="2">
        <v>1350</v>
      </c>
      <c r="J358" s="2">
        <v>0</v>
      </c>
      <c r="K358" s="2">
        <v>1175</v>
      </c>
      <c r="L358" s="2">
        <v>11152</v>
      </c>
      <c r="M358" s="2">
        <v>4497</v>
      </c>
      <c r="N358" s="2">
        <v>888</v>
      </c>
      <c r="O358" s="2">
        <v>132</v>
      </c>
      <c r="P358" s="2">
        <v>538</v>
      </c>
      <c r="Q358" s="2">
        <v>0</v>
      </c>
      <c r="R358" s="3">
        <f t="shared" si="17"/>
        <v>26628.5</v>
      </c>
      <c r="S358" s="3">
        <v>7093</v>
      </c>
      <c r="T358" s="3">
        <v>11103</v>
      </c>
      <c r="U358" s="5">
        <f t="shared" si="16"/>
        <v>8432.5</v>
      </c>
    </row>
    <row r="359" spans="1:21" ht="18.75" customHeight="1">
      <c r="A359" s="7" t="s">
        <v>17</v>
      </c>
      <c r="B359" s="10">
        <v>45284</v>
      </c>
      <c r="C359" s="2">
        <v>2190</v>
      </c>
      <c r="D359" s="2">
        <v>1525</v>
      </c>
      <c r="E359" s="2">
        <v>340</v>
      </c>
      <c r="F359" s="2">
        <v>1700</v>
      </c>
      <c r="G359" s="2">
        <v>2160</v>
      </c>
      <c r="H359" s="2">
        <v>0</v>
      </c>
      <c r="I359" s="2">
        <v>725</v>
      </c>
      <c r="J359" s="2">
        <v>0</v>
      </c>
      <c r="K359" s="2">
        <v>2065</v>
      </c>
      <c r="L359" s="2">
        <v>16056</v>
      </c>
      <c r="M359" s="2">
        <v>4153</v>
      </c>
      <c r="N359" s="2">
        <v>485</v>
      </c>
      <c r="O359" s="2">
        <v>563</v>
      </c>
      <c r="P359" s="2">
        <v>1325</v>
      </c>
      <c r="Q359" s="2">
        <v>0</v>
      </c>
      <c r="R359" s="3">
        <f t="shared" si="17"/>
        <v>33287</v>
      </c>
      <c r="S359" s="3">
        <v>9832</v>
      </c>
      <c r="T359" s="3">
        <v>8483</v>
      </c>
      <c r="U359" s="5">
        <f t="shared" si="16"/>
        <v>14972</v>
      </c>
    </row>
    <row r="360" spans="1:21" ht="18.75" customHeight="1">
      <c r="A360" s="7" t="s">
        <v>18</v>
      </c>
      <c r="B360" s="10">
        <v>45285</v>
      </c>
      <c r="C360" s="2">
        <v>0</v>
      </c>
      <c r="D360" s="2">
        <v>0</v>
      </c>
      <c r="E360" s="2">
        <v>0</v>
      </c>
      <c r="F360" s="2">
        <v>0</v>
      </c>
      <c r="G360" s="2">
        <v>0</v>
      </c>
      <c r="H360" s="2">
        <v>0</v>
      </c>
      <c r="I360" s="2">
        <v>0</v>
      </c>
      <c r="J360" s="2">
        <v>0</v>
      </c>
      <c r="K360" s="2">
        <v>0</v>
      </c>
      <c r="L360" s="2">
        <v>0</v>
      </c>
      <c r="M360" s="2">
        <v>0</v>
      </c>
      <c r="N360" s="2">
        <v>0</v>
      </c>
      <c r="O360" s="2">
        <v>0</v>
      </c>
      <c r="P360" s="2">
        <v>0</v>
      </c>
      <c r="Q360" s="2">
        <v>0</v>
      </c>
      <c r="R360" s="3">
        <f t="shared" si="17"/>
        <v>0</v>
      </c>
      <c r="S360" s="3">
        <v>0</v>
      </c>
      <c r="T360" s="3">
        <v>0</v>
      </c>
      <c r="U360" s="5">
        <f t="shared" si="16"/>
        <v>0</v>
      </c>
    </row>
    <row r="361" spans="1:21" ht="18.75" customHeight="1">
      <c r="A361" s="7" t="s">
        <v>19</v>
      </c>
      <c r="B361" s="10">
        <v>45286</v>
      </c>
      <c r="C361" s="2">
        <v>1335</v>
      </c>
      <c r="D361" s="2">
        <v>665</v>
      </c>
      <c r="E361" s="2">
        <v>60</v>
      </c>
      <c r="F361" s="2">
        <v>4225</v>
      </c>
      <c r="G361" s="2">
        <v>1708</v>
      </c>
      <c r="H361" s="2">
        <v>0</v>
      </c>
      <c r="I361" s="2">
        <v>735</v>
      </c>
      <c r="J361" s="2">
        <v>0</v>
      </c>
      <c r="K361" s="2">
        <v>1957</v>
      </c>
      <c r="L361" s="2">
        <v>13575</v>
      </c>
      <c r="M361" s="2">
        <v>7060</v>
      </c>
      <c r="N361" s="2">
        <v>789</v>
      </c>
      <c r="O361" s="2">
        <v>0</v>
      </c>
      <c r="P361" s="2">
        <v>436</v>
      </c>
      <c r="Q361" s="2">
        <v>0</v>
      </c>
      <c r="R361" s="3">
        <f t="shared" si="17"/>
        <v>32545</v>
      </c>
      <c r="S361" s="3">
        <v>6535</v>
      </c>
      <c r="T361" s="3">
        <v>14351</v>
      </c>
      <c r="U361" s="5">
        <f t="shared" si="16"/>
        <v>11659</v>
      </c>
    </row>
    <row r="362" spans="1:21" ht="18.75" customHeight="1">
      <c r="A362" s="7" t="s">
        <v>20</v>
      </c>
      <c r="B362" s="10">
        <v>45287</v>
      </c>
      <c r="C362" s="2">
        <v>773</v>
      </c>
      <c r="D362" s="2">
        <v>1305</v>
      </c>
      <c r="E362" s="2">
        <v>490</v>
      </c>
      <c r="F362" s="2">
        <v>3110</v>
      </c>
      <c r="G362" s="2">
        <v>2168</v>
      </c>
      <c r="H362" s="2">
        <v>0</v>
      </c>
      <c r="I362" s="2">
        <v>775</v>
      </c>
      <c r="J362" s="2">
        <v>0</v>
      </c>
      <c r="K362" s="2">
        <v>975</v>
      </c>
      <c r="L362" s="2">
        <v>13156</v>
      </c>
      <c r="M362" s="2">
        <v>5526</v>
      </c>
      <c r="N362" s="2">
        <v>200</v>
      </c>
      <c r="O362" s="2">
        <v>410</v>
      </c>
      <c r="P362" s="2">
        <v>544</v>
      </c>
      <c r="Q362" s="2">
        <v>0</v>
      </c>
      <c r="R362" s="3">
        <f t="shared" si="17"/>
        <v>29432</v>
      </c>
      <c r="S362" s="3">
        <v>6210</v>
      </c>
      <c r="T362" s="3">
        <v>11441</v>
      </c>
      <c r="U362" s="5">
        <f t="shared" si="16"/>
        <v>11781</v>
      </c>
    </row>
    <row r="363" spans="1:21" ht="18.75" customHeight="1">
      <c r="A363" s="7" t="s">
        <v>21</v>
      </c>
      <c r="B363" s="10">
        <v>45288</v>
      </c>
      <c r="C363" s="2">
        <v>1132</v>
      </c>
      <c r="D363" s="2">
        <v>1444</v>
      </c>
      <c r="E363" s="2">
        <v>1090</v>
      </c>
      <c r="F363" s="2">
        <v>3585</v>
      </c>
      <c r="G363" s="2">
        <v>1409</v>
      </c>
      <c r="H363" s="2">
        <v>0</v>
      </c>
      <c r="I363" s="2">
        <v>890</v>
      </c>
      <c r="J363" s="2">
        <v>0</v>
      </c>
      <c r="K363" s="2">
        <v>1405</v>
      </c>
      <c r="L363" s="2">
        <v>10608</v>
      </c>
      <c r="M363" s="2">
        <v>6945</v>
      </c>
      <c r="N363" s="2">
        <v>715</v>
      </c>
      <c r="O363" s="2">
        <v>0</v>
      </c>
      <c r="P363" s="2">
        <v>796</v>
      </c>
      <c r="Q363" s="2">
        <v>0</v>
      </c>
      <c r="R363" s="3">
        <f t="shared" si="17"/>
        <v>30019</v>
      </c>
      <c r="S363" s="3">
        <v>6571</v>
      </c>
      <c r="T363" s="3">
        <v>10514</v>
      </c>
      <c r="U363" s="5">
        <f t="shared" si="16"/>
        <v>12934</v>
      </c>
    </row>
    <row r="364" spans="1:21" ht="18.75" customHeight="1">
      <c r="A364" s="7" t="s">
        <v>22</v>
      </c>
      <c r="B364" s="10">
        <v>45289</v>
      </c>
      <c r="C364" s="2">
        <v>1454</v>
      </c>
      <c r="D364" s="2">
        <v>1180</v>
      </c>
      <c r="E364" s="2">
        <v>1620</v>
      </c>
      <c r="F364" s="2">
        <v>2160</v>
      </c>
      <c r="G364" s="2">
        <v>1790</v>
      </c>
      <c r="H364" s="2">
        <v>0</v>
      </c>
      <c r="I364" s="2">
        <v>850</v>
      </c>
      <c r="J364" s="2">
        <v>0</v>
      </c>
      <c r="K364" s="2">
        <v>1408</v>
      </c>
      <c r="L364" s="2">
        <v>11865</v>
      </c>
      <c r="M364" s="2">
        <v>4662</v>
      </c>
      <c r="N364" s="2">
        <v>1007</v>
      </c>
      <c r="O364" s="2">
        <v>463</v>
      </c>
      <c r="P364" s="2">
        <v>0</v>
      </c>
      <c r="Q364" s="2">
        <v>0</v>
      </c>
      <c r="R364" s="3">
        <f t="shared" si="17"/>
        <v>28459</v>
      </c>
      <c r="S364" s="3">
        <v>6683</v>
      </c>
      <c r="T364" s="3">
        <v>11491</v>
      </c>
      <c r="U364" s="5">
        <f t="shared" si="16"/>
        <v>10285</v>
      </c>
    </row>
    <row r="365" spans="1:21" ht="18.75" customHeight="1">
      <c r="A365" s="7" t="s">
        <v>23</v>
      </c>
      <c r="B365" s="10">
        <v>45290</v>
      </c>
      <c r="C365" s="2">
        <v>0</v>
      </c>
      <c r="D365" s="2">
        <v>1470</v>
      </c>
      <c r="E365" s="2">
        <v>430</v>
      </c>
      <c r="F365" s="2">
        <v>2005</v>
      </c>
      <c r="G365" s="2">
        <v>1277</v>
      </c>
      <c r="H365" s="2">
        <v>0</v>
      </c>
      <c r="I365" s="2">
        <v>915</v>
      </c>
      <c r="J365" s="2">
        <v>0</v>
      </c>
      <c r="K365" s="2">
        <v>1604</v>
      </c>
      <c r="L365" s="2">
        <v>15213</v>
      </c>
      <c r="M365" s="2">
        <v>6689</v>
      </c>
      <c r="N365" s="2">
        <v>2062</v>
      </c>
      <c r="O365" s="2">
        <v>436</v>
      </c>
      <c r="P365" s="2">
        <v>350</v>
      </c>
      <c r="Q365" s="2">
        <v>0</v>
      </c>
      <c r="R365" s="3">
        <f t="shared" si="17"/>
        <v>32451</v>
      </c>
      <c r="S365" s="3">
        <v>6135</v>
      </c>
      <c r="T365" s="3">
        <v>20025</v>
      </c>
      <c r="U365" s="5">
        <f t="shared" si="16"/>
        <v>6291</v>
      </c>
    </row>
    <row r="366" spans="1:21" ht="18.75" customHeight="1">
      <c r="A366" s="7" t="s">
        <v>17</v>
      </c>
      <c r="B366" s="10">
        <v>45291</v>
      </c>
      <c r="C366" s="2">
        <v>1275</v>
      </c>
      <c r="D366" s="2">
        <v>1549</v>
      </c>
      <c r="E366" s="2">
        <v>0</v>
      </c>
      <c r="F366" s="2">
        <v>4275</v>
      </c>
      <c r="G366" s="2">
        <v>1912</v>
      </c>
      <c r="H366" s="2">
        <v>0</v>
      </c>
      <c r="I366" s="2">
        <v>350</v>
      </c>
      <c r="J366" s="2">
        <v>0</v>
      </c>
      <c r="K366" s="2">
        <v>635</v>
      </c>
      <c r="L366" s="2">
        <v>23500</v>
      </c>
      <c r="M366" s="2">
        <v>8100</v>
      </c>
      <c r="N366" s="2">
        <v>145</v>
      </c>
      <c r="O366" s="2">
        <v>106</v>
      </c>
      <c r="P366" s="2">
        <v>158</v>
      </c>
      <c r="Q366" s="2">
        <v>0</v>
      </c>
      <c r="R366" s="3">
        <f t="shared" si="17"/>
        <v>42005</v>
      </c>
      <c r="S366" s="3">
        <v>7905</v>
      </c>
      <c r="T366" s="3">
        <v>11013</v>
      </c>
      <c r="U366" s="5">
        <f t="shared" si="16"/>
        <v>23087</v>
      </c>
    </row>
  </sheetData>
  <conditionalFormatting sqref="U2:U366">
    <cfRule type="cellIs" dxfId="4" priority="43" operator="lessThan">
      <formula>0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367"/>
  <sheetViews>
    <sheetView zoomScale="50" zoomScaleNormal="50" workbookViewId="0">
      <pane ySplit="1" topLeftCell="A210" activePane="bottomLeft" state="frozen"/>
      <selection pane="bottomLeft" activeCell="T1" sqref="T1:T367"/>
    </sheetView>
  </sheetViews>
  <sheetFormatPr defaultColWidth="11.5703125" defaultRowHeight="15"/>
  <cols>
    <col min="1" max="1" width="12.85546875" customWidth="1"/>
    <col min="2" max="2" width="16.42578125" style="11" customWidth="1"/>
    <col min="3" max="3" width="27.28515625" bestFit="1" customWidth="1"/>
    <col min="4" max="4" width="31.28515625" customWidth="1"/>
    <col min="5" max="6" width="21.140625" customWidth="1"/>
    <col min="7" max="7" width="21.85546875" customWidth="1"/>
    <col min="8" max="8" width="16.5703125" customWidth="1"/>
    <col min="9" max="9" width="18.28515625" customWidth="1"/>
    <col min="10" max="10" width="16.28515625" customWidth="1"/>
    <col min="11" max="11" width="17.5703125" customWidth="1"/>
    <col min="12" max="16" width="18.28515625" customWidth="1"/>
    <col min="17" max="17" width="24.140625" customWidth="1"/>
    <col min="18" max="18" width="18.42578125" customWidth="1"/>
    <col min="19" max="19" width="22.140625" customWidth="1"/>
    <col min="20" max="20" width="24.28515625" bestFit="1" customWidth="1"/>
    <col min="21" max="21" width="20.5703125" customWidth="1"/>
    <col min="22" max="24" width="14.7109375" bestFit="1" customWidth="1"/>
    <col min="25" max="25" width="17.28515625" customWidth="1"/>
    <col min="26" max="26" width="14.42578125" customWidth="1"/>
    <col min="31" max="34" width="15.140625" bestFit="1" customWidth="1"/>
  </cols>
  <sheetData>
    <row r="1" spans="1:20" ht="18.75" customHeight="1">
      <c r="A1" s="1"/>
      <c r="B1" s="9" t="s">
        <v>0</v>
      </c>
      <c r="C1" s="15" t="s">
        <v>39</v>
      </c>
      <c r="D1" s="15" t="s">
        <v>31</v>
      </c>
      <c r="E1" s="15" t="s">
        <v>40</v>
      </c>
      <c r="F1" s="15" t="s">
        <v>41</v>
      </c>
      <c r="G1" s="15" t="s">
        <v>26</v>
      </c>
      <c r="H1" s="15" t="s">
        <v>42</v>
      </c>
      <c r="I1" s="15" t="s">
        <v>43</v>
      </c>
      <c r="J1" s="15" t="s">
        <v>44</v>
      </c>
      <c r="K1" s="15" t="s">
        <v>52</v>
      </c>
      <c r="L1" s="15" t="s">
        <v>10</v>
      </c>
      <c r="M1" s="15" t="s">
        <v>46</v>
      </c>
      <c r="N1" s="22" t="s">
        <v>47</v>
      </c>
      <c r="O1" s="22" t="s">
        <v>53</v>
      </c>
      <c r="P1" s="22" t="s">
        <v>54</v>
      </c>
      <c r="Q1" s="16" t="s">
        <v>12</v>
      </c>
      <c r="R1" s="17" t="s">
        <v>13</v>
      </c>
      <c r="S1" s="17" t="s">
        <v>51</v>
      </c>
      <c r="T1" s="17" t="s">
        <v>15</v>
      </c>
    </row>
    <row r="2" spans="1:20" ht="18.75" customHeight="1">
      <c r="A2" s="4" t="s">
        <v>18</v>
      </c>
      <c r="B2" s="10">
        <v>45292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3">
        <v>0</v>
      </c>
      <c r="R2" s="3">
        <v>0</v>
      </c>
      <c r="S2" s="3">
        <v>0</v>
      </c>
      <c r="T2" s="5">
        <v>0</v>
      </c>
    </row>
    <row r="3" spans="1:20" ht="18.75" customHeight="1">
      <c r="A3" s="4" t="s">
        <v>19</v>
      </c>
      <c r="B3" s="10">
        <v>45293</v>
      </c>
      <c r="C3" s="2">
        <v>1787</v>
      </c>
      <c r="D3" s="2">
        <v>2835</v>
      </c>
      <c r="E3" s="2">
        <v>825</v>
      </c>
      <c r="F3" s="2">
        <v>8305</v>
      </c>
      <c r="G3" s="2">
        <v>1380</v>
      </c>
      <c r="H3" s="2">
        <v>0</v>
      </c>
      <c r="I3" s="2">
        <v>1600</v>
      </c>
      <c r="J3" s="2">
        <v>0</v>
      </c>
      <c r="K3" s="2">
        <v>1985</v>
      </c>
      <c r="L3" s="2">
        <v>11471</v>
      </c>
      <c r="M3" s="2">
        <v>7908</v>
      </c>
      <c r="N3" s="2">
        <v>0</v>
      </c>
      <c r="O3" s="2">
        <v>421</v>
      </c>
      <c r="P3" s="2">
        <v>1131</v>
      </c>
      <c r="Q3" s="3">
        <f t="shared" ref="Q3:Q66" si="0">SUM(C3:P3)</f>
        <v>39648</v>
      </c>
      <c r="R3" s="3">
        <v>9965</v>
      </c>
      <c r="S3" s="3">
        <v>14097</v>
      </c>
      <c r="T3" s="5">
        <f t="shared" ref="T3:T66" si="1">Q3-R3-S3</f>
        <v>15586</v>
      </c>
    </row>
    <row r="4" spans="1:20" ht="18.75" customHeight="1">
      <c r="A4" s="4" t="s">
        <v>20</v>
      </c>
      <c r="B4" s="10">
        <v>45294</v>
      </c>
      <c r="C4" s="2">
        <v>1429</v>
      </c>
      <c r="D4" s="2">
        <v>1360</v>
      </c>
      <c r="E4" s="2">
        <v>675</v>
      </c>
      <c r="F4" s="2">
        <v>6090</v>
      </c>
      <c r="G4" s="2">
        <v>1713</v>
      </c>
      <c r="H4" s="2">
        <v>0</v>
      </c>
      <c r="I4" s="2">
        <v>995</v>
      </c>
      <c r="J4" s="2">
        <v>0</v>
      </c>
      <c r="K4" s="2">
        <v>2500</v>
      </c>
      <c r="L4" s="2">
        <v>13963</v>
      </c>
      <c r="M4" s="2">
        <v>6726</v>
      </c>
      <c r="N4" s="2">
        <v>482</v>
      </c>
      <c r="O4" s="2">
        <v>190</v>
      </c>
      <c r="P4" s="2">
        <v>1504</v>
      </c>
      <c r="Q4" s="3">
        <f t="shared" si="0"/>
        <v>37627</v>
      </c>
      <c r="R4" s="3">
        <v>8284</v>
      </c>
      <c r="S4" s="3">
        <v>13947</v>
      </c>
      <c r="T4" s="5">
        <f t="shared" si="1"/>
        <v>15396</v>
      </c>
    </row>
    <row r="5" spans="1:20" ht="18.75" customHeight="1">
      <c r="A5" s="4" t="s">
        <v>21</v>
      </c>
      <c r="B5" s="10">
        <v>45295</v>
      </c>
      <c r="C5" s="2">
        <v>1178</v>
      </c>
      <c r="D5" s="2">
        <v>1489</v>
      </c>
      <c r="E5" s="2">
        <v>430</v>
      </c>
      <c r="F5" s="2">
        <v>2925</v>
      </c>
      <c r="G5" s="2">
        <v>1815</v>
      </c>
      <c r="H5" s="2">
        <v>0</v>
      </c>
      <c r="I5" s="2">
        <v>790</v>
      </c>
      <c r="J5" s="2">
        <v>0</v>
      </c>
      <c r="K5" s="2">
        <v>2495</v>
      </c>
      <c r="L5" s="2">
        <v>15704</v>
      </c>
      <c r="M5" s="2">
        <v>4539</v>
      </c>
      <c r="N5" s="2">
        <v>609</v>
      </c>
      <c r="O5" s="2">
        <v>184</v>
      </c>
      <c r="P5" s="2">
        <v>830</v>
      </c>
      <c r="Q5" s="3">
        <f t="shared" si="0"/>
        <v>32988</v>
      </c>
      <c r="R5" s="3">
        <v>7300</v>
      </c>
      <c r="S5" s="3">
        <v>13128</v>
      </c>
      <c r="T5" s="5">
        <f t="shared" si="1"/>
        <v>12560</v>
      </c>
    </row>
    <row r="6" spans="1:20" ht="18.75" customHeight="1">
      <c r="A6" s="4" t="s">
        <v>22</v>
      </c>
      <c r="B6" s="10">
        <v>45296</v>
      </c>
      <c r="C6" s="2">
        <v>1945</v>
      </c>
      <c r="D6" s="2">
        <v>2085</v>
      </c>
      <c r="E6" s="2">
        <v>765</v>
      </c>
      <c r="F6" s="2">
        <v>2745</v>
      </c>
      <c r="G6" s="2">
        <v>2510</v>
      </c>
      <c r="H6" s="2">
        <v>0</v>
      </c>
      <c r="I6" s="2">
        <v>675</v>
      </c>
      <c r="J6" s="2">
        <v>0</v>
      </c>
      <c r="K6" s="2">
        <v>2180</v>
      </c>
      <c r="L6" s="2">
        <v>10930</v>
      </c>
      <c r="M6" s="2">
        <v>6128</v>
      </c>
      <c r="N6" s="2">
        <v>330</v>
      </c>
      <c r="O6" s="2">
        <v>272</v>
      </c>
      <c r="P6" s="2">
        <v>481</v>
      </c>
      <c r="Q6" s="3">
        <f t="shared" si="0"/>
        <v>31046</v>
      </c>
      <c r="R6" s="3">
        <v>6840</v>
      </c>
      <c r="S6" s="3">
        <v>9559</v>
      </c>
      <c r="T6" s="5">
        <f t="shared" si="1"/>
        <v>14647</v>
      </c>
    </row>
    <row r="7" spans="1:20" ht="18.75" customHeight="1">
      <c r="A7" s="4" t="s">
        <v>23</v>
      </c>
      <c r="B7" s="10">
        <v>45297</v>
      </c>
      <c r="C7" s="2">
        <v>1485</v>
      </c>
      <c r="D7" s="2">
        <v>745</v>
      </c>
      <c r="E7" s="2">
        <v>890</v>
      </c>
      <c r="F7" s="2">
        <v>2057</v>
      </c>
      <c r="G7" s="2">
        <v>1792</v>
      </c>
      <c r="H7" s="2">
        <v>0</v>
      </c>
      <c r="I7" s="2">
        <v>810</v>
      </c>
      <c r="J7" s="2">
        <v>0</v>
      </c>
      <c r="K7" s="2">
        <v>1545</v>
      </c>
      <c r="L7" s="2">
        <v>12301</v>
      </c>
      <c r="M7" s="2">
        <v>6407</v>
      </c>
      <c r="N7" s="2">
        <v>369</v>
      </c>
      <c r="O7" s="2">
        <v>128</v>
      </c>
      <c r="P7" s="2">
        <v>628</v>
      </c>
      <c r="Q7" s="3">
        <f t="shared" si="0"/>
        <v>29157</v>
      </c>
      <c r="R7" s="3">
        <v>6773</v>
      </c>
      <c r="S7" s="3">
        <v>15113</v>
      </c>
      <c r="T7" s="5">
        <f t="shared" si="1"/>
        <v>7271</v>
      </c>
    </row>
    <row r="8" spans="1:20" ht="18.75" customHeight="1">
      <c r="A8" s="4" t="s">
        <v>17</v>
      </c>
      <c r="B8" s="10">
        <v>45298</v>
      </c>
      <c r="C8" s="2">
        <v>790</v>
      </c>
      <c r="D8" s="2">
        <v>2480</v>
      </c>
      <c r="E8" s="2">
        <v>260</v>
      </c>
      <c r="F8" s="2">
        <v>3085</v>
      </c>
      <c r="G8" s="2">
        <v>1343</v>
      </c>
      <c r="H8" s="2">
        <v>0</v>
      </c>
      <c r="I8" s="2">
        <v>265</v>
      </c>
      <c r="J8" s="2">
        <v>0</v>
      </c>
      <c r="K8" s="2">
        <v>2422</v>
      </c>
      <c r="L8" s="2">
        <v>11534</v>
      </c>
      <c r="M8" s="2">
        <v>6682</v>
      </c>
      <c r="N8" s="2">
        <v>715</v>
      </c>
      <c r="O8" s="2">
        <v>632</v>
      </c>
      <c r="P8" s="2">
        <v>566</v>
      </c>
      <c r="Q8" s="3">
        <f t="shared" si="0"/>
        <v>30774</v>
      </c>
      <c r="R8" s="3">
        <v>10605</v>
      </c>
      <c r="S8" s="3">
        <v>7616</v>
      </c>
      <c r="T8" s="5">
        <f t="shared" si="1"/>
        <v>12553</v>
      </c>
    </row>
    <row r="9" spans="1:20" ht="18.75" customHeight="1">
      <c r="A9" s="4" t="s">
        <v>18</v>
      </c>
      <c r="B9" s="10">
        <v>45299</v>
      </c>
      <c r="C9" s="2">
        <v>1590</v>
      </c>
      <c r="D9" s="2">
        <v>1215</v>
      </c>
      <c r="E9" s="2">
        <v>0</v>
      </c>
      <c r="F9" s="2">
        <v>2923</v>
      </c>
      <c r="G9" s="2">
        <v>1609</v>
      </c>
      <c r="H9" s="2">
        <v>0</v>
      </c>
      <c r="I9" s="2">
        <v>750</v>
      </c>
      <c r="J9" s="2">
        <v>0</v>
      </c>
      <c r="K9" s="2">
        <v>1861</v>
      </c>
      <c r="L9" s="2">
        <v>8160</v>
      </c>
      <c r="M9" s="2">
        <v>4319</v>
      </c>
      <c r="N9" s="2">
        <v>454</v>
      </c>
      <c r="O9" s="2">
        <v>193</v>
      </c>
      <c r="P9" s="2">
        <v>155</v>
      </c>
      <c r="Q9" s="3">
        <f t="shared" si="0"/>
        <v>23229</v>
      </c>
      <c r="R9" s="3">
        <v>5990</v>
      </c>
      <c r="S9" s="3">
        <v>13713</v>
      </c>
      <c r="T9" s="5">
        <f t="shared" si="1"/>
        <v>3526</v>
      </c>
    </row>
    <row r="10" spans="1:20" ht="18.75" customHeight="1">
      <c r="A10" s="4" t="s">
        <v>19</v>
      </c>
      <c r="B10" s="10">
        <v>45300</v>
      </c>
      <c r="C10" s="2">
        <v>2065</v>
      </c>
      <c r="D10" s="2">
        <v>0</v>
      </c>
      <c r="E10" s="2">
        <v>0</v>
      </c>
      <c r="F10" s="2">
        <v>4290</v>
      </c>
      <c r="G10" s="2">
        <v>2791</v>
      </c>
      <c r="H10" s="2">
        <v>0</v>
      </c>
      <c r="I10" s="2">
        <v>0</v>
      </c>
      <c r="J10" s="2">
        <v>0</v>
      </c>
      <c r="K10" s="2">
        <v>2467</v>
      </c>
      <c r="L10" s="2">
        <v>9614</v>
      </c>
      <c r="M10" s="2">
        <v>4977</v>
      </c>
      <c r="N10" s="2">
        <v>661</v>
      </c>
      <c r="O10" s="2">
        <v>0</v>
      </c>
      <c r="P10" s="2">
        <v>234</v>
      </c>
      <c r="Q10" s="3">
        <f t="shared" si="0"/>
        <v>27099</v>
      </c>
      <c r="R10" s="3">
        <v>4789</v>
      </c>
      <c r="S10" s="3">
        <v>8594</v>
      </c>
      <c r="T10" s="5">
        <f t="shared" si="1"/>
        <v>13716</v>
      </c>
    </row>
    <row r="11" spans="1:20" ht="18.75" customHeight="1">
      <c r="A11" s="4" t="s">
        <v>20</v>
      </c>
      <c r="B11" s="10">
        <v>45301</v>
      </c>
      <c r="C11" s="2">
        <v>1220</v>
      </c>
      <c r="D11" s="2">
        <v>1277</v>
      </c>
      <c r="E11" s="2">
        <v>300</v>
      </c>
      <c r="F11" s="2">
        <v>2250</v>
      </c>
      <c r="G11" s="2">
        <v>1965</v>
      </c>
      <c r="H11" s="2">
        <v>0</v>
      </c>
      <c r="I11" s="2">
        <v>340</v>
      </c>
      <c r="J11" s="2">
        <v>0</v>
      </c>
      <c r="K11" s="2">
        <v>1100</v>
      </c>
      <c r="L11" s="2">
        <v>7968</v>
      </c>
      <c r="M11" s="2">
        <v>3234</v>
      </c>
      <c r="N11" s="2">
        <v>297</v>
      </c>
      <c r="O11" s="2">
        <v>252</v>
      </c>
      <c r="P11" s="2">
        <v>196</v>
      </c>
      <c r="Q11" s="3">
        <f t="shared" si="0"/>
        <v>20399</v>
      </c>
      <c r="R11" s="3">
        <v>6296</v>
      </c>
      <c r="S11" s="3">
        <v>8883</v>
      </c>
      <c r="T11" s="5">
        <f t="shared" si="1"/>
        <v>5220</v>
      </c>
    </row>
    <row r="12" spans="1:20" ht="18.75" customHeight="1">
      <c r="A12" s="4" t="s">
        <v>21</v>
      </c>
      <c r="B12" s="10">
        <v>45302</v>
      </c>
      <c r="C12" s="2">
        <v>655</v>
      </c>
      <c r="D12" s="2">
        <v>660</v>
      </c>
      <c r="E12" s="2">
        <v>675</v>
      </c>
      <c r="F12" s="2">
        <v>3755</v>
      </c>
      <c r="G12" s="2">
        <v>1662</v>
      </c>
      <c r="H12" s="2">
        <v>0</v>
      </c>
      <c r="I12" s="2">
        <v>1100</v>
      </c>
      <c r="J12" s="2">
        <v>0</v>
      </c>
      <c r="K12" s="2">
        <v>1480</v>
      </c>
      <c r="L12" s="2">
        <v>5150</v>
      </c>
      <c r="M12" s="2">
        <v>3480</v>
      </c>
      <c r="N12" s="2">
        <v>577</v>
      </c>
      <c r="O12" s="2">
        <v>0</v>
      </c>
      <c r="P12" s="2">
        <v>172</v>
      </c>
      <c r="Q12" s="3">
        <f t="shared" si="0"/>
        <v>19366</v>
      </c>
      <c r="R12" s="3">
        <v>5949</v>
      </c>
      <c r="S12" s="3">
        <v>8596</v>
      </c>
      <c r="T12" s="5">
        <f t="shared" si="1"/>
        <v>4821</v>
      </c>
    </row>
    <row r="13" spans="1:20" ht="18.75" customHeight="1">
      <c r="A13" s="4" t="s">
        <v>22</v>
      </c>
      <c r="B13" s="10">
        <v>45303</v>
      </c>
      <c r="C13" s="2">
        <v>1505</v>
      </c>
      <c r="D13" s="2">
        <v>2105</v>
      </c>
      <c r="E13" s="2">
        <v>650</v>
      </c>
      <c r="F13" s="2">
        <v>2475</v>
      </c>
      <c r="G13" s="2">
        <v>1320</v>
      </c>
      <c r="H13" s="2">
        <v>0</v>
      </c>
      <c r="I13" s="2">
        <v>978</v>
      </c>
      <c r="J13" s="2">
        <v>0</v>
      </c>
      <c r="K13" s="2">
        <v>2533</v>
      </c>
      <c r="L13" s="2">
        <v>11300</v>
      </c>
      <c r="M13" s="2">
        <v>4355</v>
      </c>
      <c r="N13" s="2">
        <v>336</v>
      </c>
      <c r="O13" s="2">
        <v>484</v>
      </c>
      <c r="P13" s="2">
        <v>300</v>
      </c>
      <c r="Q13" s="3">
        <f t="shared" si="0"/>
        <v>28341</v>
      </c>
      <c r="R13" s="3">
        <v>7080</v>
      </c>
      <c r="S13" s="3">
        <v>11341</v>
      </c>
      <c r="T13" s="5">
        <f t="shared" si="1"/>
        <v>9920</v>
      </c>
    </row>
    <row r="14" spans="1:20" ht="18.75" customHeight="1">
      <c r="A14" s="4" t="s">
        <v>23</v>
      </c>
      <c r="B14" s="10">
        <v>45304</v>
      </c>
      <c r="C14" s="2">
        <v>1300</v>
      </c>
      <c r="D14" s="2">
        <v>715</v>
      </c>
      <c r="E14" s="2">
        <v>400</v>
      </c>
      <c r="F14" s="2">
        <v>1810</v>
      </c>
      <c r="G14" s="2">
        <v>1640</v>
      </c>
      <c r="H14" s="2">
        <v>0</v>
      </c>
      <c r="I14" s="2">
        <v>655</v>
      </c>
      <c r="J14" s="2">
        <v>0</v>
      </c>
      <c r="K14" s="2">
        <v>2200</v>
      </c>
      <c r="L14" s="2">
        <v>9275</v>
      </c>
      <c r="M14" s="2">
        <v>3600</v>
      </c>
      <c r="N14" s="2">
        <v>460</v>
      </c>
      <c r="O14" s="2">
        <v>325</v>
      </c>
      <c r="P14" s="2">
        <v>132</v>
      </c>
      <c r="Q14" s="3">
        <f t="shared" si="0"/>
        <v>22512</v>
      </c>
      <c r="R14" s="3">
        <v>5482</v>
      </c>
      <c r="S14" s="3">
        <v>6773</v>
      </c>
      <c r="T14" s="5">
        <f t="shared" si="1"/>
        <v>10257</v>
      </c>
    </row>
    <row r="15" spans="1:20" ht="18.75" customHeight="1">
      <c r="A15" s="4" t="s">
        <v>17</v>
      </c>
      <c r="B15" s="10">
        <v>45305</v>
      </c>
      <c r="C15" s="2">
        <v>990</v>
      </c>
      <c r="D15" s="2">
        <v>1660</v>
      </c>
      <c r="E15" s="2">
        <v>0</v>
      </c>
      <c r="F15" s="2">
        <v>2835</v>
      </c>
      <c r="G15" s="2">
        <v>1607</v>
      </c>
      <c r="H15" s="2">
        <v>0</v>
      </c>
      <c r="I15" s="2">
        <v>655</v>
      </c>
      <c r="J15" s="2">
        <v>0</v>
      </c>
      <c r="K15" s="2">
        <v>1126</v>
      </c>
      <c r="L15" s="2">
        <v>14683</v>
      </c>
      <c r="M15" s="2">
        <v>8532</v>
      </c>
      <c r="N15" s="2">
        <v>135</v>
      </c>
      <c r="O15" s="2">
        <v>965</v>
      </c>
      <c r="P15" s="2">
        <v>1681</v>
      </c>
      <c r="Q15" s="3">
        <f t="shared" si="0"/>
        <v>34869</v>
      </c>
      <c r="R15" s="3">
        <v>6178</v>
      </c>
      <c r="S15" s="3">
        <v>9242</v>
      </c>
      <c r="T15" s="5">
        <f t="shared" si="1"/>
        <v>19449</v>
      </c>
    </row>
    <row r="16" spans="1:20" ht="18.75" customHeight="1">
      <c r="A16" s="4" t="s">
        <v>18</v>
      </c>
      <c r="B16" s="10">
        <v>45306</v>
      </c>
      <c r="C16" s="2">
        <v>730</v>
      </c>
      <c r="D16" s="2">
        <v>2075</v>
      </c>
      <c r="E16" s="2">
        <v>0</v>
      </c>
      <c r="F16" s="2">
        <v>3035</v>
      </c>
      <c r="G16" s="2">
        <v>1801</v>
      </c>
      <c r="H16" s="2">
        <v>0</v>
      </c>
      <c r="I16" s="2">
        <v>445</v>
      </c>
      <c r="J16" s="2">
        <v>0</v>
      </c>
      <c r="K16" s="2">
        <v>1435.5</v>
      </c>
      <c r="L16" s="2">
        <v>8748</v>
      </c>
      <c r="M16" s="2">
        <v>4650</v>
      </c>
      <c r="N16" s="2">
        <v>935</v>
      </c>
      <c r="O16" s="2">
        <v>0</v>
      </c>
      <c r="P16" s="2">
        <v>315</v>
      </c>
      <c r="Q16" s="3">
        <f t="shared" si="0"/>
        <v>24169.5</v>
      </c>
      <c r="R16" s="3">
        <v>5590</v>
      </c>
      <c r="S16" s="3">
        <v>12439</v>
      </c>
      <c r="T16" s="5">
        <f t="shared" si="1"/>
        <v>6140.5</v>
      </c>
    </row>
    <row r="17" spans="1:20" ht="18.75" customHeight="1">
      <c r="A17" s="4" t="s">
        <v>19</v>
      </c>
      <c r="B17" s="10">
        <v>45307</v>
      </c>
      <c r="C17" s="2">
        <v>1585</v>
      </c>
      <c r="D17" s="2">
        <v>0</v>
      </c>
      <c r="E17" s="2">
        <v>0</v>
      </c>
      <c r="F17" s="2">
        <v>3085</v>
      </c>
      <c r="G17" s="2">
        <v>2280</v>
      </c>
      <c r="H17" s="2">
        <v>0</v>
      </c>
      <c r="I17" s="2">
        <v>0</v>
      </c>
      <c r="J17" s="2">
        <v>0</v>
      </c>
      <c r="K17" s="2">
        <v>1551</v>
      </c>
      <c r="L17" s="2">
        <v>11323</v>
      </c>
      <c r="M17" s="2">
        <v>5354</v>
      </c>
      <c r="N17" s="2">
        <v>610</v>
      </c>
      <c r="O17" s="2">
        <v>155</v>
      </c>
      <c r="P17" s="2">
        <v>314</v>
      </c>
      <c r="Q17" s="3">
        <f t="shared" si="0"/>
        <v>26257</v>
      </c>
      <c r="R17" s="3">
        <v>5728</v>
      </c>
      <c r="S17" s="3">
        <v>7461</v>
      </c>
      <c r="T17" s="5">
        <f t="shared" si="1"/>
        <v>13068</v>
      </c>
    </row>
    <row r="18" spans="1:20" ht="18.75" customHeight="1">
      <c r="A18" s="4" t="s">
        <v>20</v>
      </c>
      <c r="B18" s="10">
        <v>45308</v>
      </c>
      <c r="C18" s="2">
        <v>1185</v>
      </c>
      <c r="D18" s="2">
        <v>1495</v>
      </c>
      <c r="E18" s="2">
        <v>0</v>
      </c>
      <c r="F18" s="2">
        <v>2820</v>
      </c>
      <c r="G18" s="2">
        <v>1372</v>
      </c>
      <c r="H18" s="2">
        <v>0</v>
      </c>
      <c r="I18" s="2">
        <v>0</v>
      </c>
      <c r="J18" s="2">
        <v>0</v>
      </c>
      <c r="K18" s="2">
        <v>2038</v>
      </c>
      <c r="L18" s="2">
        <v>10768</v>
      </c>
      <c r="M18" s="2">
        <v>5461</v>
      </c>
      <c r="N18" s="2">
        <v>967</v>
      </c>
      <c r="O18" s="2">
        <v>132</v>
      </c>
      <c r="P18" s="2">
        <v>292</v>
      </c>
      <c r="Q18" s="3">
        <f t="shared" si="0"/>
        <v>26530</v>
      </c>
      <c r="R18" s="3">
        <v>6448</v>
      </c>
      <c r="S18" s="3">
        <v>6530</v>
      </c>
      <c r="T18" s="5">
        <f t="shared" si="1"/>
        <v>13552</v>
      </c>
    </row>
    <row r="19" spans="1:20" ht="18.75" customHeight="1">
      <c r="A19" s="4" t="s">
        <v>21</v>
      </c>
      <c r="B19" s="10">
        <v>45309</v>
      </c>
      <c r="C19" s="2">
        <v>1470</v>
      </c>
      <c r="D19" s="2">
        <v>1045</v>
      </c>
      <c r="E19" s="2">
        <v>0</v>
      </c>
      <c r="F19" s="2">
        <v>3265</v>
      </c>
      <c r="G19" s="2">
        <v>1175</v>
      </c>
      <c r="H19" s="2">
        <v>0</v>
      </c>
      <c r="I19" s="2">
        <v>0</v>
      </c>
      <c r="J19" s="2">
        <v>0</v>
      </c>
      <c r="K19" s="2">
        <v>2175</v>
      </c>
      <c r="L19" s="2">
        <v>6674</v>
      </c>
      <c r="M19" s="2">
        <v>5494</v>
      </c>
      <c r="N19" s="2">
        <v>397</v>
      </c>
      <c r="O19" s="2">
        <v>0</v>
      </c>
      <c r="P19" s="2">
        <v>0</v>
      </c>
      <c r="Q19" s="3">
        <f t="shared" si="0"/>
        <v>21695</v>
      </c>
      <c r="R19" s="3">
        <v>5083</v>
      </c>
      <c r="S19" s="3">
        <v>11738</v>
      </c>
      <c r="T19" s="5">
        <f t="shared" si="1"/>
        <v>4874</v>
      </c>
    </row>
    <row r="20" spans="1:20" ht="18.75" customHeight="1">
      <c r="A20" s="4" t="s">
        <v>22</v>
      </c>
      <c r="B20" s="10">
        <v>45310</v>
      </c>
      <c r="C20" s="2">
        <v>1475</v>
      </c>
      <c r="D20" s="2">
        <v>2350</v>
      </c>
      <c r="E20" s="2">
        <v>0</v>
      </c>
      <c r="F20" s="2">
        <v>2665</v>
      </c>
      <c r="G20" s="2">
        <v>2302</v>
      </c>
      <c r="H20" s="2">
        <v>0</v>
      </c>
      <c r="I20" s="2">
        <v>1385</v>
      </c>
      <c r="J20" s="2">
        <v>0</v>
      </c>
      <c r="K20" s="2">
        <v>2060</v>
      </c>
      <c r="L20" s="2">
        <v>8624</v>
      </c>
      <c r="M20" s="2">
        <v>4684</v>
      </c>
      <c r="N20" s="2">
        <v>1333</v>
      </c>
      <c r="O20" s="2">
        <v>203</v>
      </c>
      <c r="P20" s="2">
        <v>729</v>
      </c>
      <c r="Q20" s="3">
        <f t="shared" si="0"/>
        <v>27810</v>
      </c>
      <c r="R20" s="3">
        <v>8493</v>
      </c>
      <c r="S20" s="3">
        <v>10022</v>
      </c>
      <c r="T20" s="5">
        <f t="shared" si="1"/>
        <v>9295</v>
      </c>
    </row>
    <row r="21" spans="1:20" ht="18.75" customHeight="1">
      <c r="A21" s="4" t="s">
        <v>23</v>
      </c>
      <c r="B21" s="10">
        <v>45311</v>
      </c>
      <c r="C21" s="2">
        <v>1370</v>
      </c>
      <c r="D21" s="2">
        <v>1375</v>
      </c>
      <c r="E21" s="2">
        <v>0</v>
      </c>
      <c r="F21" s="2">
        <v>1695</v>
      </c>
      <c r="G21" s="2">
        <v>1537</v>
      </c>
      <c r="H21" s="2">
        <v>0</v>
      </c>
      <c r="I21" s="2">
        <v>570</v>
      </c>
      <c r="J21" s="2">
        <v>0</v>
      </c>
      <c r="K21" s="2">
        <v>1595</v>
      </c>
      <c r="L21" s="2">
        <v>9658</v>
      </c>
      <c r="M21" s="2">
        <v>5177</v>
      </c>
      <c r="N21" s="2">
        <v>801</v>
      </c>
      <c r="O21" s="2">
        <v>381</v>
      </c>
      <c r="P21" s="2">
        <v>158</v>
      </c>
      <c r="Q21" s="3">
        <f t="shared" si="0"/>
        <v>24317</v>
      </c>
      <c r="R21" s="3">
        <v>7345</v>
      </c>
      <c r="S21" s="3">
        <v>16520</v>
      </c>
      <c r="T21" s="5">
        <f t="shared" si="1"/>
        <v>452</v>
      </c>
    </row>
    <row r="22" spans="1:20" ht="18.75" customHeight="1">
      <c r="A22" s="4" t="s">
        <v>17</v>
      </c>
      <c r="B22" s="10">
        <v>45312</v>
      </c>
      <c r="C22" s="2">
        <v>1290</v>
      </c>
      <c r="D22" s="2">
        <v>930</v>
      </c>
      <c r="E22" s="2">
        <v>0</v>
      </c>
      <c r="F22" s="2">
        <v>540</v>
      </c>
      <c r="G22" s="2">
        <v>2110</v>
      </c>
      <c r="H22" s="2">
        <v>0</v>
      </c>
      <c r="I22" s="2">
        <v>1060</v>
      </c>
      <c r="J22" s="2">
        <v>0</v>
      </c>
      <c r="K22" s="2">
        <v>650</v>
      </c>
      <c r="L22" s="2">
        <v>12401</v>
      </c>
      <c r="M22" s="2">
        <v>7810</v>
      </c>
      <c r="N22" s="2">
        <v>537</v>
      </c>
      <c r="O22" s="2">
        <v>519</v>
      </c>
      <c r="P22" s="2">
        <v>1559</v>
      </c>
      <c r="Q22" s="3">
        <f t="shared" si="0"/>
        <v>29406</v>
      </c>
      <c r="R22" s="3">
        <v>6805</v>
      </c>
      <c r="S22" s="3">
        <v>8235</v>
      </c>
      <c r="T22" s="5">
        <f t="shared" si="1"/>
        <v>14366</v>
      </c>
    </row>
    <row r="23" spans="1:20" ht="18.75" customHeight="1">
      <c r="A23" s="4" t="s">
        <v>18</v>
      </c>
      <c r="B23" s="10">
        <v>45313</v>
      </c>
      <c r="C23" s="2">
        <v>1760</v>
      </c>
      <c r="D23" s="2">
        <v>1265</v>
      </c>
      <c r="E23" s="2">
        <v>0</v>
      </c>
      <c r="F23" s="2">
        <v>2445</v>
      </c>
      <c r="G23" s="2">
        <v>2013</v>
      </c>
      <c r="H23" s="2">
        <v>0</v>
      </c>
      <c r="I23" s="2">
        <v>410</v>
      </c>
      <c r="J23" s="2">
        <v>0</v>
      </c>
      <c r="K23" s="2">
        <v>1760</v>
      </c>
      <c r="L23" s="2">
        <v>6588</v>
      </c>
      <c r="M23" s="2">
        <v>4700</v>
      </c>
      <c r="N23" s="2">
        <v>432</v>
      </c>
      <c r="O23" s="2">
        <v>0</v>
      </c>
      <c r="P23" s="2">
        <v>0</v>
      </c>
      <c r="Q23" s="3">
        <f t="shared" si="0"/>
        <v>21373</v>
      </c>
      <c r="R23" s="3">
        <v>5693</v>
      </c>
      <c r="S23" s="3">
        <v>11336</v>
      </c>
      <c r="T23" s="5">
        <f t="shared" si="1"/>
        <v>4344</v>
      </c>
    </row>
    <row r="24" spans="1:20" ht="18.75" customHeight="1">
      <c r="A24" s="4" t="s">
        <v>19</v>
      </c>
      <c r="B24" s="10">
        <v>45314</v>
      </c>
      <c r="C24" s="2">
        <v>1970</v>
      </c>
      <c r="D24" s="2">
        <v>1120</v>
      </c>
      <c r="E24" s="2">
        <v>0</v>
      </c>
      <c r="F24" s="2">
        <v>2220</v>
      </c>
      <c r="G24" s="2">
        <v>1558</v>
      </c>
      <c r="H24" s="2">
        <v>0</v>
      </c>
      <c r="I24" s="2">
        <v>800</v>
      </c>
      <c r="J24" s="2">
        <v>0</v>
      </c>
      <c r="K24" s="2">
        <v>1520</v>
      </c>
      <c r="L24" s="2">
        <v>7287</v>
      </c>
      <c r="M24" s="2">
        <v>4518</v>
      </c>
      <c r="N24" s="2">
        <v>519</v>
      </c>
      <c r="O24" s="2">
        <v>365</v>
      </c>
      <c r="P24" s="2">
        <v>680</v>
      </c>
      <c r="Q24" s="3">
        <f t="shared" si="0"/>
        <v>22557</v>
      </c>
      <c r="R24" s="3">
        <v>7480</v>
      </c>
      <c r="S24" s="3">
        <v>8382</v>
      </c>
      <c r="T24" s="5">
        <f t="shared" si="1"/>
        <v>6695</v>
      </c>
    </row>
    <row r="25" spans="1:20" ht="18.75" customHeight="1">
      <c r="A25" s="4" t="s">
        <v>20</v>
      </c>
      <c r="B25" s="10">
        <v>45315</v>
      </c>
      <c r="C25" s="2">
        <v>805</v>
      </c>
      <c r="D25" s="2">
        <v>865</v>
      </c>
      <c r="E25" s="2">
        <v>0</v>
      </c>
      <c r="F25" s="2">
        <v>2410</v>
      </c>
      <c r="G25" s="2">
        <v>1588</v>
      </c>
      <c r="H25" s="2">
        <v>0</v>
      </c>
      <c r="I25" s="2">
        <v>565</v>
      </c>
      <c r="J25" s="2">
        <v>0</v>
      </c>
      <c r="K25" s="2">
        <v>1194</v>
      </c>
      <c r="L25" s="2">
        <v>7063</v>
      </c>
      <c r="M25" s="2">
        <v>3719</v>
      </c>
      <c r="N25" s="2">
        <v>1069</v>
      </c>
      <c r="O25" s="2">
        <v>157</v>
      </c>
      <c r="P25" s="2">
        <v>673</v>
      </c>
      <c r="Q25" s="3">
        <f t="shared" si="0"/>
        <v>20108</v>
      </c>
      <c r="R25" s="3">
        <v>5310</v>
      </c>
      <c r="S25" s="3">
        <v>7720</v>
      </c>
      <c r="T25" s="5">
        <f t="shared" si="1"/>
        <v>7078</v>
      </c>
    </row>
    <row r="26" spans="1:20" ht="18.75" customHeight="1">
      <c r="A26" s="4" t="s">
        <v>21</v>
      </c>
      <c r="B26" s="10">
        <v>45316</v>
      </c>
      <c r="C26" s="2">
        <v>1320</v>
      </c>
      <c r="D26" s="2">
        <v>1335</v>
      </c>
      <c r="E26" s="2">
        <v>0</v>
      </c>
      <c r="F26" s="2">
        <v>3220</v>
      </c>
      <c r="G26" s="2">
        <v>832</v>
      </c>
      <c r="H26" s="2">
        <v>0</v>
      </c>
      <c r="I26" s="2">
        <v>445</v>
      </c>
      <c r="J26" s="2">
        <v>0</v>
      </c>
      <c r="K26" s="2">
        <v>1535</v>
      </c>
      <c r="L26" s="2">
        <v>6003</v>
      </c>
      <c r="M26" s="2">
        <v>3782</v>
      </c>
      <c r="N26" s="2">
        <v>1005</v>
      </c>
      <c r="O26" s="2">
        <v>234</v>
      </c>
      <c r="P26" s="2">
        <v>200</v>
      </c>
      <c r="Q26" s="3">
        <f t="shared" si="0"/>
        <v>19911</v>
      </c>
      <c r="R26" s="3">
        <v>5222</v>
      </c>
      <c r="S26" s="3">
        <v>11009</v>
      </c>
      <c r="T26" s="5">
        <f t="shared" si="1"/>
        <v>3680</v>
      </c>
    </row>
    <row r="27" spans="1:20" ht="18.75" customHeight="1">
      <c r="A27" s="4" t="s">
        <v>22</v>
      </c>
      <c r="B27" s="10">
        <v>45317</v>
      </c>
      <c r="C27" s="2">
        <v>1625</v>
      </c>
      <c r="D27" s="2">
        <v>1663</v>
      </c>
      <c r="E27" s="2">
        <v>0</v>
      </c>
      <c r="F27" s="2">
        <v>2865</v>
      </c>
      <c r="G27" s="2">
        <v>1842</v>
      </c>
      <c r="H27" s="2">
        <v>0</v>
      </c>
      <c r="I27" s="2">
        <v>1215</v>
      </c>
      <c r="J27" s="2">
        <v>0</v>
      </c>
      <c r="K27" s="2">
        <v>2255</v>
      </c>
      <c r="L27" s="2">
        <v>10443</v>
      </c>
      <c r="M27" s="2">
        <v>3455</v>
      </c>
      <c r="N27" s="2">
        <v>175</v>
      </c>
      <c r="O27" s="2">
        <v>234</v>
      </c>
      <c r="P27" s="2">
        <v>810</v>
      </c>
      <c r="Q27" s="3">
        <f t="shared" si="0"/>
        <v>26582</v>
      </c>
      <c r="R27" s="3">
        <v>6007</v>
      </c>
      <c r="S27" s="3">
        <v>9691</v>
      </c>
      <c r="T27" s="5">
        <f t="shared" si="1"/>
        <v>10884</v>
      </c>
    </row>
    <row r="28" spans="1:20" ht="18.75" customHeight="1">
      <c r="A28" s="4" t="s">
        <v>23</v>
      </c>
      <c r="B28" s="10">
        <v>45318</v>
      </c>
      <c r="C28" s="2">
        <v>1720</v>
      </c>
      <c r="D28" s="2">
        <v>1100</v>
      </c>
      <c r="E28" s="2">
        <v>525</v>
      </c>
      <c r="F28" s="2">
        <v>3340</v>
      </c>
      <c r="G28" s="2">
        <v>2050</v>
      </c>
      <c r="H28" s="2">
        <v>0</v>
      </c>
      <c r="I28" s="2">
        <v>685</v>
      </c>
      <c r="J28" s="2">
        <v>0</v>
      </c>
      <c r="K28" s="2">
        <v>2070</v>
      </c>
      <c r="L28" s="2">
        <v>9783</v>
      </c>
      <c r="M28" s="2">
        <v>7468</v>
      </c>
      <c r="N28" s="2">
        <v>0</v>
      </c>
      <c r="O28" s="2">
        <v>136</v>
      </c>
      <c r="P28" s="2">
        <v>688</v>
      </c>
      <c r="Q28" s="3">
        <f t="shared" si="0"/>
        <v>29565</v>
      </c>
      <c r="R28" s="3">
        <v>7305</v>
      </c>
      <c r="S28" s="3">
        <v>12349</v>
      </c>
      <c r="T28" s="5">
        <f t="shared" si="1"/>
        <v>9911</v>
      </c>
    </row>
    <row r="29" spans="1:20" ht="18.75" customHeight="1">
      <c r="A29" s="4" t="s">
        <v>17</v>
      </c>
      <c r="B29" s="10">
        <v>45319</v>
      </c>
      <c r="C29" s="2">
        <v>1560</v>
      </c>
      <c r="D29" s="2">
        <v>695</v>
      </c>
      <c r="E29" s="2">
        <v>453</v>
      </c>
      <c r="F29" s="2">
        <v>1960</v>
      </c>
      <c r="G29" s="2">
        <v>1200</v>
      </c>
      <c r="H29" s="2">
        <v>0</v>
      </c>
      <c r="I29" s="2">
        <v>550</v>
      </c>
      <c r="J29" s="2">
        <v>0</v>
      </c>
      <c r="K29" s="2">
        <v>592</v>
      </c>
      <c r="L29" s="2">
        <v>10727</v>
      </c>
      <c r="M29" s="2">
        <v>4241</v>
      </c>
      <c r="N29" s="2">
        <v>908</v>
      </c>
      <c r="O29" s="2">
        <v>507</v>
      </c>
      <c r="P29" s="2">
        <v>2395</v>
      </c>
      <c r="Q29" s="3">
        <f t="shared" si="0"/>
        <v>25788</v>
      </c>
      <c r="R29" s="3">
        <v>7162</v>
      </c>
      <c r="S29" s="3">
        <v>10675</v>
      </c>
      <c r="T29" s="5">
        <f t="shared" si="1"/>
        <v>7951</v>
      </c>
    </row>
    <row r="30" spans="1:20" ht="18.75" customHeight="1">
      <c r="A30" s="4" t="s">
        <v>18</v>
      </c>
      <c r="B30" s="10">
        <v>45320</v>
      </c>
      <c r="C30" s="2">
        <v>1175</v>
      </c>
      <c r="D30" s="2">
        <v>1079</v>
      </c>
      <c r="E30" s="2">
        <v>711</v>
      </c>
      <c r="F30" s="2">
        <v>2545</v>
      </c>
      <c r="G30" s="2">
        <v>1004</v>
      </c>
      <c r="H30" s="2">
        <v>0</v>
      </c>
      <c r="I30" s="2">
        <v>1010</v>
      </c>
      <c r="J30" s="2">
        <v>0</v>
      </c>
      <c r="K30" s="2">
        <v>1150</v>
      </c>
      <c r="L30" s="2">
        <v>9392</v>
      </c>
      <c r="M30" s="2">
        <v>3396</v>
      </c>
      <c r="N30" s="2">
        <v>522</v>
      </c>
      <c r="O30" s="2">
        <v>160</v>
      </c>
      <c r="P30" s="2">
        <v>822</v>
      </c>
      <c r="Q30" s="3">
        <f t="shared" si="0"/>
        <v>22966</v>
      </c>
      <c r="R30" s="3">
        <v>6157</v>
      </c>
      <c r="S30" s="3">
        <v>9847</v>
      </c>
      <c r="T30" s="5">
        <f t="shared" si="1"/>
        <v>6962</v>
      </c>
    </row>
    <row r="31" spans="1:20" ht="19.149999999999999" customHeight="1">
      <c r="A31" s="4" t="s">
        <v>19</v>
      </c>
      <c r="B31" s="10">
        <v>45321</v>
      </c>
      <c r="C31" s="2">
        <v>1645</v>
      </c>
      <c r="D31" s="2">
        <v>1205</v>
      </c>
      <c r="E31" s="2">
        <v>500</v>
      </c>
      <c r="F31" s="2">
        <v>1725</v>
      </c>
      <c r="G31" s="2">
        <v>2120</v>
      </c>
      <c r="H31" s="2">
        <v>0</v>
      </c>
      <c r="I31" s="2">
        <v>980</v>
      </c>
      <c r="J31" s="2">
        <v>0</v>
      </c>
      <c r="K31" s="2">
        <v>915</v>
      </c>
      <c r="L31" s="2">
        <v>7066</v>
      </c>
      <c r="M31" s="2">
        <v>3770</v>
      </c>
      <c r="N31" s="2">
        <v>640</v>
      </c>
      <c r="O31" s="2">
        <v>0</v>
      </c>
      <c r="P31" s="2">
        <v>0</v>
      </c>
      <c r="Q31" s="3">
        <f t="shared" si="0"/>
        <v>20566</v>
      </c>
      <c r="R31" s="3">
        <v>6576</v>
      </c>
      <c r="S31" s="3">
        <v>7812</v>
      </c>
      <c r="T31" s="5">
        <f t="shared" si="1"/>
        <v>6178</v>
      </c>
    </row>
    <row r="32" spans="1:20" ht="19.149999999999999" customHeight="1">
      <c r="A32" s="4" t="s">
        <v>20</v>
      </c>
      <c r="B32" s="10">
        <v>45322</v>
      </c>
      <c r="C32" s="2">
        <v>1395</v>
      </c>
      <c r="D32" s="2">
        <v>1715</v>
      </c>
      <c r="E32" s="2">
        <v>0</v>
      </c>
      <c r="F32" s="2">
        <v>2335</v>
      </c>
      <c r="G32" s="2">
        <v>1456</v>
      </c>
      <c r="H32" s="2">
        <v>0</v>
      </c>
      <c r="I32" s="2">
        <v>655</v>
      </c>
      <c r="J32" s="2">
        <v>0</v>
      </c>
      <c r="K32" s="2">
        <v>1085</v>
      </c>
      <c r="L32" s="2">
        <v>9922</v>
      </c>
      <c r="M32" s="2">
        <v>3915</v>
      </c>
      <c r="N32" s="2">
        <v>1355</v>
      </c>
      <c r="O32" s="2">
        <v>182</v>
      </c>
      <c r="P32" s="2">
        <v>140</v>
      </c>
      <c r="Q32" s="3">
        <f t="shared" si="0"/>
        <v>24155</v>
      </c>
      <c r="R32" s="3">
        <v>5886</v>
      </c>
      <c r="S32" s="3">
        <v>5742</v>
      </c>
      <c r="T32" s="5">
        <f t="shared" si="1"/>
        <v>12527</v>
      </c>
    </row>
    <row r="33" spans="1:20" ht="18.75" customHeight="1">
      <c r="A33" s="6" t="s">
        <v>21</v>
      </c>
      <c r="B33" s="10">
        <v>45323</v>
      </c>
      <c r="C33" s="2">
        <v>2395</v>
      </c>
      <c r="D33" s="2">
        <v>1295</v>
      </c>
      <c r="E33" s="2">
        <v>710</v>
      </c>
      <c r="F33" s="2">
        <v>2465</v>
      </c>
      <c r="G33" s="2">
        <v>1445</v>
      </c>
      <c r="H33" s="2">
        <v>0</v>
      </c>
      <c r="I33" s="2">
        <v>406</v>
      </c>
      <c r="J33" s="2">
        <v>0</v>
      </c>
      <c r="K33" s="2">
        <v>1360</v>
      </c>
      <c r="L33" s="2">
        <v>7689</v>
      </c>
      <c r="M33" s="2">
        <v>5858</v>
      </c>
      <c r="N33" s="2">
        <v>625</v>
      </c>
      <c r="O33" s="2">
        <v>0</v>
      </c>
      <c r="P33" s="2">
        <v>74</v>
      </c>
      <c r="Q33" s="3">
        <f t="shared" si="0"/>
        <v>24322</v>
      </c>
      <c r="R33" s="3">
        <v>6072</v>
      </c>
      <c r="S33" s="3">
        <v>8927</v>
      </c>
      <c r="T33" s="5">
        <f t="shared" si="1"/>
        <v>9323</v>
      </c>
    </row>
    <row r="34" spans="1:20" ht="18.75" customHeight="1">
      <c r="A34" s="6" t="s">
        <v>22</v>
      </c>
      <c r="B34" s="10">
        <v>45324</v>
      </c>
      <c r="C34" s="2">
        <v>1350</v>
      </c>
      <c r="D34" s="2">
        <v>910</v>
      </c>
      <c r="E34" s="2">
        <v>485</v>
      </c>
      <c r="F34" s="2">
        <v>2640</v>
      </c>
      <c r="G34" s="2">
        <v>2555</v>
      </c>
      <c r="H34" s="2">
        <v>0</v>
      </c>
      <c r="I34" s="2">
        <v>815</v>
      </c>
      <c r="J34" s="2">
        <v>0</v>
      </c>
      <c r="K34" s="2">
        <v>1287</v>
      </c>
      <c r="L34" s="2">
        <v>9616</v>
      </c>
      <c r="M34" s="2">
        <v>8011</v>
      </c>
      <c r="N34" s="2">
        <v>1003</v>
      </c>
      <c r="O34" s="2">
        <v>125</v>
      </c>
      <c r="P34" s="2">
        <v>164</v>
      </c>
      <c r="Q34" s="3">
        <f t="shared" si="0"/>
        <v>28961</v>
      </c>
      <c r="R34" s="3">
        <v>5488</v>
      </c>
      <c r="S34" s="3">
        <v>14098</v>
      </c>
      <c r="T34" s="5">
        <f t="shared" si="1"/>
        <v>9375</v>
      </c>
    </row>
    <row r="35" spans="1:20" ht="18.75" customHeight="1">
      <c r="A35" s="6" t="s">
        <v>23</v>
      </c>
      <c r="B35" s="10">
        <v>45325</v>
      </c>
      <c r="C35" s="2">
        <v>1025</v>
      </c>
      <c r="D35" s="2">
        <v>1070</v>
      </c>
      <c r="E35" s="2">
        <v>705</v>
      </c>
      <c r="F35" s="2">
        <v>2100</v>
      </c>
      <c r="G35" s="2">
        <v>1712</v>
      </c>
      <c r="H35" s="2">
        <v>0</v>
      </c>
      <c r="I35" s="2">
        <v>652</v>
      </c>
      <c r="J35" s="2">
        <v>0</v>
      </c>
      <c r="K35" s="2">
        <v>1325</v>
      </c>
      <c r="L35" s="2">
        <v>13023</v>
      </c>
      <c r="M35" s="2">
        <v>10856</v>
      </c>
      <c r="N35" s="2">
        <v>0</v>
      </c>
      <c r="O35" s="2">
        <v>0</v>
      </c>
      <c r="P35" s="2">
        <v>597</v>
      </c>
      <c r="Q35" s="3">
        <f t="shared" si="0"/>
        <v>33065</v>
      </c>
      <c r="R35" s="3">
        <v>7635</v>
      </c>
      <c r="S35" s="3">
        <v>14569</v>
      </c>
      <c r="T35" s="5">
        <f t="shared" si="1"/>
        <v>10861</v>
      </c>
    </row>
    <row r="36" spans="1:20" ht="18.75" customHeight="1">
      <c r="A36" s="6" t="s">
        <v>17</v>
      </c>
      <c r="B36" s="10">
        <v>45326</v>
      </c>
      <c r="C36" s="2">
        <v>1114</v>
      </c>
      <c r="D36" s="2">
        <v>1709</v>
      </c>
      <c r="E36" s="2">
        <v>405</v>
      </c>
      <c r="F36" s="2">
        <v>3455</v>
      </c>
      <c r="G36" s="2">
        <v>2940</v>
      </c>
      <c r="H36" s="2">
        <v>0</v>
      </c>
      <c r="I36" s="2">
        <v>605</v>
      </c>
      <c r="J36" s="2">
        <v>0</v>
      </c>
      <c r="K36" s="2">
        <v>1133</v>
      </c>
      <c r="L36" s="2">
        <v>14186</v>
      </c>
      <c r="M36" s="2">
        <v>8763</v>
      </c>
      <c r="N36" s="2">
        <v>270</v>
      </c>
      <c r="O36" s="2">
        <v>102</v>
      </c>
      <c r="P36" s="2">
        <v>593</v>
      </c>
      <c r="Q36" s="3">
        <f t="shared" si="0"/>
        <v>35275</v>
      </c>
      <c r="R36" s="3">
        <v>11141</v>
      </c>
      <c r="S36" s="3">
        <v>13692</v>
      </c>
      <c r="T36" s="5">
        <f t="shared" si="1"/>
        <v>10442</v>
      </c>
    </row>
    <row r="37" spans="1:20" ht="18.75" customHeight="1">
      <c r="A37" s="6" t="s">
        <v>18</v>
      </c>
      <c r="B37" s="10">
        <v>45327</v>
      </c>
      <c r="C37" s="2">
        <v>1765</v>
      </c>
      <c r="D37" s="2">
        <v>1505.5</v>
      </c>
      <c r="E37" s="2">
        <v>0</v>
      </c>
      <c r="F37" s="2">
        <v>4680</v>
      </c>
      <c r="G37" s="2">
        <v>1487</v>
      </c>
      <c r="H37" s="2">
        <v>0</v>
      </c>
      <c r="I37" s="2">
        <v>200</v>
      </c>
      <c r="J37" s="2">
        <v>0</v>
      </c>
      <c r="K37" s="2">
        <v>1350</v>
      </c>
      <c r="L37" s="2">
        <v>15563</v>
      </c>
      <c r="M37" s="2">
        <v>8910</v>
      </c>
      <c r="N37" s="2">
        <v>490</v>
      </c>
      <c r="O37" s="2">
        <v>0</v>
      </c>
      <c r="P37" s="2">
        <v>964</v>
      </c>
      <c r="Q37" s="3">
        <f t="shared" si="0"/>
        <v>36914.5</v>
      </c>
      <c r="R37" s="3">
        <v>10745</v>
      </c>
      <c r="S37" s="3">
        <v>18217</v>
      </c>
      <c r="T37" s="5">
        <f t="shared" si="1"/>
        <v>7952.5</v>
      </c>
    </row>
    <row r="38" spans="1:20" ht="18.75" customHeight="1">
      <c r="A38" s="6" t="s">
        <v>19</v>
      </c>
      <c r="B38" s="10">
        <v>45328</v>
      </c>
      <c r="C38" s="2">
        <v>1380</v>
      </c>
      <c r="D38" s="2">
        <v>535</v>
      </c>
      <c r="E38" s="2">
        <v>849</v>
      </c>
      <c r="F38" s="2">
        <v>2710</v>
      </c>
      <c r="G38" s="2">
        <v>1694</v>
      </c>
      <c r="H38" s="2">
        <v>0</v>
      </c>
      <c r="I38" s="2">
        <v>935</v>
      </c>
      <c r="J38" s="2">
        <v>0</v>
      </c>
      <c r="K38" s="2">
        <v>1455</v>
      </c>
      <c r="L38" s="2">
        <v>7803</v>
      </c>
      <c r="M38" s="2">
        <v>4949</v>
      </c>
      <c r="N38" s="2">
        <v>335</v>
      </c>
      <c r="O38" s="2">
        <v>110</v>
      </c>
      <c r="P38" s="2">
        <v>252</v>
      </c>
      <c r="Q38" s="3">
        <f t="shared" si="0"/>
        <v>23007</v>
      </c>
      <c r="R38" s="3">
        <v>6524</v>
      </c>
      <c r="S38" s="3">
        <v>9601</v>
      </c>
      <c r="T38" s="5">
        <f t="shared" si="1"/>
        <v>6882</v>
      </c>
    </row>
    <row r="39" spans="1:20" ht="18.75" customHeight="1">
      <c r="A39" s="6" t="s">
        <v>20</v>
      </c>
      <c r="B39" s="10">
        <v>45329</v>
      </c>
      <c r="C39" s="2">
        <v>1820</v>
      </c>
      <c r="D39" s="2">
        <v>1125</v>
      </c>
      <c r="E39" s="2">
        <v>435</v>
      </c>
      <c r="F39" s="2">
        <v>2365</v>
      </c>
      <c r="G39" s="2">
        <v>2242</v>
      </c>
      <c r="H39" s="2">
        <v>0</v>
      </c>
      <c r="I39" s="2">
        <v>515</v>
      </c>
      <c r="J39" s="2">
        <v>0</v>
      </c>
      <c r="K39" s="2">
        <v>995</v>
      </c>
      <c r="L39" s="2">
        <v>7947</v>
      </c>
      <c r="M39" s="2">
        <v>4221</v>
      </c>
      <c r="N39" s="2">
        <v>1288</v>
      </c>
      <c r="O39" s="2">
        <v>0</v>
      </c>
      <c r="P39" s="2">
        <v>623</v>
      </c>
      <c r="Q39" s="3">
        <f t="shared" si="0"/>
        <v>23576</v>
      </c>
      <c r="R39" s="3">
        <v>9307</v>
      </c>
      <c r="S39" s="3">
        <v>13532</v>
      </c>
      <c r="T39" s="5">
        <f t="shared" si="1"/>
        <v>737</v>
      </c>
    </row>
    <row r="40" spans="1:20" ht="18.75" customHeight="1">
      <c r="A40" s="6" t="s">
        <v>21</v>
      </c>
      <c r="B40" s="10">
        <v>45330</v>
      </c>
      <c r="C40" s="2">
        <v>1350</v>
      </c>
      <c r="D40" s="2">
        <v>2095</v>
      </c>
      <c r="E40" s="2">
        <v>810.5</v>
      </c>
      <c r="F40" s="2">
        <v>1755</v>
      </c>
      <c r="G40" s="2">
        <v>836</v>
      </c>
      <c r="H40" s="2">
        <v>0</v>
      </c>
      <c r="I40" s="2">
        <v>743.5</v>
      </c>
      <c r="J40" s="2">
        <v>0</v>
      </c>
      <c r="K40" s="2">
        <v>1251</v>
      </c>
      <c r="L40" s="2">
        <v>6549</v>
      </c>
      <c r="M40" s="2">
        <v>6485</v>
      </c>
      <c r="N40" s="2">
        <v>240</v>
      </c>
      <c r="O40" s="2">
        <v>114</v>
      </c>
      <c r="P40" s="2">
        <v>200</v>
      </c>
      <c r="Q40" s="3">
        <f t="shared" si="0"/>
        <v>22429</v>
      </c>
      <c r="R40" s="3">
        <v>5576</v>
      </c>
      <c r="S40" s="3">
        <v>12728</v>
      </c>
      <c r="T40" s="5">
        <f t="shared" si="1"/>
        <v>4125</v>
      </c>
    </row>
    <row r="41" spans="1:20" ht="18.75" customHeight="1">
      <c r="A41" s="6" t="s">
        <v>22</v>
      </c>
      <c r="B41" s="10">
        <v>45331</v>
      </c>
      <c r="C41" s="2">
        <v>1670</v>
      </c>
      <c r="D41" s="2">
        <v>1275</v>
      </c>
      <c r="E41" s="2">
        <v>445</v>
      </c>
      <c r="F41" s="2">
        <v>2425</v>
      </c>
      <c r="G41" s="2">
        <v>1832</v>
      </c>
      <c r="H41" s="2">
        <v>0</v>
      </c>
      <c r="I41" s="2">
        <v>655</v>
      </c>
      <c r="J41" s="2">
        <v>0</v>
      </c>
      <c r="K41" s="2">
        <v>2160</v>
      </c>
      <c r="L41" s="2">
        <v>7009</v>
      </c>
      <c r="M41" s="2">
        <v>3341</v>
      </c>
      <c r="N41" s="2">
        <v>239</v>
      </c>
      <c r="O41" s="2">
        <v>0</v>
      </c>
      <c r="P41" s="2">
        <v>41</v>
      </c>
      <c r="Q41" s="3">
        <f t="shared" si="0"/>
        <v>21092</v>
      </c>
      <c r="R41" s="3">
        <v>7173</v>
      </c>
      <c r="S41" s="3">
        <v>948</v>
      </c>
      <c r="T41" s="5">
        <f t="shared" si="1"/>
        <v>12971</v>
      </c>
    </row>
    <row r="42" spans="1:20" ht="18.75" customHeight="1">
      <c r="A42" s="6" t="s">
        <v>23</v>
      </c>
      <c r="B42" s="10">
        <v>45332</v>
      </c>
      <c r="C42" s="2">
        <v>1245</v>
      </c>
      <c r="D42" s="2">
        <v>1980</v>
      </c>
      <c r="E42" s="2">
        <v>995</v>
      </c>
      <c r="F42" s="2">
        <v>2560</v>
      </c>
      <c r="G42" s="2">
        <v>1912</v>
      </c>
      <c r="H42" s="2">
        <v>0</v>
      </c>
      <c r="I42" s="2">
        <v>885</v>
      </c>
      <c r="J42" s="2">
        <v>0</v>
      </c>
      <c r="K42" s="2">
        <v>955</v>
      </c>
      <c r="L42" s="2">
        <v>12313</v>
      </c>
      <c r="M42" s="2">
        <v>2408</v>
      </c>
      <c r="N42" s="2">
        <v>55</v>
      </c>
      <c r="O42" s="2">
        <v>0</v>
      </c>
      <c r="P42" s="2">
        <v>156</v>
      </c>
      <c r="Q42" s="3">
        <f t="shared" si="0"/>
        <v>25464</v>
      </c>
      <c r="R42" s="3">
        <v>7177</v>
      </c>
      <c r="S42" s="3">
        <v>10963</v>
      </c>
      <c r="T42" s="5">
        <f t="shared" si="1"/>
        <v>7324</v>
      </c>
    </row>
    <row r="43" spans="1:20" ht="18.75" customHeight="1">
      <c r="A43" s="6" t="s">
        <v>17</v>
      </c>
      <c r="B43" s="10">
        <v>45333</v>
      </c>
      <c r="C43" s="2">
        <v>2195</v>
      </c>
      <c r="D43" s="2">
        <v>565</v>
      </c>
      <c r="E43" s="2">
        <v>245</v>
      </c>
      <c r="F43" s="2">
        <v>2840</v>
      </c>
      <c r="G43" s="2">
        <v>2729</v>
      </c>
      <c r="H43" s="2">
        <v>0</v>
      </c>
      <c r="I43" s="2">
        <v>730</v>
      </c>
      <c r="J43" s="2">
        <v>0</v>
      </c>
      <c r="K43" s="2">
        <v>1035</v>
      </c>
      <c r="L43" s="2">
        <v>13017</v>
      </c>
      <c r="M43" s="2">
        <v>9603</v>
      </c>
      <c r="N43" s="2">
        <v>119</v>
      </c>
      <c r="O43" s="2">
        <v>974</v>
      </c>
      <c r="P43" s="2">
        <v>859</v>
      </c>
      <c r="Q43" s="3">
        <f t="shared" si="0"/>
        <v>34911</v>
      </c>
      <c r="R43" s="3">
        <v>10470</v>
      </c>
      <c r="S43" s="3">
        <v>9332</v>
      </c>
      <c r="T43" s="5">
        <f t="shared" si="1"/>
        <v>15109</v>
      </c>
    </row>
    <row r="44" spans="1:20" ht="18.75" customHeight="1">
      <c r="A44" s="6" t="s">
        <v>18</v>
      </c>
      <c r="B44" s="10">
        <v>45334</v>
      </c>
      <c r="C44" s="2">
        <v>1810</v>
      </c>
      <c r="D44" s="2">
        <v>1670</v>
      </c>
      <c r="E44" s="2">
        <v>275</v>
      </c>
      <c r="F44" s="2">
        <v>3285</v>
      </c>
      <c r="G44" s="2">
        <v>1804</v>
      </c>
      <c r="H44" s="2">
        <v>0</v>
      </c>
      <c r="I44" s="2">
        <v>0</v>
      </c>
      <c r="J44" s="2">
        <v>0</v>
      </c>
      <c r="K44" s="2">
        <v>3098</v>
      </c>
      <c r="L44" s="2">
        <v>7383</v>
      </c>
      <c r="M44" s="2">
        <v>2401</v>
      </c>
      <c r="N44" s="2">
        <v>337</v>
      </c>
      <c r="O44" s="2">
        <v>525</v>
      </c>
      <c r="P44" s="2">
        <v>261</v>
      </c>
      <c r="Q44" s="3">
        <f t="shared" si="0"/>
        <v>22849</v>
      </c>
      <c r="R44" s="3">
        <v>9516</v>
      </c>
      <c r="S44" s="3">
        <v>11706</v>
      </c>
      <c r="T44" s="5">
        <f t="shared" si="1"/>
        <v>1627</v>
      </c>
    </row>
    <row r="45" spans="1:20" ht="18.75" customHeight="1">
      <c r="A45" s="6" t="s">
        <v>19</v>
      </c>
      <c r="B45" s="10">
        <v>45335</v>
      </c>
      <c r="C45" s="2">
        <v>825</v>
      </c>
      <c r="D45" s="2">
        <v>1535</v>
      </c>
      <c r="E45" s="2">
        <v>915</v>
      </c>
      <c r="F45" s="2">
        <v>2560</v>
      </c>
      <c r="G45" s="2">
        <v>1493</v>
      </c>
      <c r="H45" s="2">
        <v>0</v>
      </c>
      <c r="I45" s="2">
        <v>645</v>
      </c>
      <c r="J45" s="2">
        <v>0</v>
      </c>
      <c r="K45" s="2">
        <v>930</v>
      </c>
      <c r="L45" s="2">
        <v>5325</v>
      </c>
      <c r="M45" s="2">
        <v>5843</v>
      </c>
      <c r="N45" s="2">
        <v>808</v>
      </c>
      <c r="O45" s="2">
        <v>0</v>
      </c>
      <c r="P45" s="2">
        <v>400</v>
      </c>
      <c r="Q45" s="3">
        <f t="shared" si="0"/>
        <v>21279</v>
      </c>
      <c r="R45" s="3">
        <v>6098</v>
      </c>
      <c r="S45" s="3">
        <v>7423</v>
      </c>
      <c r="T45" s="5">
        <f t="shared" si="1"/>
        <v>7758</v>
      </c>
    </row>
    <row r="46" spans="1:20" ht="18.75" customHeight="1">
      <c r="A46" s="6" t="s">
        <v>20</v>
      </c>
      <c r="B46" s="10">
        <v>45336</v>
      </c>
      <c r="C46" s="2">
        <v>1105</v>
      </c>
      <c r="D46" s="2">
        <v>1080</v>
      </c>
      <c r="E46" s="2">
        <v>770</v>
      </c>
      <c r="F46" s="2">
        <v>3030</v>
      </c>
      <c r="G46" s="2">
        <v>1235</v>
      </c>
      <c r="H46" s="2">
        <v>0</v>
      </c>
      <c r="I46" s="2">
        <v>965</v>
      </c>
      <c r="J46" s="2">
        <v>0</v>
      </c>
      <c r="K46" s="2">
        <v>1385</v>
      </c>
      <c r="L46" s="2">
        <v>7409</v>
      </c>
      <c r="M46" s="2">
        <v>5141</v>
      </c>
      <c r="N46" s="2">
        <v>540</v>
      </c>
      <c r="O46" s="2">
        <v>704</v>
      </c>
      <c r="P46" s="2">
        <v>417</v>
      </c>
      <c r="Q46" s="3">
        <f t="shared" si="0"/>
        <v>23781</v>
      </c>
      <c r="R46" s="3">
        <v>8785</v>
      </c>
      <c r="S46" s="3">
        <v>10362</v>
      </c>
      <c r="T46" s="5">
        <f t="shared" si="1"/>
        <v>4634</v>
      </c>
    </row>
    <row r="47" spans="1:20" ht="18.75" customHeight="1">
      <c r="A47" s="6" t="s">
        <v>21</v>
      </c>
      <c r="B47" s="10">
        <v>45337</v>
      </c>
      <c r="C47" s="2">
        <v>1340</v>
      </c>
      <c r="D47" s="2">
        <v>1465</v>
      </c>
      <c r="E47" s="2">
        <v>435</v>
      </c>
      <c r="F47" s="2">
        <v>2605</v>
      </c>
      <c r="G47" s="2">
        <v>1292</v>
      </c>
      <c r="H47" s="2">
        <v>0</v>
      </c>
      <c r="I47" s="2">
        <v>550</v>
      </c>
      <c r="J47" s="2">
        <v>0</v>
      </c>
      <c r="K47" s="2">
        <v>2420</v>
      </c>
      <c r="L47" s="2">
        <v>8232</v>
      </c>
      <c r="M47" s="2">
        <v>5836</v>
      </c>
      <c r="N47" s="2">
        <v>485</v>
      </c>
      <c r="O47" s="2">
        <v>85</v>
      </c>
      <c r="P47" s="2">
        <v>308</v>
      </c>
      <c r="Q47" s="3">
        <f t="shared" si="0"/>
        <v>25053</v>
      </c>
      <c r="R47" s="3">
        <v>6626</v>
      </c>
      <c r="S47" s="3">
        <v>9607</v>
      </c>
      <c r="T47" s="5">
        <f t="shared" si="1"/>
        <v>8820</v>
      </c>
    </row>
    <row r="48" spans="1:20" ht="18.75" customHeight="1">
      <c r="A48" s="6" t="s">
        <v>22</v>
      </c>
      <c r="B48" s="10">
        <v>45338</v>
      </c>
      <c r="C48" s="2">
        <v>2035</v>
      </c>
      <c r="D48" s="2">
        <v>1915</v>
      </c>
      <c r="E48" s="2">
        <v>900</v>
      </c>
      <c r="F48" s="2">
        <v>4185</v>
      </c>
      <c r="G48" s="2">
        <v>1618</v>
      </c>
      <c r="H48" s="2">
        <v>0</v>
      </c>
      <c r="I48" s="2">
        <v>705</v>
      </c>
      <c r="J48" s="2">
        <v>0</v>
      </c>
      <c r="K48" s="2">
        <v>1205</v>
      </c>
      <c r="L48" s="2">
        <v>9009</v>
      </c>
      <c r="M48" s="2">
        <v>2049</v>
      </c>
      <c r="N48" s="2">
        <v>543</v>
      </c>
      <c r="O48" s="2">
        <v>85</v>
      </c>
      <c r="P48" s="2">
        <v>95</v>
      </c>
      <c r="Q48" s="3">
        <f t="shared" si="0"/>
        <v>24344</v>
      </c>
      <c r="R48" s="3">
        <v>9648</v>
      </c>
      <c r="S48" s="3">
        <v>10954</v>
      </c>
      <c r="T48" s="5">
        <f t="shared" si="1"/>
        <v>3742</v>
      </c>
    </row>
    <row r="49" spans="1:20" ht="18.75" customHeight="1">
      <c r="A49" s="6" t="s">
        <v>23</v>
      </c>
      <c r="B49" s="10">
        <v>45339</v>
      </c>
      <c r="C49" s="2">
        <v>2010</v>
      </c>
      <c r="D49" s="2">
        <v>1086</v>
      </c>
      <c r="E49" s="2">
        <v>920</v>
      </c>
      <c r="F49" s="2">
        <v>2220</v>
      </c>
      <c r="G49" s="2">
        <v>865</v>
      </c>
      <c r="H49" s="2">
        <v>0</v>
      </c>
      <c r="I49" s="2">
        <v>475</v>
      </c>
      <c r="J49" s="2">
        <v>0</v>
      </c>
      <c r="K49" s="2">
        <v>1970</v>
      </c>
      <c r="L49" s="2">
        <v>9109</v>
      </c>
      <c r="M49" s="2">
        <v>3487</v>
      </c>
      <c r="N49" s="2">
        <v>516</v>
      </c>
      <c r="O49" s="2">
        <v>393</v>
      </c>
      <c r="P49" s="2">
        <v>190</v>
      </c>
      <c r="Q49" s="3">
        <f t="shared" si="0"/>
        <v>23241</v>
      </c>
      <c r="R49" s="3">
        <v>8257</v>
      </c>
      <c r="S49" s="3">
        <v>14915</v>
      </c>
      <c r="T49" s="5">
        <f t="shared" si="1"/>
        <v>69</v>
      </c>
    </row>
    <row r="50" spans="1:20" ht="18.75" customHeight="1">
      <c r="A50" s="6" t="s">
        <v>17</v>
      </c>
      <c r="B50" s="10">
        <v>45340</v>
      </c>
      <c r="C50" s="2">
        <v>1860</v>
      </c>
      <c r="D50" s="2">
        <v>995</v>
      </c>
      <c r="E50" s="2">
        <v>0</v>
      </c>
      <c r="F50" s="2">
        <v>1770</v>
      </c>
      <c r="G50" s="2">
        <v>1746</v>
      </c>
      <c r="H50" s="2">
        <v>0</v>
      </c>
      <c r="I50" s="2">
        <v>365</v>
      </c>
      <c r="J50" s="2">
        <v>0</v>
      </c>
      <c r="K50" s="2">
        <v>1050</v>
      </c>
      <c r="L50" s="2">
        <v>13621</v>
      </c>
      <c r="M50" s="2">
        <v>4874</v>
      </c>
      <c r="N50" s="2">
        <v>1067</v>
      </c>
      <c r="O50" s="2">
        <v>586</v>
      </c>
      <c r="P50" s="2">
        <v>662</v>
      </c>
      <c r="Q50" s="3">
        <f t="shared" si="0"/>
        <v>28596</v>
      </c>
      <c r="R50" s="3">
        <v>7188</v>
      </c>
      <c r="S50" s="3">
        <v>9418</v>
      </c>
      <c r="T50" s="5">
        <f t="shared" si="1"/>
        <v>11990</v>
      </c>
    </row>
    <row r="51" spans="1:20" ht="18.75" customHeight="1">
      <c r="A51" s="6" t="s">
        <v>18</v>
      </c>
      <c r="B51" s="10">
        <v>45341</v>
      </c>
      <c r="C51" s="2">
        <v>1280</v>
      </c>
      <c r="D51" s="2">
        <v>1440</v>
      </c>
      <c r="E51" s="2">
        <v>745</v>
      </c>
      <c r="F51" s="2">
        <v>2825</v>
      </c>
      <c r="G51" s="2">
        <v>1715</v>
      </c>
      <c r="H51" s="2">
        <v>0</v>
      </c>
      <c r="I51" s="2">
        <v>500</v>
      </c>
      <c r="J51" s="2">
        <v>0</v>
      </c>
      <c r="K51" s="2">
        <v>1005</v>
      </c>
      <c r="L51" s="2">
        <v>8339</v>
      </c>
      <c r="M51" s="2">
        <v>6805</v>
      </c>
      <c r="N51" s="2">
        <v>712</v>
      </c>
      <c r="O51" s="2">
        <v>128</v>
      </c>
      <c r="P51" s="2">
        <v>73</v>
      </c>
      <c r="Q51" s="3">
        <f t="shared" si="0"/>
        <v>25567</v>
      </c>
      <c r="R51" s="3">
        <v>7328</v>
      </c>
      <c r="S51" s="3">
        <v>11557</v>
      </c>
      <c r="T51" s="5">
        <f t="shared" si="1"/>
        <v>6682</v>
      </c>
    </row>
    <row r="52" spans="1:20" ht="18.75" customHeight="1">
      <c r="A52" s="6" t="s">
        <v>19</v>
      </c>
      <c r="B52" s="10">
        <v>45342</v>
      </c>
      <c r="C52" s="2">
        <v>1185</v>
      </c>
      <c r="D52" s="2">
        <v>1330</v>
      </c>
      <c r="E52" s="2">
        <v>840</v>
      </c>
      <c r="F52" s="2">
        <v>2960</v>
      </c>
      <c r="G52" s="2">
        <v>1800</v>
      </c>
      <c r="H52" s="2">
        <v>0</v>
      </c>
      <c r="I52" s="2">
        <v>770</v>
      </c>
      <c r="J52" s="2">
        <v>0</v>
      </c>
      <c r="K52" s="2">
        <v>645</v>
      </c>
      <c r="L52" s="2">
        <v>5449</v>
      </c>
      <c r="M52" s="2">
        <v>4709</v>
      </c>
      <c r="N52" s="2">
        <v>355</v>
      </c>
      <c r="O52" s="2">
        <v>0</v>
      </c>
      <c r="P52" s="2">
        <v>833</v>
      </c>
      <c r="Q52" s="3">
        <f t="shared" si="0"/>
        <v>20876</v>
      </c>
      <c r="R52" s="3">
        <v>6053</v>
      </c>
      <c r="S52" s="3">
        <v>7387</v>
      </c>
      <c r="T52" s="5">
        <f t="shared" si="1"/>
        <v>7436</v>
      </c>
    </row>
    <row r="53" spans="1:20" ht="18.75" customHeight="1">
      <c r="A53" s="6" t="s">
        <v>20</v>
      </c>
      <c r="B53" s="10">
        <v>45343</v>
      </c>
      <c r="C53" s="2">
        <v>1190</v>
      </c>
      <c r="D53" s="2">
        <v>1415</v>
      </c>
      <c r="E53" s="2">
        <v>820</v>
      </c>
      <c r="F53" s="2">
        <v>1945</v>
      </c>
      <c r="G53" s="2">
        <v>1700</v>
      </c>
      <c r="H53" s="2">
        <v>0</v>
      </c>
      <c r="I53" s="2">
        <v>420</v>
      </c>
      <c r="J53" s="2">
        <v>0</v>
      </c>
      <c r="K53" s="2">
        <v>2300</v>
      </c>
      <c r="L53" s="2">
        <v>10022</v>
      </c>
      <c r="M53" s="2">
        <v>3249</v>
      </c>
      <c r="N53" s="2">
        <v>185</v>
      </c>
      <c r="O53" s="2">
        <v>180</v>
      </c>
      <c r="P53" s="2">
        <v>758</v>
      </c>
      <c r="Q53" s="3">
        <f t="shared" si="0"/>
        <v>24184</v>
      </c>
      <c r="R53" s="3">
        <v>6155</v>
      </c>
      <c r="S53" s="3">
        <v>9319</v>
      </c>
      <c r="T53" s="5">
        <f t="shared" si="1"/>
        <v>8710</v>
      </c>
    </row>
    <row r="54" spans="1:20" ht="18.75" customHeight="1">
      <c r="A54" s="6" t="s">
        <v>21</v>
      </c>
      <c r="B54" s="10">
        <v>45344</v>
      </c>
      <c r="C54" s="2">
        <v>1470</v>
      </c>
      <c r="D54" s="2">
        <v>1315</v>
      </c>
      <c r="E54" s="2">
        <v>415</v>
      </c>
      <c r="F54" s="2">
        <v>2250</v>
      </c>
      <c r="G54" s="2">
        <v>889</v>
      </c>
      <c r="H54" s="2">
        <v>0</v>
      </c>
      <c r="I54" s="2">
        <v>619</v>
      </c>
      <c r="J54" s="2">
        <v>0</v>
      </c>
      <c r="K54" s="2">
        <v>1670</v>
      </c>
      <c r="L54" s="2">
        <v>11247</v>
      </c>
      <c r="M54" s="2">
        <v>3894</v>
      </c>
      <c r="N54" s="2">
        <v>397</v>
      </c>
      <c r="O54" s="2">
        <v>246</v>
      </c>
      <c r="P54" s="2">
        <v>533</v>
      </c>
      <c r="Q54" s="3">
        <f t="shared" si="0"/>
        <v>24945</v>
      </c>
      <c r="R54" s="3">
        <v>7010</v>
      </c>
      <c r="S54" s="3">
        <v>8221</v>
      </c>
      <c r="T54" s="5">
        <f t="shared" si="1"/>
        <v>9714</v>
      </c>
    </row>
    <row r="55" spans="1:20" ht="18.75" customHeight="1">
      <c r="A55" s="6" t="s">
        <v>22</v>
      </c>
      <c r="B55" s="10">
        <v>45345</v>
      </c>
      <c r="C55" s="2">
        <v>1865</v>
      </c>
      <c r="D55" s="2">
        <v>1850</v>
      </c>
      <c r="E55" s="2">
        <v>750</v>
      </c>
      <c r="F55" s="2">
        <v>2865</v>
      </c>
      <c r="G55" s="2">
        <v>2001</v>
      </c>
      <c r="H55" s="2">
        <v>0</v>
      </c>
      <c r="I55" s="2">
        <v>1295</v>
      </c>
      <c r="J55" s="2">
        <v>0</v>
      </c>
      <c r="K55" s="2">
        <v>1050</v>
      </c>
      <c r="L55" s="2">
        <v>12858</v>
      </c>
      <c r="M55" s="2">
        <v>3422</v>
      </c>
      <c r="N55" s="2">
        <v>308</v>
      </c>
      <c r="O55" s="2">
        <v>56</v>
      </c>
      <c r="P55" s="2">
        <v>495</v>
      </c>
      <c r="Q55" s="3">
        <f t="shared" si="0"/>
        <v>28815</v>
      </c>
      <c r="R55" s="3">
        <v>8805</v>
      </c>
      <c r="S55" s="3">
        <v>16713</v>
      </c>
      <c r="T55" s="5">
        <f t="shared" si="1"/>
        <v>3297</v>
      </c>
    </row>
    <row r="56" spans="1:20" ht="18.75" customHeight="1">
      <c r="A56" s="6" t="s">
        <v>23</v>
      </c>
      <c r="B56" s="10">
        <v>45346</v>
      </c>
      <c r="C56" s="2">
        <v>1750</v>
      </c>
      <c r="D56" s="2">
        <v>1770</v>
      </c>
      <c r="E56" s="2">
        <v>340</v>
      </c>
      <c r="F56" s="2">
        <v>2535</v>
      </c>
      <c r="G56" s="2">
        <v>1913</v>
      </c>
      <c r="H56" s="2">
        <v>0</v>
      </c>
      <c r="I56" s="2">
        <v>1735</v>
      </c>
      <c r="J56" s="2">
        <v>0</v>
      </c>
      <c r="K56" s="2">
        <v>1690</v>
      </c>
      <c r="L56" s="2">
        <v>12708</v>
      </c>
      <c r="M56" s="2">
        <v>6532</v>
      </c>
      <c r="N56" s="2">
        <v>278</v>
      </c>
      <c r="O56" s="2">
        <v>85</v>
      </c>
      <c r="P56" s="2">
        <v>0</v>
      </c>
      <c r="Q56" s="3">
        <f t="shared" si="0"/>
        <v>31336</v>
      </c>
      <c r="R56" s="3">
        <v>10603</v>
      </c>
      <c r="S56" s="3">
        <v>20229</v>
      </c>
      <c r="T56" s="5">
        <f t="shared" si="1"/>
        <v>504</v>
      </c>
    </row>
    <row r="57" spans="1:20" ht="18.75" customHeight="1">
      <c r="A57" s="6" t="s">
        <v>17</v>
      </c>
      <c r="B57" s="10">
        <v>45347</v>
      </c>
      <c r="C57" s="2">
        <v>2100</v>
      </c>
      <c r="D57" s="2">
        <v>1400</v>
      </c>
      <c r="E57" s="2">
        <v>880</v>
      </c>
      <c r="F57" s="2">
        <v>2830</v>
      </c>
      <c r="G57" s="2">
        <v>2683</v>
      </c>
      <c r="H57" s="2">
        <v>0</v>
      </c>
      <c r="I57" s="2">
        <v>670</v>
      </c>
      <c r="J57" s="2">
        <v>0</v>
      </c>
      <c r="K57" s="2">
        <v>985</v>
      </c>
      <c r="L57" s="2">
        <v>19891</v>
      </c>
      <c r="M57" s="2">
        <v>8916</v>
      </c>
      <c r="N57" s="2">
        <v>338</v>
      </c>
      <c r="O57" s="2">
        <v>102</v>
      </c>
      <c r="P57" s="2">
        <v>238</v>
      </c>
      <c r="Q57" s="3">
        <f t="shared" si="0"/>
        <v>41033</v>
      </c>
      <c r="R57" s="3">
        <v>7909</v>
      </c>
      <c r="S57" s="3">
        <v>9540</v>
      </c>
      <c r="T57" s="5">
        <f t="shared" si="1"/>
        <v>23584</v>
      </c>
    </row>
    <row r="58" spans="1:20" ht="18.75" customHeight="1">
      <c r="A58" s="6" t="s">
        <v>18</v>
      </c>
      <c r="B58" s="10">
        <v>45348</v>
      </c>
      <c r="C58" s="2">
        <v>1800</v>
      </c>
      <c r="D58" s="2">
        <v>1440</v>
      </c>
      <c r="E58" s="2">
        <v>1100</v>
      </c>
      <c r="F58" s="2">
        <v>3430</v>
      </c>
      <c r="G58" s="2">
        <v>1375</v>
      </c>
      <c r="H58" s="2">
        <v>0</v>
      </c>
      <c r="I58" s="2">
        <v>850</v>
      </c>
      <c r="J58" s="2">
        <v>0</v>
      </c>
      <c r="K58" s="2">
        <v>1241</v>
      </c>
      <c r="L58" s="2">
        <v>7000</v>
      </c>
      <c r="M58" s="2">
        <v>5617</v>
      </c>
      <c r="N58" s="2">
        <v>506</v>
      </c>
      <c r="O58" s="2">
        <v>470</v>
      </c>
      <c r="P58" s="2">
        <v>152</v>
      </c>
      <c r="Q58" s="3">
        <f t="shared" si="0"/>
        <v>24981</v>
      </c>
      <c r="R58" s="3">
        <v>7412</v>
      </c>
      <c r="S58" s="3">
        <v>10797</v>
      </c>
      <c r="T58" s="5">
        <f t="shared" si="1"/>
        <v>6772</v>
      </c>
    </row>
    <row r="59" spans="1:20" ht="18.75" customHeight="1">
      <c r="A59" s="6" t="s">
        <v>19</v>
      </c>
      <c r="B59" s="10">
        <v>45349</v>
      </c>
      <c r="C59" s="2">
        <v>1450</v>
      </c>
      <c r="D59" s="2">
        <v>1240</v>
      </c>
      <c r="E59" s="2">
        <v>860</v>
      </c>
      <c r="F59" s="2">
        <v>3490</v>
      </c>
      <c r="G59" s="2">
        <v>2373</v>
      </c>
      <c r="H59" s="2">
        <v>0</v>
      </c>
      <c r="I59" s="2">
        <v>1145</v>
      </c>
      <c r="J59" s="2">
        <v>0</v>
      </c>
      <c r="K59" s="2">
        <v>460</v>
      </c>
      <c r="L59" s="2">
        <v>8740</v>
      </c>
      <c r="M59" s="2">
        <v>5682</v>
      </c>
      <c r="N59" s="2">
        <v>0</v>
      </c>
      <c r="O59" s="2">
        <v>0</v>
      </c>
      <c r="P59" s="2">
        <v>128</v>
      </c>
      <c r="Q59" s="3">
        <f t="shared" si="0"/>
        <v>25568</v>
      </c>
      <c r="R59" s="3">
        <v>6911</v>
      </c>
      <c r="S59" s="3">
        <v>7523</v>
      </c>
      <c r="T59" s="5">
        <f t="shared" si="1"/>
        <v>11134</v>
      </c>
    </row>
    <row r="60" spans="1:20" ht="18.75" customHeight="1">
      <c r="A60" s="6" t="s">
        <v>20</v>
      </c>
      <c r="B60" s="10">
        <v>45350</v>
      </c>
      <c r="C60" s="2">
        <v>2000</v>
      </c>
      <c r="D60" s="2">
        <v>1130</v>
      </c>
      <c r="E60" s="2">
        <v>570</v>
      </c>
      <c r="F60" s="2">
        <v>2670</v>
      </c>
      <c r="G60" s="2">
        <v>1326</v>
      </c>
      <c r="H60" s="2">
        <v>0</v>
      </c>
      <c r="I60" s="2">
        <v>940</v>
      </c>
      <c r="J60" s="2">
        <v>0</v>
      </c>
      <c r="K60" s="2">
        <v>1700</v>
      </c>
      <c r="L60" s="2">
        <v>10181</v>
      </c>
      <c r="M60" s="2">
        <v>6333</v>
      </c>
      <c r="N60" s="2">
        <v>683</v>
      </c>
      <c r="O60" s="2">
        <v>85</v>
      </c>
      <c r="P60" s="2">
        <v>513</v>
      </c>
      <c r="Q60" s="3">
        <f t="shared" si="0"/>
        <v>28131</v>
      </c>
      <c r="R60" s="3">
        <v>6782</v>
      </c>
      <c r="S60" s="3">
        <v>14836</v>
      </c>
      <c r="T60" s="5">
        <f t="shared" si="1"/>
        <v>6513</v>
      </c>
    </row>
    <row r="61" spans="1:20" ht="18.75" customHeight="1">
      <c r="A61" s="6" t="s">
        <v>21</v>
      </c>
      <c r="B61" s="10">
        <v>45351</v>
      </c>
      <c r="C61" s="2">
        <v>1270</v>
      </c>
      <c r="D61" s="2">
        <v>1490</v>
      </c>
      <c r="E61" s="2">
        <v>600</v>
      </c>
      <c r="F61" s="2">
        <v>2620</v>
      </c>
      <c r="G61" s="2">
        <v>2651</v>
      </c>
      <c r="H61" s="2">
        <v>0</v>
      </c>
      <c r="I61" s="2">
        <v>1320</v>
      </c>
      <c r="J61" s="2">
        <v>0</v>
      </c>
      <c r="K61" s="2">
        <v>1425</v>
      </c>
      <c r="L61" s="2">
        <v>8847</v>
      </c>
      <c r="M61" s="2">
        <v>7436</v>
      </c>
      <c r="N61" s="2">
        <v>789</v>
      </c>
      <c r="O61" s="2">
        <v>85</v>
      </c>
      <c r="P61" s="2">
        <v>1042</v>
      </c>
      <c r="Q61" s="3">
        <f t="shared" si="0"/>
        <v>29575</v>
      </c>
      <c r="R61" s="3">
        <v>6285</v>
      </c>
      <c r="S61" s="3">
        <v>14877</v>
      </c>
      <c r="T61" s="5">
        <f t="shared" si="1"/>
        <v>8413</v>
      </c>
    </row>
    <row r="62" spans="1:20" ht="18.75" customHeight="1">
      <c r="A62" s="6" t="s">
        <v>22</v>
      </c>
      <c r="B62" s="10">
        <v>45352</v>
      </c>
      <c r="C62" s="2">
        <v>1635</v>
      </c>
      <c r="D62" s="2">
        <v>1815</v>
      </c>
      <c r="E62" s="2">
        <v>675</v>
      </c>
      <c r="F62" s="2">
        <v>3050</v>
      </c>
      <c r="G62" s="2">
        <v>2658</v>
      </c>
      <c r="H62" s="2">
        <v>0</v>
      </c>
      <c r="I62" s="2">
        <v>755</v>
      </c>
      <c r="J62" s="2">
        <v>0</v>
      </c>
      <c r="K62" s="2">
        <v>975</v>
      </c>
      <c r="L62" s="2">
        <v>10128</v>
      </c>
      <c r="M62" s="2">
        <v>2961</v>
      </c>
      <c r="N62" s="2">
        <v>145</v>
      </c>
      <c r="O62" s="2">
        <v>0</v>
      </c>
      <c r="P62" s="2">
        <v>142</v>
      </c>
      <c r="Q62" s="3">
        <f t="shared" si="0"/>
        <v>24939</v>
      </c>
      <c r="R62" s="3">
        <v>6676</v>
      </c>
      <c r="S62" s="3">
        <v>11100</v>
      </c>
      <c r="T62" s="5">
        <f t="shared" si="1"/>
        <v>7163</v>
      </c>
    </row>
    <row r="63" spans="1:20" ht="18.75" customHeight="1">
      <c r="A63" s="6" t="s">
        <v>23</v>
      </c>
      <c r="B63" s="10">
        <v>45353</v>
      </c>
      <c r="C63" s="2">
        <v>2090</v>
      </c>
      <c r="D63" s="2">
        <v>2060</v>
      </c>
      <c r="E63" s="2">
        <v>970</v>
      </c>
      <c r="F63" s="2">
        <v>3000</v>
      </c>
      <c r="G63" s="2">
        <v>1698</v>
      </c>
      <c r="H63" s="2">
        <v>0</v>
      </c>
      <c r="I63" s="2">
        <v>1080</v>
      </c>
      <c r="J63" s="2">
        <v>0</v>
      </c>
      <c r="K63" s="2">
        <v>1970</v>
      </c>
      <c r="L63" s="2">
        <v>13741</v>
      </c>
      <c r="M63" s="2">
        <v>6893</v>
      </c>
      <c r="N63" s="2">
        <v>286</v>
      </c>
      <c r="O63" s="2">
        <v>310</v>
      </c>
      <c r="P63" s="2">
        <v>0</v>
      </c>
      <c r="Q63" s="3">
        <f t="shared" si="0"/>
        <v>34098</v>
      </c>
      <c r="R63" s="3">
        <v>7765</v>
      </c>
      <c r="S63" s="3">
        <v>20508</v>
      </c>
      <c r="T63" s="5">
        <f t="shared" si="1"/>
        <v>5825</v>
      </c>
    </row>
    <row r="64" spans="1:20" ht="18.75" customHeight="1">
      <c r="A64" s="6" t="s">
        <v>17</v>
      </c>
      <c r="B64" s="10">
        <v>45354</v>
      </c>
      <c r="C64" s="2">
        <v>1555</v>
      </c>
      <c r="D64" s="2">
        <v>1600</v>
      </c>
      <c r="E64" s="2">
        <v>0</v>
      </c>
      <c r="F64" s="2">
        <v>2990</v>
      </c>
      <c r="G64" s="2">
        <v>3130</v>
      </c>
      <c r="H64" s="2">
        <v>0</v>
      </c>
      <c r="I64" s="2">
        <v>205</v>
      </c>
      <c r="J64" s="2">
        <v>0</v>
      </c>
      <c r="K64" s="2">
        <v>2857</v>
      </c>
      <c r="L64" s="2">
        <v>16525</v>
      </c>
      <c r="M64" s="2">
        <v>13526</v>
      </c>
      <c r="N64" s="2">
        <v>635</v>
      </c>
      <c r="O64" s="2">
        <v>359</v>
      </c>
      <c r="P64" s="2">
        <v>1032</v>
      </c>
      <c r="Q64" s="3">
        <f t="shared" si="0"/>
        <v>44414</v>
      </c>
      <c r="R64" s="3">
        <v>7690</v>
      </c>
      <c r="S64" s="3">
        <v>13723</v>
      </c>
      <c r="T64" s="5">
        <f t="shared" si="1"/>
        <v>23001</v>
      </c>
    </row>
    <row r="65" spans="1:20" ht="18.75" customHeight="1">
      <c r="A65" s="6" t="s">
        <v>18</v>
      </c>
      <c r="B65" s="10">
        <v>45355</v>
      </c>
      <c r="C65" s="2">
        <v>1445</v>
      </c>
      <c r="D65" s="2">
        <v>1275.5</v>
      </c>
      <c r="E65" s="2">
        <v>710</v>
      </c>
      <c r="F65" s="2">
        <v>3420</v>
      </c>
      <c r="G65" s="2">
        <v>1333</v>
      </c>
      <c r="H65" s="2">
        <v>0</v>
      </c>
      <c r="I65" s="2">
        <v>660</v>
      </c>
      <c r="J65" s="2">
        <v>0</v>
      </c>
      <c r="K65" s="2">
        <v>1345</v>
      </c>
      <c r="L65" s="2">
        <v>7735</v>
      </c>
      <c r="M65" s="2">
        <v>1820</v>
      </c>
      <c r="N65" s="2">
        <v>1099</v>
      </c>
      <c r="O65" s="2">
        <v>0</v>
      </c>
      <c r="P65" s="2">
        <v>280</v>
      </c>
      <c r="Q65" s="3">
        <f t="shared" si="0"/>
        <v>21122.5</v>
      </c>
      <c r="R65" s="3">
        <v>6862</v>
      </c>
      <c r="S65" s="3">
        <v>17374</v>
      </c>
      <c r="T65" s="5">
        <f t="shared" si="1"/>
        <v>-3113.5</v>
      </c>
    </row>
    <row r="66" spans="1:20" ht="18.75" customHeight="1">
      <c r="A66" s="6" t="s">
        <v>19</v>
      </c>
      <c r="B66" s="10">
        <v>45356</v>
      </c>
      <c r="C66" s="2">
        <v>1820</v>
      </c>
      <c r="D66" s="2">
        <v>1415</v>
      </c>
      <c r="E66" s="2">
        <v>575</v>
      </c>
      <c r="F66" s="2">
        <v>2534</v>
      </c>
      <c r="G66" s="2">
        <v>3068</v>
      </c>
      <c r="H66" s="2">
        <v>0</v>
      </c>
      <c r="I66" s="2">
        <v>1065</v>
      </c>
      <c r="J66" s="2">
        <v>0</v>
      </c>
      <c r="K66" s="2">
        <v>1776</v>
      </c>
      <c r="L66" s="2">
        <v>7113</v>
      </c>
      <c r="M66" s="2">
        <v>4748</v>
      </c>
      <c r="N66" s="2">
        <v>125</v>
      </c>
      <c r="O66" s="2">
        <v>0</v>
      </c>
      <c r="P66" s="2">
        <v>835</v>
      </c>
      <c r="Q66" s="3">
        <f t="shared" si="0"/>
        <v>25074</v>
      </c>
      <c r="R66" s="3">
        <v>7067</v>
      </c>
      <c r="S66" s="3">
        <v>9156</v>
      </c>
      <c r="T66" s="5">
        <f t="shared" si="1"/>
        <v>8851</v>
      </c>
    </row>
    <row r="67" spans="1:20" ht="18.75" customHeight="1">
      <c r="A67" s="6" t="s">
        <v>20</v>
      </c>
      <c r="B67" s="10">
        <v>45357</v>
      </c>
      <c r="C67" s="2">
        <v>1645</v>
      </c>
      <c r="D67" s="2">
        <v>1195</v>
      </c>
      <c r="E67" s="2">
        <v>985</v>
      </c>
      <c r="F67" s="2">
        <v>3245</v>
      </c>
      <c r="G67" s="2">
        <v>2230.5</v>
      </c>
      <c r="H67" s="2">
        <v>0</v>
      </c>
      <c r="I67" s="2">
        <v>515</v>
      </c>
      <c r="J67" s="2">
        <v>0</v>
      </c>
      <c r="K67" s="2">
        <v>1320</v>
      </c>
      <c r="L67" s="2">
        <v>6800</v>
      </c>
      <c r="M67" s="2">
        <v>5440</v>
      </c>
      <c r="N67" s="2">
        <v>200</v>
      </c>
      <c r="O67" s="2">
        <v>0</v>
      </c>
      <c r="P67" s="2">
        <v>196</v>
      </c>
      <c r="Q67" s="3">
        <f t="shared" ref="Q67:Q130" si="2">SUM(C67:P67)</f>
        <v>23771.5</v>
      </c>
      <c r="R67" s="3">
        <v>7021</v>
      </c>
      <c r="S67" s="3">
        <v>8438</v>
      </c>
      <c r="T67" s="5">
        <f t="shared" ref="T67:T130" si="3">Q67-R67-S67</f>
        <v>8312.5</v>
      </c>
    </row>
    <row r="68" spans="1:20" ht="18.75" customHeight="1">
      <c r="A68" s="6" t="s">
        <v>21</v>
      </c>
      <c r="B68" s="10">
        <v>45358</v>
      </c>
      <c r="C68" s="2">
        <v>1250</v>
      </c>
      <c r="D68" s="2">
        <v>970</v>
      </c>
      <c r="E68" s="2">
        <v>550</v>
      </c>
      <c r="F68" s="2">
        <v>2250</v>
      </c>
      <c r="G68" s="2">
        <v>1134</v>
      </c>
      <c r="H68" s="2">
        <v>0</v>
      </c>
      <c r="I68" s="2">
        <v>1320</v>
      </c>
      <c r="J68" s="2">
        <v>0</v>
      </c>
      <c r="K68" s="2">
        <v>1770</v>
      </c>
      <c r="L68" s="2">
        <v>11287</v>
      </c>
      <c r="M68" s="2">
        <v>3097</v>
      </c>
      <c r="N68" s="2">
        <v>228</v>
      </c>
      <c r="O68" s="2">
        <v>0</v>
      </c>
      <c r="P68" s="2">
        <v>566</v>
      </c>
      <c r="Q68" s="3">
        <f t="shared" si="2"/>
        <v>24422</v>
      </c>
      <c r="R68" s="3">
        <v>9215</v>
      </c>
      <c r="S68" s="3">
        <v>11279</v>
      </c>
      <c r="T68" s="5">
        <f t="shared" si="3"/>
        <v>3928</v>
      </c>
    </row>
    <row r="69" spans="1:20" ht="18.75" customHeight="1">
      <c r="A69" s="6" t="s">
        <v>22</v>
      </c>
      <c r="B69" s="10">
        <v>45359</v>
      </c>
      <c r="C69" s="2">
        <v>1425</v>
      </c>
      <c r="D69" s="2">
        <v>1063</v>
      </c>
      <c r="E69" s="2">
        <v>460</v>
      </c>
      <c r="F69" s="2">
        <v>3035</v>
      </c>
      <c r="G69" s="2">
        <v>2360</v>
      </c>
      <c r="H69" s="2">
        <v>0</v>
      </c>
      <c r="I69" s="2">
        <v>765</v>
      </c>
      <c r="J69" s="2">
        <v>0</v>
      </c>
      <c r="K69" s="2">
        <v>1290</v>
      </c>
      <c r="L69" s="2">
        <v>13435</v>
      </c>
      <c r="M69" s="2">
        <v>7895</v>
      </c>
      <c r="N69" s="2">
        <v>1141</v>
      </c>
      <c r="O69" s="2">
        <v>0</v>
      </c>
      <c r="P69" s="2">
        <v>329</v>
      </c>
      <c r="Q69" s="3">
        <f t="shared" si="2"/>
        <v>33198</v>
      </c>
      <c r="R69" s="3">
        <v>7235</v>
      </c>
      <c r="S69" s="3">
        <v>22788</v>
      </c>
      <c r="T69" s="5">
        <f t="shared" si="3"/>
        <v>3175</v>
      </c>
    </row>
    <row r="70" spans="1:20" ht="18.75" customHeight="1">
      <c r="A70" s="6" t="s">
        <v>23</v>
      </c>
      <c r="B70" s="10">
        <v>45360</v>
      </c>
      <c r="C70" s="2">
        <v>1520</v>
      </c>
      <c r="D70" s="2">
        <v>2111</v>
      </c>
      <c r="E70" s="2">
        <v>450</v>
      </c>
      <c r="F70" s="2">
        <v>3755</v>
      </c>
      <c r="G70" s="2">
        <v>2790</v>
      </c>
      <c r="H70" s="2">
        <v>0</v>
      </c>
      <c r="I70" s="2">
        <v>720</v>
      </c>
      <c r="J70" s="2">
        <v>0</v>
      </c>
      <c r="K70" s="2">
        <v>1025</v>
      </c>
      <c r="L70" s="2">
        <v>11839</v>
      </c>
      <c r="M70" s="2">
        <v>5725</v>
      </c>
      <c r="N70" s="2">
        <v>555</v>
      </c>
      <c r="O70" s="2">
        <v>561</v>
      </c>
      <c r="P70" s="2">
        <v>358</v>
      </c>
      <c r="Q70" s="3">
        <f t="shared" si="2"/>
        <v>31409</v>
      </c>
      <c r="R70" s="3">
        <v>8167</v>
      </c>
      <c r="S70" s="3">
        <v>15335</v>
      </c>
      <c r="T70" s="5">
        <f t="shared" si="3"/>
        <v>7907</v>
      </c>
    </row>
    <row r="71" spans="1:20" ht="18.75" customHeight="1">
      <c r="A71" s="6" t="s">
        <v>17</v>
      </c>
      <c r="B71" s="10">
        <v>45361</v>
      </c>
      <c r="C71" s="2">
        <v>1000</v>
      </c>
      <c r="D71" s="2">
        <v>665</v>
      </c>
      <c r="E71" s="2">
        <v>420</v>
      </c>
      <c r="F71" s="2">
        <v>3315</v>
      </c>
      <c r="G71" s="2">
        <v>2965</v>
      </c>
      <c r="H71" s="2">
        <v>0</v>
      </c>
      <c r="I71" s="2">
        <v>770</v>
      </c>
      <c r="J71" s="2">
        <v>0</v>
      </c>
      <c r="K71" s="2">
        <v>810</v>
      </c>
      <c r="L71" s="2">
        <v>15877</v>
      </c>
      <c r="M71" s="2">
        <v>5414</v>
      </c>
      <c r="N71" s="2">
        <v>592</v>
      </c>
      <c r="O71" s="2">
        <v>606</v>
      </c>
      <c r="P71" s="2">
        <v>1304</v>
      </c>
      <c r="Q71" s="3">
        <f t="shared" si="2"/>
        <v>33738</v>
      </c>
      <c r="R71" s="3">
        <v>8741</v>
      </c>
      <c r="S71" s="3">
        <v>9415</v>
      </c>
      <c r="T71" s="5">
        <f t="shared" si="3"/>
        <v>15582</v>
      </c>
    </row>
    <row r="72" spans="1:20" ht="18.75" customHeight="1">
      <c r="A72" s="6" t="s">
        <v>18</v>
      </c>
      <c r="B72" s="10">
        <v>45362</v>
      </c>
      <c r="C72" s="2">
        <v>1845</v>
      </c>
      <c r="D72" s="2">
        <v>1525</v>
      </c>
      <c r="E72" s="2">
        <v>0</v>
      </c>
      <c r="F72" s="2">
        <v>3665</v>
      </c>
      <c r="G72" s="2">
        <v>2033</v>
      </c>
      <c r="H72" s="2">
        <v>0</v>
      </c>
      <c r="I72" s="2">
        <v>495</v>
      </c>
      <c r="J72" s="2">
        <v>0</v>
      </c>
      <c r="K72" s="2">
        <v>1180</v>
      </c>
      <c r="L72" s="2">
        <v>11786</v>
      </c>
      <c r="M72" s="2">
        <v>3996</v>
      </c>
      <c r="N72" s="2">
        <v>937</v>
      </c>
      <c r="O72" s="2">
        <v>175</v>
      </c>
      <c r="P72" s="2">
        <v>540</v>
      </c>
      <c r="Q72" s="3">
        <f t="shared" si="2"/>
        <v>28177</v>
      </c>
      <c r="R72" s="3">
        <v>6988</v>
      </c>
      <c r="S72" s="3">
        <v>11190</v>
      </c>
      <c r="T72" s="5">
        <f t="shared" si="3"/>
        <v>9999</v>
      </c>
    </row>
    <row r="73" spans="1:20" ht="18.75" customHeight="1">
      <c r="A73" s="6" t="s">
        <v>19</v>
      </c>
      <c r="B73" s="10">
        <v>45363</v>
      </c>
      <c r="C73" s="2">
        <v>1765</v>
      </c>
      <c r="D73" s="2">
        <v>1840</v>
      </c>
      <c r="E73" s="2">
        <v>930</v>
      </c>
      <c r="F73" s="2">
        <v>2885</v>
      </c>
      <c r="G73" s="2">
        <v>2199</v>
      </c>
      <c r="H73" s="2">
        <v>0</v>
      </c>
      <c r="I73" s="2">
        <v>795</v>
      </c>
      <c r="J73" s="2">
        <v>0</v>
      </c>
      <c r="K73" s="2">
        <v>1145</v>
      </c>
      <c r="L73" s="2">
        <v>10043</v>
      </c>
      <c r="M73" s="2">
        <v>4942</v>
      </c>
      <c r="N73" s="2">
        <v>604</v>
      </c>
      <c r="O73" s="2">
        <v>247</v>
      </c>
      <c r="P73" s="2">
        <v>698</v>
      </c>
      <c r="Q73" s="3">
        <f t="shared" si="2"/>
        <v>28093</v>
      </c>
      <c r="R73" s="3">
        <v>7790</v>
      </c>
      <c r="S73" s="3">
        <v>13453</v>
      </c>
      <c r="T73" s="5">
        <f t="shared" si="3"/>
        <v>6850</v>
      </c>
    </row>
    <row r="74" spans="1:20" ht="18.75" customHeight="1">
      <c r="A74" s="6" t="s">
        <v>20</v>
      </c>
      <c r="B74" s="10">
        <v>45364</v>
      </c>
      <c r="C74" s="2">
        <v>1460</v>
      </c>
      <c r="D74" s="2">
        <v>1550</v>
      </c>
      <c r="E74" s="2">
        <v>805</v>
      </c>
      <c r="F74" s="2">
        <v>2285</v>
      </c>
      <c r="G74" s="2">
        <v>751</v>
      </c>
      <c r="H74" s="2">
        <v>0</v>
      </c>
      <c r="I74" s="2">
        <v>905</v>
      </c>
      <c r="J74" s="2">
        <v>0</v>
      </c>
      <c r="K74" s="2">
        <v>1545</v>
      </c>
      <c r="L74" s="2">
        <v>11347</v>
      </c>
      <c r="M74" s="2">
        <v>7295</v>
      </c>
      <c r="N74" s="2">
        <v>3630</v>
      </c>
      <c r="O74" s="2">
        <v>170</v>
      </c>
      <c r="P74" s="2">
        <v>736</v>
      </c>
      <c r="Q74" s="3">
        <f t="shared" si="2"/>
        <v>32479</v>
      </c>
      <c r="R74" s="3">
        <v>7665</v>
      </c>
      <c r="S74" s="3">
        <v>13862</v>
      </c>
      <c r="T74" s="5">
        <f t="shared" si="3"/>
        <v>10952</v>
      </c>
    </row>
    <row r="75" spans="1:20" ht="18.75" customHeight="1">
      <c r="A75" s="6" t="s">
        <v>21</v>
      </c>
      <c r="B75" s="10">
        <v>45365</v>
      </c>
      <c r="C75" s="2">
        <v>1600</v>
      </c>
      <c r="D75" s="2">
        <v>1570</v>
      </c>
      <c r="E75" s="2">
        <v>375</v>
      </c>
      <c r="F75" s="2">
        <v>2120</v>
      </c>
      <c r="G75" s="2">
        <v>2505</v>
      </c>
      <c r="H75" s="2">
        <v>0</v>
      </c>
      <c r="I75" s="2">
        <v>1070</v>
      </c>
      <c r="J75" s="2">
        <v>0</v>
      </c>
      <c r="K75" s="2">
        <v>1680</v>
      </c>
      <c r="L75" s="2">
        <v>11617</v>
      </c>
      <c r="M75" s="2">
        <v>5360</v>
      </c>
      <c r="N75" s="2">
        <v>1338</v>
      </c>
      <c r="O75" s="2">
        <v>0</v>
      </c>
      <c r="P75" s="2">
        <v>241</v>
      </c>
      <c r="Q75" s="3">
        <f t="shared" si="2"/>
        <v>29476</v>
      </c>
      <c r="R75" s="3">
        <v>7217</v>
      </c>
      <c r="S75" s="3">
        <v>9593</v>
      </c>
      <c r="T75" s="5">
        <f t="shared" si="3"/>
        <v>12666</v>
      </c>
    </row>
    <row r="76" spans="1:20" ht="18.75" customHeight="1">
      <c r="A76" s="6" t="s">
        <v>22</v>
      </c>
      <c r="B76" s="10">
        <v>45366</v>
      </c>
      <c r="C76" s="2">
        <v>2525</v>
      </c>
      <c r="D76" s="2">
        <v>1027</v>
      </c>
      <c r="E76" s="2">
        <v>1125</v>
      </c>
      <c r="F76" s="2">
        <v>3387</v>
      </c>
      <c r="G76" s="2">
        <v>1860</v>
      </c>
      <c r="H76" s="2">
        <v>805</v>
      </c>
      <c r="I76" s="2">
        <v>1105</v>
      </c>
      <c r="J76" s="2">
        <v>0</v>
      </c>
      <c r="K76" s="2">
        <v>1615</v>
      </c>
      <c r="L76" s="2">
        <v>15488</v>
      </c>
      <c r="M76" s="2">
        <v>6190</v>
      </c>
      <c r="N76" s="2">
        <v>1675</v>
      </c>
      <c r="O76" s="2">
        <v>833</v>
      </c>
      <c r="P76" s="2">
        <v>440</v>
      </c>
      <c r="Q76" s="3">
        <f t="shared" si="2"/>
        <v>38075</v>
      </c>
      <c r="R76" s="3">
        <v>9028</v>
      </c>
      <c r="S76" s="3">
        <v>19208</v>
      </c>
      <c r="T76" s="5">
        <f t="shared" si="3"/>
        <v>9839</v>
      </c>
    </row>
    <row r="77" spans="1:20" ht="18.75" customHeight="1">
      <c r="A77" s="6" t="s">
        <v>23</v>
      </c>
      <c r="B77" s="10">
        <v>45367</v>
      </c>
      <c r="C77" s="2">
        <v>2455</v>
      </c>
      <c r="D77" s="2">
        <v>2165</v>
      </c>
      <c r="E77" s="2">
        <v>685</v>
      </c>
      <c r="F77" s="2">
        <v>3235</v>
      </c>
      <c r="G77" s="2">
        <v>2190</v>
      </c>
      <c r="H77" s="2">
        <v>1375</v>
      </c>
      <c r="I77" s="2">
        <v>1150</v>
      </c>
      <c r="J77" s="2">
        <v>0</v>
      </c>
      <c r="K77" s="2">
        <v>2196</v>
      </c>
      <c r="L77" s="2">
        <v>24119</v>
      </c>
      <c r="M77" s="2">
        <v>12844</v>
      </c>
      <c r="N77" s="2">
        <v>782</v>
      </c>
      <c r="O77" s="2">
        <v>1084</v>
      </c>
      <c r="P77" s="2">
        <v>1312</v>
      </c>
      <c r="Q77" s="3">
        <f t="shared" si="2"/>
        <v>55592</v>
      </c>
      <c r="R77" s="3">
        <v>11161</v>
      </c>
      <c r="S77" s="3">
        <v>29846</v>
      </c>
      <c r="T77" s="5">
        <f t="shared" si="3"/>
        <v>14585</v>
      </c>
    </row>
    <row r="78" spans="1:20" ht="18.75" customHeight="1">
      <c r="A78" s="6" t="s">
        <v>17</v>
      </c>
      <c r="B78" s="10">
        <v>45368</v>
      </c>
      <c r="C78" s="2">
        <v>2510</v>
      </c>
      <c r="D78" s="2">
        <v>1191</v>
      </c>
      <c r="E78" s="2">
        <v>885</v>
      </c>
      <c r="F78" s="2">
        <v>4540</v>
      </c>
      <c r="G78" s="2">
        <v>2315</v>
      </c>
      <c r="H78" s="2">
        <v>1980</v>
      </c>
      <c r="I78" s="2">
        <v>985</v>
      </c>
      <c r="J78" s="2">
        <v>0</v>
      </c>
      <c r="K78" s="2">
        <v>1895</v>
      </c>
      <c r="L78" s="2">
        <v>25479</v>
      </c>
      <c r="M78" s="2">
        <v>19198</v>
      </c>
      <c r="N78" s="2">
        <v>555</v>
      </c>
      <c r="O78" s="2">
        <v>370</v>
      </c>
      <c r="P78" s="2">
        <v>630</v>
      </c>
      <c r="Q78" s="3">
        <f t="shared" si="2"/>
        <v>62533</v>
      </c>
      <c r="R78" s="3">
        <v>12055</v>
      </c>
      <c r="S78" s="3">
        <v>11660</v>
      </c>
      <c r="T78" s="5">
        <f t="shared" si="3"/>
        <v>38818</v>
      </c>
    </row>
    <row r="79" spans="1:20" ht="18.75" customHeight="1">
      <c r="A79" s="6" t="s">
        <v>18</v>
      </c>
      <c r="B79" s="10">
        <v>45369</v>
      </c>
      <c r="C79" s="2">
        <v>2565</v>
      </c>
      <c r="D79" s="2">
        <v>1960</v>
      </c>
      <c r="E79" s="2">
        <v>1065</v>
      </c>
      <c r="F79" s="2">
        <v>6540</v>
      </c>
      <c r="G79" s="2">
        <v>1895</v>
      </c>
      <c r="H79" s="2">
        <v>1393.5</v>
      </c>
      <c r="I79" s="2">
        <v>760</v>
      </c>
      <c r="J79" s="2">
        <v>0</v>
      </c>
      <c r="K79" s="2">
        <v>1650</v>
      </c>
      <c r="L79" s="2">
        <v>24292</v>
      </c>
      <c r="M79" s="2">
        <v>16163</v>
      </c>
      <c r="N79" s="2">
        <v>0</v>
      </c>
      <c r="O79" s="2">
        <v>310</v>
      </c>
      <c r="P79" s="2">
        <v>343</v>
      </c>
      <c r="Q79" s="3">
        <f t="shared" si="2"/>
        <v>58936.5</v>
      </c>
      <c r="R79" s="3">
        <v>11227</v>
      </c>
      <c r="S79" s="3">
        <v>38732</v>
      </c>
      <c r="T79" s="5">
        <f t="shared" si="3"/>
        <v>8977.5</v>
      </c>
    </row>
    <row r="80" spans="1:20" ht="18.75" customHeight="1">
      <c r="A80" s="6" t="s">
        <v>19</v>
      </c>
      <c r="B80" s="10">
        <v>45370</v>
      </c>
      <c r="C80" s="2">
        <v>1515</v>
      </c>
      <c r="D80" s="2">
        <v>1395</v>
      </c>
      <c r="E80" s="2">
        <v>275</v>
      </c>
      <c r="F80" s="2">
        <v>3050</v>
      </c>
      <c r="G80" s="2">
        <v>2516</v>
      </c>
      <c r="H80" s="2">
        <v>0</v>
      </c>
      <c r="I80" s="2">
        <v>1360</v>
      </c>
      <c r="J80" s="2">
        <v>0</v>
      </c>
      <c r="K80" s="2">
        <v>690</v>
      </c>
      <c r="L80" s="2">
        <v>13372</v>
      </c>
      <c r="M80" s="2">
        <v>2447</v>
      </c>
      <c r="N80" s="2">
        <v>114</v>
      </c>
      <c r="O80" s="2">
        <v>85</v>
      </c>
      <c r="P80" s="2">
        <v>0</v>
      </c>
      <c r="Q80" s="3">
        <f t="shared" si="2"/>
        <v>26819</v>
      </c>
      <c r="R80" s="3">
        <v>8396</v>
      </c>
      <c r="S80" s="3">
        <v>10430</v>
      </c>
      <c r="T80" s="5">
        <f t="shared" si="3"/>
        <v>7993</v>
      </c>
    </row>
    <row r="81" spans="1:20" ht="18.75" customHeight="1">
      <c r="A81" s="6" t="s">
        <v>20</v>
      </c>
      <c r="B81" s="10">
        <v>45371</v>
      </c>
      <c r="C81" s="2">
        <v>1415</v>
      </c>
      <c r="D81" s="2">
        <v>1390</v>
      </c>
      <c r="E81" s="2">
        <v>730</v>
      </c>
      <c r="F81" s="2">
        <v>3275</v>
      </c>
      <c r="G81" s="2">
        <v>2611</v>
      </c>
      <c r="H81" s="2">
        <v>410</v>
      </c>
      <c r="I81" s="2">
        <v>950</v>
      </c>
      <c r="J81" s="2">
        <v>0</v>
      </c>
      <c r="K81" s="2">
        <v>1640</v>
      </c>
      <c r="L81" s="2">
        <v>10079</v>
      </c>
      <c r="M81" s="2">
        <v>5686</v>
      </c>
      <c r="N81" s="2">
        <v>241</v>
      </c>
      <c r="O81" s="2">
        <v>0</v>
      </c>
      <c r="P81" s="2">
        <v>776</v>
      </c>
      <c r="Q81" s="3">
        <f t="shared" si="2"/>
        <v>29203</v>
      </c>
      <c r="R81" s="3">
        <v>8091</v>
      </c>
      <c r="S81" s="3">
        <v>6688</v>
      </c>
      <c r="T81" s="5">
        <f t="shared" si="3"/>
        <v>14424</v>
      </c>
    </row>
    <row r="82" spans="1:20" ht="18.75" customHeight="1">
      <c r="A82" s="6" t="s">
        <v>21</v>
      </c>
      <c r="B82" s="10">
        <v>45372</v>
      </c>
      <c r="C82" s="2">
        <v>1950</v>
      </c>
      <c r="D82" s="2">
        <v>1585</v>
      </c>
      <c r="E82" s="2">
        <v>850</v>
      </c>
      <c r="F82" s="2">
        <v>3540</v>
      </c>
      <c r="G82" s="2">
        <v>1261</v>
      </c>
      <c r="H82" s="2">
        <v>1215</v>
      </c>
      <c r="I82" s="2">
        <v>685</v>
      </c>
      <c r="J82" s="2">
        <v>0</v>
      </c>
      <c r="K82" s="2">
        <v>1690</v>
      </c>
      <c r="L82" s="2">
        <v>12317</v>
      </c>
      <c r="M82" s="2">
        <v>5699</v>
      </c>
      <c r="N82" s="2">
        <v>360</v>
      </c>
      <c r="O82" s="2">
        <v>192</v>
      </c>
      <c r="P82" s="2">
        <v>271</v>
      </c>
      <c r="Q82" s="3">
        <f t="shared" si="2"/>
        <v>31615</v>
      </c>
      <c r="R82" s="3">
        <v>8828</v>
      </c>
      <c r="S82" s="3">
        <v>17523</v>
      </c>
      <c r="T82" s="5">
        <f t="shared" si="3"/>
        <v>5264</v>
      </c>
    </row>
    <row r="83" spans="1:20" ht="18.75" customHeight="1">
      <c r="A83" s="6" t="s">
        <v>22</v>
      </c>
      <c r="B83" s="10">
        <v>45373</v>
      </c>
      <c r="C83" s="2">
        <v>2215</v>
      </c>
      <c r="D83" s="2">
        <v>1560</v>
      </c>
      <c r="E83" s="2">
        <v>470</v>
      </c>
      <c r="F83" s="2">
        <v>3030</v>
      </c>
      <c r="G83" s="2">
        <v>1152</v>
      </c>
      <c r="H83" s="2">
        <v>490</v>
      </c>
      <c r="I83" s="2">
        <v>1705</v>
      </c>
      <c r="J83" s="2">
        <v>390</v>
      </c>
      <c r="K83" s="2">
        <v>1910</v>
      </c>
      <c r="L83" s="2">
        <v>13345</v>
      </c>
      <c r="M83" s="2">
        <v>8586</v>
      </c>
      <c r="N83" s="2">
        <v>1222</v>
      </c>
      <c r="O83" s="2">
        <v>0</v>
      </c>
      <c r="P83" s="2">
        <v>518</v>
      </c>
      <c r="Q83" s="3">
        <f t="shared" si="2"/>
        <v>36593</v>
      </c>
      <c r="R83" s="3">
        <v>11341</v>
      </c>
      <c r="S83" s="3">
        <v>14502</v>
      </c>
      <c r="T83" s="5">
        <f t="shared" si="3"/>
        <v>10750</v>
      </c>
    </row>
    <row r="84" spans="1:20" ht="18.75" customHeight="1">
      <c r="A84" s="6" t="s">
        <v>23</v>
      </c>
      <c r="B84" s="10">
        <v>45374</v>
      </c>
      <c r="C84" s="2">
        <v>2220</v>
      </c>
      <c r="D84" s="2">
        <v>2096</v>
      </c>
      <c r="E84" s="2">
        <v>1230</v>
      </c>
      <c r="F84" s="2">
        <v>6215</v>
      </c>
      <c r="G84" s="2">
        <v>868</v>
      </c>
      <c r="H84" s="2">
        <v>1900</v>
      </c>
      <c r="I84" s="2">
        <v>835</v>
      </c>
      <c r="J84" s="2">
        <v>2020</v>
      </c>
      <c r="K84" s="2">
        <v>3680</v>
      </c>
      <c r="L84" s="2">
        <v>18950</v>
      </c>
      <c r="M84" s="2">
        <v>6623</v>
      </c>
      <c r="N84" s="2">
        <v>895</v>
      </c>
      <c r="O84" s="2">
        <v>0</v>
      </c>
      <c r="P84" s="2">
        <v>1258</v>
      </c>
      <c r="Q84" s="3">
        <f t="shared" si="2"/>
        <v>48790</v>
      </c>
      <c r="R84" s="3">
        <v>11386</v>
      </c>
      <c r="S84" s="3">
        <v>27251</v>
      </c>
      <c r="T84" s="5">
        <f t="shared" si="3"/>
        <v>10153</v>
      </c>
    </row>
    <row r="85" spans="1:20" ht="18.75" customHeight="1">
      <c r="A85" s="6" t="s">
        <v>17</v>
      </c>
      <c r="B85" s="10">
        <v>45375</v>
      </c>
      <c r="C85" s="2">
        <v>2095</v>
      </c>
      <c r="D85" s="2">
        <v>1295</v>
      </c>
      <c r="E85" s="2">
        <v>200</v>
      </c>
      <c r="F85" s="2">
        <v>4390</v>
      </c>
      <c r="G85" s="2">
        <v>1400</v>
      </c>
      <c r="H85" s="2">
        <v>2987</v>
      </c>
      <c r="I85" s="2">
        <v>1105</v>
      </c>
      <c r="J85" s="2">
        <v>1957</v>
      </c>
      <c r="K85" s="2">
        <v>915</v>
      </c>
      <c r="L85" s="2">
        <v>25985</v>
      </c>
      <c r="M85" s="2">
        <v>14704</v>
      </c>
      <c r="N85" s="2">
        <v>486</v>
      </c>
      <c r="O85" s="2">
        <v>405</v>
      </c>
      <c r="P85" s="2">
        <v>1516</v>
      </c>
      <c r="Q85" s="3">
        <f t="shared" si="2"/>
        <v>59440</v>
      </c>
      <c r="R85" s="3">
        <v>17998</v>
      </c>
      <c r="S85" s="3">
        <v>19011</v>
      </c>
      <c r="T85" s="5">
        <f t="shared" si="3"/>
        <v>22431</v>
      </c>
    </row>
    <row r="86" spans="1:20" ht="18.75" customHeight="1">
      <c r="A86" s="6" t="s">
        <v>18</v>
      </c>
      <c r="B86" s="10">
        <v>45376</v>
      </c>
      <c r="C86" s="2">
        <v>2650</v>
      </c>
      <c r="D86" s="2">
        <v>2060</v>
      </c>
      <c r="E86" s="2">
        <v>1111</v>
      </c>
      <c r="F86" s="2">
        <v>5025</v>
      </c>
      <c r="G86" s="2">
        <v>2596</v>
      </c>
      <c r="H86" s="2">
        <v>1608</v>
      </c>
      <c r="I86" s="2">
        <v>1865</v>
      </c>
      <c r="J86" s="2">
        <v>570</v>
      </c>
      <c r="K86" s="2">
        <v>2010</v>
      </c>
      <c r="L86" s="2">
        <v>17792</v>
      </c>
      <c r="M86" s="2">
        <v>12245</v>
      </c>
      <c r="N86" s="2">
        <v>350</v>
      </c>
      <c r="O86" s="2">
        <v>85</v>
      </c>
      <c r="P86" s="2">
        <v>694</v>
      </c>
      <c r="Q86" s="3">
        <f t="shared" si="2"/>
        <v>50661</v>
      </c>
      <c r="R86" s="3">
        <v>11471</v>
      </c>
      <c r="S86" s="3">
        <v>16200</v>
      </c>
      <c r="T86" s="5">
        <f t="shared" si="3"/>
        <v>22990</v>
      </c>
    </row>
    <row r="87" spans="1:20" ht="18.75" customHeight="1">
      <c r="A87" s="6" t="s">
        <v>19</v>
      </c>
      <c r="B87" s="10">
        <v>45377</v>
      </c>
      <c r="C87" s="2">
        <v>1925</v>
      </c>
      <c r="D87" s="2">
        <v>965</v>
      </c>
      <c r="E87" s="2">
        <v>635</v>
      </c>
      <c r="F87" s="2">
        <v>3445</v>
      </c>
      <c r="G87" s="2">
        <v>2265</v>
      </c>
      <c r="H87" s="2">
        <v>1130</v>
      </c>
      <c r="I87" s="2">
        <v>1440</v>
      </c>
      <c r="J87" s="2">
        <v>790</v>
      </c>
      <c r="K87" s="2">
        <v>2332</v>
      </c>
      <c r="L87" s="2">
        <v>18111</v>
      </c>
      <c r="M87" s="2">
        <v>12619</v>
      </c>
      <c r="N87" s="2">
        <v>246</v>
      </c>
      <c r="O87" s="2">
        <v>0</v>
      </c>
      <c r="P87" s="2">
        <v>234</v>
      </c>
      <c r="Q87" s="3">
        <f t="shared" si="2"/>
        <v>46137</v>
      </c>
      <c r="R87" s="3">
        <v>12621</v>
      </c>
      <c r="S87" s="3">
        <v>21683</v>
      </c>
      <c r="T87" s="5">
        <f t="shared" si="3"/>
        <v>11833</v>
      </c>
    </row>
    <row r="88" spans="1:20" ht="18.75" customHeight="1">
      <c r="A88" s="6" t="s">
        <v>20</v>
      </c>
      <c r="B88" s="10">
        <v>45378</v>
      </c>
      <c r="C88" s="2">
        <v>1785</v>
      </c>
      <c r="D88" s="2">
        <v>2755</v>
      </c>
      <c r="E88" s="2">
        <v>485</v>
      </c>
      <c r="F88" s="2">
        <v>3985</v>
      </c>
      <c r="G88" s="2">
        <v>4080</v>
      </c>
      <c r="H88" s="2">
        <v>630</v>
      </c>
      <c r="I88" s="2">
        <v>1165</v>
      </c>
      <c r="J88" s="2">
        <v>1780</v>
      </c>
      <c r="K88" s="2">
        <v>1885</v>
      </c>
      <c r="L88" s="2">
        <v>23020</v>
      </c>
      <c r="M88" s="2">
        <v>8739</v>
      </c>
      <c r="N88" s="2">
        <v>1519</v>
      </c>
      <c r="O88" s="2">
        <v>0</v>
      </c>
      <c r="P88" s="2">
        <v>880</v>
      </c>
      <c r="Q88" s="3">
        <f t="shared" si="2"/>
        <v>52708</v>
      </c>
      <c r="R88" s="3">
        <v>10817</v>
      </c>
      <c r="S88" s="3">
        <v>31288</v>
      </c>
      <c r="T88" s="5">
        <f t="shared" si="3"/>
        <v>10603</v>
      </c>
    </row>
    <row r="89" spans="1:20" ht="18.75" customHeight="1">
      <c r="A89" s="6" t="s">
        <v>21</v>
      </c>
      <c r="B89" s="10">
        <v>45379</v>
      </c>
      <c r="C89" s="2">
        <v>3935</v>
      </c>
      <c r="D89" s="2">
        <v>2305</v>
      </c>
      <c r="E89" s="2">
        <v>1145</v>
      </c>
      <c r="F89" s="2">
        <v>6705</v>
      </c>
      <c r="G89" s="2">
        <v>2276</v>
      </c>
      <c r="H89" s="2">
        <v>1700</v>
      </c>
      <c r="I89" s="2">
        <v>1280</v>
      </c>
      <c r="J89" s="2">
        <v>1270</v>
      </c>
      <c r="K89" s="2">
        <v>2647</v>
      </c>
      <c r="L89" s="2">
        <v>25871</v>
      </c>
      <c r="M89" s="2">
        <v>11520</v>
      </c>
      <c r="N89" s="2">
        <v>1353</v>
      </c>
      <c r="O89" s="2">
        <v>0</v>
      </c>
      <c r="P89" s="2">
        <v>432</v>
      </c>
      <c r="Q89" s="3">
        <f t="shared" si="2"/>
        <v>62439</v>
      </c>
      <c r="R89" s="3">
        <v>14366</v>
      </c>
      <c r="S89" s="3">
        <v>26767</v>
      </c>
      <c r="T89" s="5">
        <f t="shared" si="3"/>
        <v>21306</v>
      </c>
    </row>
    <row r="90" spans="1:20" ht="18.75" customHeight="1">
      <c r="A90" s="6" t="s">
        <v>22</v>
      </c>
      <c r="B90" s="10">
        <v>45380</v>
      </c>
      <c r="C90" s="2">
        <v>4495</v>
      </c>
      <c r="D90" s="2">
        <v>2670</v>
      </c>
      <c r="E90" s="2">
        <v>930</v>
      </c>
      <c r="F90" s="2">
        <v>4975</v>
      </c>
      <c r="G90" s="2">
        <v>3055</v>
      </c>
      <c r="H90" s="2">
        <v>3260</v>
      </c>
      <c r="I90" s="2">
        <v>2105</v>
      </c>
      <c r="J90" s="2">
        <v>2945</v>
      </c>
      <c r="K90" s="2">
        <v>2580</v>
      </c>
      <c r="L90" s="2">
        <v>34286</v>
      </c>
      <c r="M90" s="2">
        <v>15800</v>
      </c>
      <c r="N90" s="2">
        <v>582</v>
      </c>
      <c r="O90" s="2">
        <v>724</v>
      </c>
      <c r="P90" s="2">
        <v>856</v>
      </c>
      <c r="Q90" s="3">
        <f t="shared" si="2"/>
        <v>79263</v>
      </c>
      <c r="R90" s="3">
        <v>14553</v>
      </c>
      <c r="S90" s="3">
        <v>28202</v>
      </c>
      <c r="T90" s="5">
        <f t="shared" si="3"/>
        <v>36508</v>
      </c>
    </row>
    <row r="91" spans="1:20" ht="18.75" customHeight="1">
      <c r="A91" s="6" t="s">
        <v>23</v>
      </c>
      <c r="B91" s="10">
        <v>45381</v>
      </c>
      <c r="C91" s="2">
        <v>4580</v>
      </c>
      <c r="D91" s="2">
        <v>2175</v>
      </c>
      <c r="E91" s="2">
        <v>385</v>
      </c>
      <c r="F91" s="2">
        <v>5330</v>
      </c>
      <c r="G91" s="2">
        <v>1330</v>
      </c>
      <c r="H91" s="2">
        <v>3818</v>
      </c>
      <c r="I91" s="2">
        <v>1860</v>
      </c>
      <c r="J91" s="2">
        <v>5925</v>
      </c>
      <c r="K91" s="2">
        <v>3065</v>
      </c>
      <c r="L91" s="2">
        <v>32572</v>
      </c>
      <c r="M91" s="2">
        <v>22991</v>
      </c>
      <c r="N91" s="2">
        <v>615</v>
      </c>
      <c r="O91" s="2">
        <v>634</v>
      </c>
      <c r="P91" s="2">
        <v>548</v>
      </c>
      <c r="Q91" s="3">
        <f t="shared" si="2"/>
        <v>85828</v>
      </c>
      <c r="R91" s="3">
        <v>17590</v>
      </c>
      <c r="S91" s="3">
        <v>33284</v>
      </c>
      <c r="T91" s="5">
        <f t="shared" si="3"/>
        <v>34954</v>
      </c>
    </row>
    <row r="92" spans="1:20" ht="18.75" customHeight="1">
      <c r="A92" s="6" t="s">
        <v>17</v>
      </c>
      <c r="B92" s="10">
        <v>45382</v>
      </c>
      <c r="C92" s="2">
        <v>4802</v>
      </c>
      <c r="D92" s="2">
        <v>8675</v>
      </c>
      <c r="E92" s="2">
        <v>0</v>
      </c>
      <c r="F92" s="2">
        <v>3650</v>
      </c>
      <c r="G92" s="2">
        <v>2785</v>
      </c>
      <c r="H92" s="2">
        <v>4110</v>
      </c>
      <c r="I92" s="2">
        <v>1400</v>
      </c>
      <c r="J92" s="2">
        <v>4110</v>
      </c>
      <c r="K92" s="2">
        <v>2868</v>
      </c>
      <c r="L92" s="2">
        <v>35697</v>
      </c>
      <c r="M92" s="2">
        <v>9992</v>
      </c>
      <c r="N92" s="2">
        <v>140</v>
      </c>
      <c r="O92" s="2">
        <v>0</v>
      </c>
      <c r="P92" s="2">
        <v>1125</v>
      </c>
      <c r="Q92" s="3">
        <f t="shared" si="2"/>
        <v>79354</v>
      </c>
      <c r="R92" s="3">
        <v>12926</v>
      </c>
      <c r="S92" s="3">
        <v>29404</v>
      </c>
      <c r="T92" s="5">
        <f t="shared" si="3"/>
        <v>37024</v>
      </c>
    </row>
    <row r="93" spans="1:20" ht="18.75" customHeight="1">
      <c r="A93" s="7" t="s">
        <v>18</v>
      </c>
      <c r="B93" s="10">
        <v>45383</v>
      </c>
      <c r="C93" s="2">
        <v>3010</v>
      </c>
      <c r="D93" s="2">
        <v>3285</v>
      </c>
      <c r="E93" s="2">
        <v>1545</v>
      </c>
      <c r="F93" s="2">
        <v>9610</v>
      </c>
      <c r="G93" s="2">
        <v>2177</v>
      </c>
      <c r="H93" s="2">
        <v>1420</v>
      </c>
      <c r="I93" s="2">
        <v>1105</v>
      </c>
      <c r="J93" s="2">
        <v>1945</v>
      </c>
      <c r="K93" s="2">
        <v>2670</v>
      </c>
      <c r="L93" s="2">
        <v>28264</v>
      </c>
      <c r="M93" s="2">
        <v>13030</v>
      </c>
      <c r="N93" s="2">
        <v>250</v>
      </c>
      <c r="O93" s="2">
        <v>0</v>
      </c>
      <c r="P93" s="2">
        <v>119</v>
      </c>
      <c r="Q93" s="3">
        <f t="shared" si="2"/>
        <v>68430</v>
      </c>
      <c r="R93" s="3">
        <v>10617</v>
      </c>
      <c r="S93" s="3">
        <v>38829</v>
      </c>
      <c r="T93" s="5">
        <f t="shared" si="3"/>
        <v>18984</v>
      </c>
    </row>
    <row r="94" spans="1:20" ht="18.75" customHeight="1">
      <c r="A94" s="7" t="s">
        <v>19</v>
      </c>
      <c r="B94" s="10">
        <v>45384</v>
      </c>
      <c r="C94" s="2">
        <v>2575</v>
      </c>
      <c r="D94" s="2">
        <v>1920</v>
      </c>
      <c r="E94" s="2">
        <v>945</v>
      </c>
      <c r="F94" s="2">
        <v>5580</v>
      </c>
      <c r="G94" s="2">
        <v>2617</v>
      </c>
      <c r="H94" s="2">
        <v>0</v>
      </c>
      <c r="I94" s="2">
        <v>770</v>
      </c>
      <c r="J94" s="2">
        <v>900</v>
      </c>
      <c r="K94" s="2">
        <v>2785</v>
      </c>
      <c r="L94" s="2">
        <v>17950</v>
      </c>
      <c r="M94" s="2">
        <v>16722</v>
      </c>
      <c r="N94" s="2">
        <v>465</v>
      </c>
      <c r="O94" s="2">
        <v>322</v>
      </c>
      <c r="P94" s="2">
        <v>270</v>
      </c>
      <c r="Q94" s="3">
        <f t="shared" si="2"/>
        <v>53821</v>
      </c>
      <c r="R94" s="3">
        <v>9447</v>
      </c>
      <c r="S94" s="3">
        <v>24441</v>
      </c>
      <c r="T94" s="5">
        <f t="shared" si="3"/>
        <v>19933</v>
      </c>
    </row>
    <row r="95" spans="1:20" ht="18.75" customHeight="1">
      <c r="A95" s="7" t="s">
        <v>20</v>
      </c>
      <c r="B95" s="10">
        <v>45385</v>
      </c>
      <c r="C95" s="2">
        <v>1525</v>
      </c>
      <c r="D95" s="2">
        <v>2247</v>
      </c>
      <c r="E95" s="2">
        <v>715</v>
      </c>
      <c r="F95" s="2">
        <v>4525</v>
      </c>
      <c r="G95" s="2">
        <v>2276</v>
      </c>
      <c r="H95" s="2">
        <v>1075</v>
      </c>
      <c r="I95" s="2">
        <v>990</v>
      </c>
      <c r="J95" s="2">
        <v>0</v>
      </c>
      <c r="K95" s="2">
        <v>1240</v>
      </c>
      <c r="L95" s="2">
        <v>25780</v>
      </c>
      <c r="M95" s="2">
        <v>8401</v>
      </c>
      <c r="N95" s="2">
        <v>756</v>
      </c>
      <c r="O95" s="2">
        <v>218</v>
      </c>
      <c r="P95" s="2">
        <v>0</v>
      </c>
      <c r="Q95" s="3">
        <f t="shared" si="2"/>
        <v>49748</v>
      </c>
      <c r="R95" s="3">
        <v>10056</v>
      </c>
      <c r="S95" s="3">
        <v>11323</v>
      </c>
      <c r="T95" s="5">
        <f t="shared" si="3"/>
        <v>28369</v>
      </c>
    </row>
    <row r="96" spans="1:20" ht="18.75" customHeight="1">
      <c r="A96" s="7" t="s">
        <v>21</v>
      </c>
      <c r="B96" s="10">
        <v>45386</v>
      </c>
      <c r="C96" s="2">
        <v>2380</v>
      </c>
      <c r="D96" s="2">
        <v>2765</v>
      </c>
      <c r="E96" s="2">
        <v>880</v>
      </c>
      <c r="F96" s="2">
        <v>4340</v>
      </c>
      <c r="G96" s="2">
        <v>2357.5</v>
      </c>
      <c r="H96" s="2">
        <v>1960</v>
      </c>
      <c r="I96" s="2">
        <v>1010</v>
      </c>
      <c r="J96" s="2">
        <v>0</v>
      </c>
      <c r="K96" s="2">
        <v>1740</v>
      </c>
      <c r="L96" s="2">
        <v>25379</v>
      </c>
      <c r="M96" s="2">
        <v>10441</v>
      </c>
      <c r="N96" s="2">
        <v>146</v>
      </c>
      <c r="O96" s="2">
        <v>230</v>
      </c>
      <c r="P96" s="2">
        <v>293</v>
      </c>
      <c r="Q96" s="3">
        <f t="shared" si="2"/>
        <v>53921.5</v>
      </c>
      <c r="R96" s="3">
        <v>12728</v>
      </c>
      <c r="S96" s="3">
        <v>27012</v>
      </c>
      <c r="T96" s="5">
        <f t="shared" si="3"/>
        <v>14181.5</v>
      </c>
    </row>
    <row r="97" spans="1:20" ht="18.75" customHeight="1">
      <c r="A97" s="7" t="s">
        <v>22</v>
      </c>
      <c r="B97" s="10">
        <v>45387</v>
      </c>
      <c r="C97" s="2">
        <v>2245</v>
      </c>
      <c r="D97" s="2">
        <v>1955</v>
      </c>
      <c r="E97" s="2">
        <v>705</v>
      </c>
      <c r="F97" s="2">
        <v>6130</v>
      </c>
      <c r="G97" s="2">
        <v>3067</v>
      </c>
      <c r="H97" s="2">
        <v>1715</v>
      </c>
      <c r="I97" s="2">
        <v>880</v>
      </c>
      <c r="J97" s="2">
        <v>0</v>
      </c>
      <c r="K97" s="2">
        <v>2600</v>
      </c>
      <c r="L97" s="2">
        <v>23877</v>
      </c>
      <c r="M97" s="2">
        <v>19441</v>
      </c>
      <c r="N97" s="2">
        <v>645</v>
      </c>
      <c r="O97" s="2">
        <v>290</v>
      </c>
      <c r="P97" s="2">
        <v>677</v>
      </c>
      <c r="Q97" s="3">
        <f t="shared" si="2"/>
        <v>64227</v>
      </c>
      <c r="R97" s="3">
        <v>11895</v>
      </c>
      <c r="S97" s="3">
        <v>16139</v>
      </c>
      <c r="T97" s="5">
        <f t="shared" si="3"/>
        <v>36193</v>
      </c>
    </row>
    <row r="98" spans="1:20" ht="18.75" customHeight="1">
      <c r="A98" s="7" t="s">
        <v>23</v>
      </c>
      <c r="B98" s="10">
        <v>45388</v>
      </c>
      <c r="C98" s="2">
        <v>2345</v>
      </c>
      <c r="D98" s="2">
        <v>2814</v>
      </c>
      <c r="E98" s="2">
        <v>725</v>
      </c>
      <c r="F98" s="2">
        <v>5950</v>
      </c>
      <c r="G98" s="2">
        <v>1847</v>
      </c>
      <c r="H98" s="2">
        <v>1600</v>
      </c>
      <c r="I98" s="2">
        <v>885</v>
      </c>
      <c r="J98" s="2">
        <v>0</v>
      </c>
      <c r="K98" s="2">
        <v>2520</v>
      </c>
      <c r="L98" s="2">
        <v>27460</v>
      </c>
      <c r="M98" s="2">
        <v>7402</v>
      </c>
      <c r="N98" s="2">
        <v>965</v>
      </c>
      <c r="O98" s="2">
        <v>110</v>
      </c>
      <c r="P98" s="2">
        <v>1882</v>
      </c>
      <c r="Q98" s="3">
        <f t="shared" si="2"/>
        <v>56505</v>
      </c>
      <c r="R98" s="3">
        <v>11865</v>
      </c>
      <c r="S98" s="3">
        <v>30725</v>
      </c>
      <c r="T98" s="5">
        <f t="shared" si="3"/>
        <v>13915</v>
      </c>
    </row>
    <row r="99" spans="1:20" ht="18.75" customHeight="1">
      <c r="A99" s="7" t="s">
        <v>17</v>
      </c>
      <c r="B99" s="10">
        <v>45389</v>
      </c>
      <c r="C99" s="2">
        <v>4449</v>
      </c>
      <c r="D99" s="2">
        <v>2435</v>
      </c>
      <c r="E99" s="2">
        <v>0</v>
      </c>
      <c r="F99" s="2">
        <v>5945</v>
      </c>
      <c r="G99" s="2">
        <v>3281</v>
      </c>
      <c r="H99" s="2">
        <v>2075</v>
      </c>
      <c r="I99" s="2">
        <v>700</v>
      </c>
      <c r="J99" s="2">
        <v>0</v>
      </c>
      <c r="K99" s="2">
        <v>2125</v>
      </c>
      <c r="L99" s="2">
        <v>17148</v>
      </c>
      <c r="M99" s="2">
        <v>12288</v>
      </c>
      <c r="N99" s="2">
        <v>370</v>
      </c>
      <c r="O99" s="2">
        <v>0</v>
      </c>
      <c r="P99" s="2">
        <v>289</v>
      </c>
      <c r="Q99" s="3">
        <f t="shared" si="2"/>
        <v>51105</v>
      </c>
      <c r="R99" s="3">
        <v>14852</v>
      </c>
      <c r="S99" s="3">
        <v>17849</v>
      </c>
      <c r="T99" s="5">
        <f t="shared" si="3"/>
        <v>18404</v>
      </c>
    </row>
    <row r="100" spans="1:20" ht="18.75" customHeight="1">
      <c r="A100" s="7" t="s">
        <v>18</v>
      </c>
      <c r="B100" s="10">
        <v>45390</v>
      </c>
      <c r="C100" s="2">
        <v>2300</v>
      </c>
      <c r="D100" s="2">
        <v>2434</v>
      </c>
      <c r="E100" s="2">
        <v>845</v>
      </c>
      <c r="F100" s="2">
        <v>6550</v>
      </c>
      <c r="G100" s="2">
        <v>2388</v>
      </c>
      <c r="H100" s="2">
        <v>0</v>
      </c>
      <c r="I100" s="2">
        <v>765</v>
      </c>
      <c r="J100" s="2">
        <v>0</v>
      </c>
      <c r="K100" s="2">
        <v>1265</v>
      </c>
      <c r="L100" s="2">
        <v>16522</v>
      </c>
      <c r="M100" s="2">
        <v>4796</v>
      </c>
      <c r="N100" s="2">
        <v>650</v>
      </c>
      <c r="O100" s="2">
        <v>467</v>
      </c>
      <c r="P100" s="2">
        <v>919</v>
      </c>
      <c r="Q100" s="3">
        <f t="shared" si="2"/>
        <v>39901</v>
      </c>
      <c r="R100" s="3">
        <v>8926</v>
      </c>
      <c r="S100" s="3">
        <v>18723</v>
      </c>
      <c r="T100" s="5">
        <f t="shared" si="3"/>
        <v>12252</v>
      </c>
    </row>
    <row r="101" spans="1:20" ht="18.75" customHeight="1">
      <c r="A101" s="7" t="s">
        <v>19</v>
      </c>
      <c r="B101" s="10">
        <v>45391</v>
      </c>
      <c r="C101" s="2">
        <v>2125</v>
      </c>
      <c r="D101" s="2">
        <v>1330</v>
      </c>
      <c r="E101" s="2">
        <v>725</v>
      </c>
      <c r="F101" s="2">
        <v>2925</v>
      </c>
      <c r="G101" s="2">
        <v>1622</v>
      </c>
      <c r="H101" s="2">
        <v>0</v>
      </c>
      <c r="I101" s="2">
        <v>725</v>
      </c>
      <c r="J101" s="2">
        <v>0</v>
      </c>
      <c r="K101" s="2">
        <v>1124</v>
      </c>
      <c r="L101" s="2">
        <v>10312</v>
      </c>
      <c r="M101" s="2">
        <v>3950</v>
      </c>
      <c r="N101" s="2">
        <v>802</v>
      </c>
      <c r="O101" s="2">
        <v>0</v>
      </c>
      <c r="P101" s="2">
        <v>605</v>
      </c>
      <c r="Q101" s="3">
        <f t="shared" si="2"/>
        <v>26245</v>
      </c>
      <c r="R101" s="3">
        <v>13065</v>
      </c>
      <c r="S101" s="3">
        <v>7484</v>
      </c>
      <c r="T101" s="5">
        <f t="shared" si="3"/>
        <v>5696</v>
      </c>
    </row>
    <row r="102" spans="1:20" ht="18.75" customHeight="1">
      <c r="A102" s="7" t="s">
        <v>20</v>
      </c>
      <c r="B102" s="10">
        <v>45392</v>
      </c>
      <c r="C102" s="2">
        <v>1380</v>
      </c>
      <c r="D102" s="2">
        <v>1720</v>
      </c>
      <c r="E102" s="2">
        <v>175</v>
      </c>
      <c r="F102" s="2">
        <v>3920</v>
      </c>
      <c r="G102" s="2">
        <v>1395</v>
      </c>
      <c r="H102" s="2">
        <v>0</v>
      </c>
      <c r="I102" s="2">
        <v>875</v>
      </c>
      <c r="J102" s="2">
        <v>0</v>
      </c>
      <c r="K102" s="2">
        <v>1245</v>
      </c>
      <c r="L102" s="2">
        <v>15483</v>
      </c>
      <c r="M102" s="2">
        <v>2058</v>
      </c>
      <c r="N102" s="2">
        <v>165</v>
      </c>
      <c r="O102" s="2">
        <v>0</v>
      </c>
      <c r="P102" s="2">
        <v>1379</v>
      </c>
      <c r="Q102" s="3">
        <f t="shared" si="2"/>
        <v>29795</v>
      </c>
      <c r="R102" s="3">
        <v>8779</v>
      </c>
      <c r="S102" s="3">
        <v>12064</v>
      </c>
      <c r="T102" s="5">
        <f t="shared" si="3"/>
        <v>8952</v>
      </c>
    </row>
    <row r="103" spans="1:20" ht="18.75" customHeight="1">
      <c r="A103" s="7" t="s">
        <v>21</v>
      </c>
      <c r="B103" s="10">
        <v>45393</v>
      </c>
      <c r="C103" s="2">
        <v>2225</v>
      </c>
      <c r="D103" s="2">
        <v>1655</v>
      </c>
      <c r="E103" s="2">
        <v>820</v>
      </c>
      <c r="F103" s="2">
        <v>2108</v>
      </c>
      <c r="G103" s="2">
        <v>2181</v>
      </c>
      <c r="H103" s="2">
        <v>0</v>
      </c>
      <c r="I103" s="2">
        <v>690</v>
      </c>
      <c r="J103" s="2">
        <v>0</v>
      </c>
      <c r="K103" s="2">
        <v>1940</v>
      </c>
      <c r="L103" s="2">
        <v>10620</v>
      </c>
      <c r="M103" s="2">
        <v>6353</v>
      </c>
      <c r="N103" s="2">
        <v>1398</v>
      </c>
      <c r="O103" s="2">
        <v>155</v>
      </c>
      <c r="P103" s="2">
        <v>346</v>
      </c>
      <c r="Q103" s="3">
        <f t="shared" si="2"/>
        <v>30491</v>
      </c>
      <c r="R103" s="3">
        <v>9452</v>
      </c>
      <c r="S103" s="3">
        <v>12673</v>
      </c>
      <c r="T103" s="5">
        <f t="shared" si="3"/>
        <v>8366</v>
      </c>
    </row>
    <row r="104" spans="1:20" ht="18.75" customHeight="1">
      <c r="A104" s="7" t="s">
        <v>22</v>
      </c>
      <c r="B104" s="10">
        <v>45394</v>
      </c>
      <c r="C104" s="2">
        <v>1810</v>
      </c>
      <c r="D104" s="2">
        <v>1455</v>
      </c>
      <c r="E104" s="2">
        <v>525</v>
      </c>
      <c r="F104" s="2">
        <v>3035</v>
      </c>
      <c r="G104" s="2">
        <v>1642</v>
      </c>
      <c r="H104" s="2">
        <v>0</v>
      </c>
      <c r="I104" s="2">
        <v>1078</v>
      </c>
      <c r="J104" s="2">
        <v>0</v>
      </c>
      <c r="K104" s="2">
        <v>2475</v>
      </c>
      <c r="L104" s="2">
        <v>12967</v>
      </c>
      <c r="M104" s="2">
        <v>8504</v>
      </c>
      <c r="N104" s="2">
        <v>771</v>
      </c>
      <c r="O104" s="2">
        <v>162</v>
      </c>
      <c r="P104" s="2">
        <v>978</v>
      </c>
      <c r="Q104" s="3">
        <f t="shared" si="2"/>
        <v>35402</v>
      </c>
      <c r="R104" s="3">
        <v>8691</v>
      </c>
      <c r="S104" s="3">
        <v>13221</v>
      </c>
      <c r="T104" s="5">
        <f t="shared" si="3"/>
        <v>13490</v>
      </c>
    </row>
    <row r="105" spans="1:20" ht="18.75" customHeight="1">
      <c r="A105" s="7" t="s">
        <v>23</v>
      </c>
      <c r="B105" s="10">
        <v>45395</v>
      </c>
      <c r="C105" s="2">
        <v>1850</v>
      </c>
      <c r="D105" s="2">
        <v>845</v>
      </c>
      <c r="E105" s="2">
        <v>775</v>
      </c>
      <c r="F105" s="2">
        <v>3555</v>
      </c>
      <c r="G105" s="2">
        <v>2178</v>
      </c>
      <c r="H105" s="2">
        <v>0</v>
      </c>
      <c r="I105" s="2">
        <v>1095</v>
      </c>
      <c r="J105" s="2">
        <v>0</v>
      </c>
      <c r="K105" s="2">
        <v>1764</v>
      </c>
      <c r="L105" s="2">
        <v>16493</v>
      </c>
      <c r="M105" s="2">
        <v>6288</v>
      </c>
      <c r="N105" s="2">
        <v>1834</v>
      </c>
      <c r="O105" s="2">
        <v>398</v>
      </c>
      <c r="P105" s="2">
        <v>818</v>
      </c>
      <c r="Q105" s="3">
        <f t="shared" si="2"/>
        <v>37893</v>
      </c>
      <c r="R105" s="3">
        <v>10411</v>
      </c>
      <c r="S105" s="3">
        <v>19730</v>
      </c>
      <c r="T105" s="5">
        <f t="shared" si="3"/>
        <v>7752</v>
      </c>
    </row>
    <row r="106" spans="1:20" ht="18.75" customHeight="1">
      <c r="A106" s="7" t="s">
        <v>17</v>
      </c>
      <c r="B106" s="10">
        <v>45396</v>
      </c>
      <c r="C106" s="2">
        <v>2930</v>
      </c>
      <c r="D106" s="2">
        <v>890</v>
      </c>
      <c r="E106" s="2">
        <v>0</v>
      </c>
      <c r="F106" s="2">
        <v>2965</v>
      </c>
      <c r="G106" s="2">
        <v>1723</v>
      </c>
      <c r="H106" s="2">
        <v>0</v>
      </c>
      <c r="I106" s="2">
        <v>415</v>
      </c>
      <c r="J106" s="2">
        <v>0</v>
      </c>
      <c r="K106" s="2">
        <v>760</v>
      </c>
      <c r="L106" s="2">
        <v>17015</v>
      </c>
      <c r="M106" s="2">
        <v>9444</v>
      </c>
      <c r="N106" s="2">
        <v>1682</v>
      </c>
      <c r="O106" s="2">
        <v>0</v>
      </c>
      <c r="P106" s="2">
        <v>1074</v>
      </c>
      <c r="Q106" s="3">
        <f t="shared" si="2"/>
        <v>38898</v>
      </c>
      <c r="R106" s="3">
        <v>11736</v>
      </c>
      <c r="S106" s="3">
        <v>24449</v>
      </c>
      <c r="T106" s="5">
        <f t="shared" si="3"/>
        <v>2713</v>
      </c>
    </row>
    <row r="107" spans="1:20" ht="18.75" customHeight="1">
      <c r="A107" s="7" t="s">
        <v>18</v>
      </c>
      <c r="B107" s="10">
        <v>45397</v>
      </c>
      <c r="C107" s="2">
        <v>1860</v>
      </c>
      <c r="D107" s="2">
        <v>1520</v>
      </c>
      <c r="E107" s="2">
        <v>865</v>
      </c>
      <c r="F107" s="2">
        <v>3260</v>
      </c>
      <c r="G107" s="2">
        <v>2409</v>
      </c>
      <c r="H107" s="2">
        <v>0</v>
      </c>
      <c r="I107" s="2">
        <v>680</v>
      </c>
      <c r="J107" s="2">
        <v>0</v>
      </c>
      <c r="K107" s="2">
        <v>1150</v>
      </c>
      <c r="L107" s="2">
        <v>14600</v>
      </c>
      <c r="M107" s="2">
        <v>3048</v>
      </c>
      <c r="N107" s="2">
        <v>550</v>
      </c>
      <c r="O107" s="2">
        <v>315</v>
      </c>
      <c r="P107" s="2">
        <v>617</v>
      </c>
      <c r="Q107" s="3">
        <f t="shared" si="2"/>
        <v>30874</v>
      </c>
      <c r="R107" s="3">
        <v>11003</v>
      </c>
      <c r="S107" s="3">
        <v>15666</v>
      </c>
      <c r="T107" s="5">
        <f t="shared" si="3"/>
        <v>4205</v>
      </c>
    </row>
    <row r="108" spans="1:20" ht="18.75" customHeight="1">
      <c r="A108" s="7" t="s">
        <v>19</v>
      </c>
      <c r="B108" s="10">
        <v>45398</v>
      </c>
      <c r="C108" s="2">
        <v>1210</v>
      </c>
      <c r="D108" s="2">
        <v>1575</v>
      </c>
      <c r="E108" s="2">
        <v>832</v>
      </c>
      <c r="F108" s="2">
        <v>3540</v>
      </c>
      <c r="G108" s="2">
        <v>1438</v>
      </c>
      <c r="H108" s="2">
        <v>0</v>
      </c>
      <c r="I108" s="2">
        <v>565</v>
      </c>
      <c r="J108" s="2">
        <v>0</v>
      </c>
      <c r="K108" s="2">
        <v>1740</v>
      </c>
      <c r="L108" s="2">
        <v>10159</v>
      </c>
      <c r="M108" s="2">
        <v>3494</v>
      </c>
      <c r="N108" s="2">
        <v>1597</v>
      </c>
      <c r="O108" s="2">
        <v>0</v>
      </c>
      <c r="P108" s="2">
        <v>326</v>
      </c>
      <c r="Q108" s="3">
        <f t="shared" si="2"/>
        <v>26476</v>
      </c>
      <c r="R108" s="3">
        <v>8806</v>
      </c>
      <c r="S108" s="3">
        <v>12935</v>
      </c>
      <c r="T108" s="5">
        <f t="shared" si="3"/>
        <v>4735</v>
      </c>
    </row>
    <row r="109" spans="1:20" ht="18.75" customHeight="1">
      <c r="A109" s="7" t="s">
        <v>20</v>
      </c>
      <c r="B109" s="10">
        <v>45399</v>
      </c>
      <c r="C109" s="2">
        <v>910</v>
      </c>
      <c r="D109" s="2">
        <v>1425</v>
      </c>
      <c r="E109" s="2">
        <v>595</v>
      </c>
      <c r="F109" s="2">
        <v>2210</v>
      </c>
      <c r="G109" s="2">
        <v>1449</v>
      </c>
      <c r="H109" s="2">
        <v>0</v>
      </c>
      <c r="I109" s="2">
        <v>980</v>
      </c>
      <c r="J109" s="2">
        <v>0</v>
      </c>
      <c r="K109" s="2">
        <v>1430</v>
      </c>
      <c r="L109" s="2">
        <v>10277</v>
      </c>
      <c r="M109" s="2">
        <v>2356</v>
      </c>
      <c r="N109" s="2">
        <v>677</v>
      </c>
      <c r="O109" s="2">
        <v>266</v>
      </c>
      <c r="P109" s="2">
        <v>325</v>
      </c>
      <c r="Q109" s="3">
        <f t="shared" si="2"/>
        <v>22900</v>
      </c>
      <c r="R109" s="3">
        <v>6934</v>
      </c>
      <c r="S109" s="3">
        <v>7495</v>
      </c>
      <c r="T109" s="5">
        <f t="shared" si="3"/>
        <v>8471</v>
      </c>
    </row>
    <row r="110" spans="1:20" ht="18.75" customHeight="1">
      <c r="A110" s="7" t="s">
        <v>21</v>
      </c>
      <c r="B110" s="10">
        <v>45400</v>
      </c>
      <c r="C110" s="2">
        <v>1325</v>
      </c>
      <c r="D110" s="2">
        <v>2050</v>
      </c>
      <c r="E110" s="2">
        <v>870</v>
      </c>
      <c r="F110" s="2">
        <v>2260</v>
      </c>
      <c r="G110" s="2">
        <v>1272</v>
      </c>
      <c r="H110" s="2">
        <v>0</v>
      </c>
      <c r="I110" s="2">
        <v>851</v>
      </c>
      <c r="J110" s="2">
        <v>0</v>
      </c>
      <c r="K110" s="2">
        <v>1005</v>
      </c>
      <c r="L110" s="2">
        <v>7892</v>
      </c>
      <c r="M110" s="2">
        <v>5608</v>
      </c>
      <c r="N110" s="2">
        <v>954</v>
      </c>
      <c r="O110" s="2">
        <v>0</v>
      </c>
      <c r="P110" s="2">
        <v>435</v>
      </c>
      <c r="Q110" s="3">
        <f t="shared" si="2"/>
        <v>24522</v>
      </c>
      <c r="R110" s="3">
        <v>8649</v>
      </c>
      <c r="S110" s="3">
        <v>12745</v>
      </c>
      <c r="T110" s="5">
        <f t="shared" si="3"/>
        <v>3128</v>
      </c>
    </row>
    <row r="111" spans="1:20" ht="18.75" customHeight="1">
      <c r="A111" s="7" t="s">
        <v>22</v>
      </c>
      <c r="B111" s="10">
        <v>45401</v>
      </c>
      <c r="C111" s="2">
        <v>2380</v>
      </c>
      <c r="D111" s="2">
        <v>1090</v>
      </c>
      <c r="E111" s="2">
        <v>1105</v>
      </c>
      <c r="F111" s="2">
        <v>2177</v>
      </c>
      <c r="G111" s="2">
        <v>2367</v>
      </c>
      <c r="H111" s="2">
        <v>0</v>
      </c>
      <c r="I111" s="2">
        <v>1860</v>
      </c>
      <c r="J111" s="2">
        <v>0</v>
      </c>
      <c r="K111" s="2">
        <v>1100</v>
      </c>
      <c r="L111" s="2">
        <v>11888</v>
      </c>
      <c r="M111" s="2">
        <v>5800</v>
      </c>
      <c r="N111" s="2">
        <v>1220</v>
      </c>
      <c r="O111" s="2">
        <v>102</v>
      </c>
      <c r="P111" s="2">
        <v>793</v>
      </c>
      <c r="Q111" s="3">
        <f t="shared" si="2"/>
        <v>31882</v>
      </c>
      <c r="R111" s="3">
        <v>9194</v>
      </c>
      <c r="S111" s="3">
        <v>19389</v>
      </c>
      <c r="T111" s="5">
        <f t="shared" si="3"/>
        <v>3299</v>
      </c>
    </row>
    <row r="112" spans="1:20" ht="18.75" customHeight="1">
      <c r="A112" s="7" t="s">
        <v>23</v>
      </c>
      <c r="B112" s="10">
        <v>45402</v>
      </c>
      <c r="C112" s="2">
        <v>1945</v>
      </c>
      <c r="D112" s="2">
        <v>1350</v>
      </c>
      <c r="E112" s="2">
        <v>700</v>
      </c>
      <c r="F112" s="2">
        <v>2565</v>
      </c>
      <c r="G112" s="2">
        <v>1762</v>
      </c>
      <c r="H112" s="2">
        <v>0</v>
      </c>
      <c r="I112" s="2">
        <v>1140</v>
      </c>
      <c r="J112" s="2">
        <v>0</v>
      </c>
      <c r="K112" s="2">
        <v>1925</v>
      </c>
      <c r="L112" s="2">
        <v>13677</v>
      </c>
      <c r="M112" s="2">
        <v>6154</v>
      </c>
      <c r="N112" s="2">
        <v>864</v>
      </c>
      <c r="O112" s="2">
        <v>566</v>
      </c>
      <c r="P112" s="2">
        <v>587</v>
      </c>
      <c r="Q112" s="3">
        <f t="shared" si="2"/>
        <v>33235</v>
      </c>
      <c r="R112" s="3">
        <v>9191</v>
      </c>
      <c r="S112" s="3">
        <v>9443</v>
      </c>
      <c r="T112" s="5">
        <f t="shared" si="3"/>
        <v>14601</v>
      </c>
    </row>
    <row r="113" spans="1:20" ht="18.75" customHeight="1">
      <c r="A113" s="7" t="s">
        <v>17</v>
      </c>
      <c r="B113" s="10">
        <v>45403</v>
      </c>
      <c r="C113" s="2">
        <v>3885</v>
      </c>
      <c r="D113" s="2">
        <v>1300</v>
      </c>
      <c r="E113" s="2">
        <v>0</v>
      </c>
      <c r="F113" s="2">
        <v>4345</v>
      </c>
      <c r="G113" s="2">
        <v>2040</v>
      </c>
      <c r="H113" s="2">
        <v>0</v>
      </c>
      <c r="I113" s="2">
        <v>630</v>
      </c>
      <c r="J113" s="2">
        <v>0</v>
      </c>
      <c r="K113" s="2">
        <v>1241</v>
      </c>
      <c r="L113" s="2">
        <v>20277</v>
      </c>
      <c r="M113" s="2">
        <v>9863</v>
      </c>
      <c r="N113" s="2">
        <v>0</v>
      </c>
      <c r="O113" s="2">
        <v>0</v>
      </c>
      <c r="P113" s="2">
        <v>1403</v>
      </c>
      <c r="Q113" s="3">
        <f t="shared" si="2"/>
        <v>44984</v>
      </c>
      <c r="R113" s="3">
        <v>13060</v>
      </c>
      <c r="S113" s="3">
        <v>16292</v>
      </c>
      <c r="T113" s="5">
        <f t="shared" si="3"/>
        <v>15632</v>
      </c>
    </row>
    <row r="114" spans="1:20" ht="18.75" customHeight="1">
      <c r="A114" s="7" t="s">
        <v>18</v>
      </c>
      <c r="B114" s="10">
        <v>45404</v>
      </c>
      <c r="C114" s="2">
        <v>1560</v>
      </c>
      <c r="D114" s="2">
        <v>2120</v>
      </c>
      <c r="E114" s="2">
        <v>870</v>
      </c>
      <c r="F114" s="2">
        <v>4400</v>
      </c>
      <c r="G114" s="2">
        <v>1635</v>
      </c>
      <c r="H114" s="2">
        <v>0</v>
      </c>
      <c r="I114" s="2">
        <v>670</v>
      </c>
      <c r="J114" s="2">
        <v>0</v>
      </c>
      <c r="K114" s="2">
        <v>1200</v>
      </c>
      <c r="L114" s="2">
        <v>8692</v>
      </c>
      <c r="M114" s="2">
        <v>6683</v>
      </c>
      <c r="N114" s="2">
        <v>531</v>
      </c>
      <c r="O114" s="2">
        <v>0</v>
      </c>
      <c r="P114" s="2">
        <v>844</v>
      </c>
      <c r="Q114" s="3">
        <f t="shared" si="2"/>
        <v>29205</v>
      </c>
      <c r="R114" s="3">
        <v>8285</v>
      </c>
      <c r="S114" s="3">
        <v>14232</v>
      </c>
      <c r="T114" s="5">
        <f t="shared" si="3"/>
        <v>6688</v>
      </c>
    </row>
    <row r="115" spans="1:20" ht="18.75" customHeight="1">
      <c r="A115" s="7" t="s">
        <v>19</v>
      </c>
      <c r="B115" s="10">
        <v>45405</v>
      </c>
      <c r="C115" s="2">
        <v>1480</v>
      </c>
      <c r="D115" s="2">
        <v>1270</v>
      </c>
      <c r="E115" s="2">
        <v>715</v>
      </c>
      <c r="F115" s="2">
        <v>2443</v>
      </c>
      <c r="G115" s="2">
        <v>3373</v>
      </c>
      <c r="H115" s="2">
        <v>0</v>
      </c>
      <c r="I115" s="2">
        <v>565</v>
      </c>
      <c r="J115" s="2">
        <v>0</v>
      </c>
      <c r="K115" s="2">
        <v>1830</v>
      </c>
      <c r="L115" s="2">
        <v>8420</v>
      </c>
      <c r="M115" s="2">
        <v>5206</v>
      </c>
      <c r="N115" s="2">
        <v>462</v>
      </c>
      <c r="O115" s="2">
        <v>94</v>
      </c>
      <c r="P115" s="2">
        <v>884</v>
      </c>
      <c r="Q115" s="3">
        <f t="shared" si="2"/>
        <v>26742</v>
      </c>
      <c r="R115" s="3">
        <v>7219</v>
      </c>
      <c r="S115" s="3">
        <v>13941</v>
      </c>
      <c r="T115" s="5">
        <f t="shared" si="3"/>
        <v>5582</v>
      </c>
    </row>
    <row r="116" spans="1:20" ht="18.75" customHeight="1">
      <c r="A116" s="7" t="s">
        <v>20</v>
      </c>
      <c r="B116" s="10">
        <v>45406</v>
      </c>
      <c r="C116" s="2">
        <v>1830</v>
      </c>
      <c r="D116" s="2">
        <v>1369</v>
      </c>
      <c r="E116" s="2">
        <v>240</v>
      </c>
      <c r="F116" s="2">
        <v>2910</v>
      </c>
      <c r="G116" s="2">
        <v>1675</v>
      </c>
      <c r="H116" s="2">
        <v>0</v>
      </c>
      <c r="I116" s="2">
        <v>395</v>
      </c>
      <c r="J116" s="2">
        <v>0</v>
      </c>
      <c r="K116" s="2">
        <v>820</v>
      </c>
      <c r="L116" s="2">
        <v>9355</v>
      </c>
      <c r="M116" s="2">
        <v>6034</v>
      </c>
      <c r="N116" s="2">
        <v>829</v>
      </c>
      <c r="O116" s="2">
        <v>94</v>
      </c>
      <c r="P116" s="2">
        <v>691</v>
      </c>
      <c r="Q116" s="3">
        <f t="shared" si="2"/>
        <v>26242</v>
      </c>
      <c r="R116" s="3">
        <v>7134</v>
      </c>
      <c r="S116" s="3">
        <v>6012</v>
      </c>
      <c r="T116" s="5">
        <f t="shared" si="3"/>
        <v>13096</v>
      </c>
    </row>
    <row r="117" spans="1:20" ht="18.75" customHeight="1">
      <c r="A117" s="7" t="s">
        <v>21</v>
      </c>
      <c r="B117" s="10">
        <v>45407</v>
      </c>
      <c r="C117" s="2">
        <v>980</v>
      </c>
      <c r="D117" s="2">
        <v>1435</v>
      </c>
      <c r="E117" s="2">
        <v>345</v>
      </c>
      <c r="F117" s="2">
        <v>2415</v>
      </c>
      <c r="G117" s="2">
        <v>1790</v>
      </c>
      <c r="H117" s="2">
        <v>0</v>
      </c>
      <c r="I117" s="2">
        <v>1020</v>
      </c>
      <c r="J117" s="2">
        <v>0</v>
      </c>
      <c r="K117" s="2">
        <v>1661</v>
      </c>
      <c r="L117" s="2">
        <v>9448</v>
      </c>
      <c r="M117" s="2">
        <v>4970</v>
      </c>
      <c r="N117" s="2">
        <v>936</v>
      </c>
      <c r="O117" s="2">
        <v>427</v>
      </c>
      <c r="P117" s="2">
        <v>1347</v>
      </c>
      <c r="Q117" s="3">
        <f t="shared" si="2"/>
        <v>26774</v>
      </c>
      <c r="R117" s="3">
        <v>6994</v>
      </c>
      <c r="S117" s="3">
        <v>14371</v>
      </c>
      <c r="T117" s="5">
        <f t="shared" si="3"/>
        <v>5409</v>
      </c>
    </row>
    <row r="118" spans="1:20" ht="18.75" customHeight="1">
      <c r="A118" s="7" t="s">
        <v>22</v>
      </c>
      <c r="B118" s="10">
        <v>45408</v>
      </c>
      <c r="C118" s="2">
        <v>2025</v>
      </c>
      <c r="D118" s="2">
        <v>2340</v>
      </c>
      <c r="E118" s="2">
        <v>1135</v>
      </c>
      <c r="F118" s="2">
        <v>4180</v>
      </c>
      <c r="G118" s="2">
        <v>1000</v>
      </c>
      <c r="H118" s="2">
        <v>0</v>
      </c>
      <c r="I118" s="2">
        <v>845</v>
      </c>
      <c r="J118" s="2">
        <v>0</v>
      </c>
      <c r="K118" s="2">
        <v>2150</v>
      </c>
      <c r="L118" s="2">
        <v>13248</v>
      </c>
      <c r="M118" s="2">
        <v>5992</v>
      </c>
      <c r="N118" s="2">
        <v>174</v>
      </c>
      <c r="O118" s="2">
        <v>139</v>
      </c>
      <c r="P118" s="2">
        <v>776</v>
      </c>
      <c r="Q118" s="3">
        <f t="shared" si="2"/>
        <v>34004</v>
      </c>
      <c r="R118" s="3">
        <v>9290</v>
      </c>
      <c r="S118" s="3">
        <v>11899</v>
      </c>
      <c r="T118" s="5">
        <f t="shared" si="3"/>
        <v>12815</v>
      </c>
    </row>
    <row r="119" spans="1:20" ht="18.75" customHeight="1">
      <c r="A119" s="7" t="s">
        <v>23</v>
      </c>
      <c r="B119" s="10">
        <v>45409</v>
      </c>
      <c r="C119" s="2">
        <v>2457</v>
      </c>
      <c r="D119" s="2">
        <v>1390</v>
      </c>
      <c r="E119" s="2">
        <v>1155</v>
      </c>
      <c r="F119" s="2">
        <v>4360</v>
      </c>
      <c r="G119" s="2">
        <v>2750</v>
      </c>
      <c r="H119" s="2">
        <v>0</v>
      </c>
      <c r="I119" s="2">
        <v>795</v>
      </c>
      <c r="J119" s="2">
        <v>0</v>
      </c>
      <c r="K119" s="2">
        <v>2333</v>
      </c>
      <c r="L119" s="2">
        <v>17262</v>
      </c>
      <c r="M119" s="2">
        <v>9388</v>
      </c>
      <c r="N119" s="2">
        <v>425</v>
      </c>
      <c r="O119" s="2">
        <v>0</v>
      </c>
      <c r="P119" s="2">
        <v>730</v>
      </c>
      <c r="Q119" s="3">
        <f t="shared" si="2"/>
        <v>43045</v>
      </c>
      <c r="R119" s="3">
        <v>10711</v>
      </c>
      <c r="S119" s="3">
        <v>20023</v>
      </c>
      <c r="T119" s="5">
        <f t="shared" si="3"/>
        <v>12311</v>
      </c>
    </row>
    <row r="120" spans="1:20" ht="18.75" customHeight="1">
      <c r="A120" s="7" t="s">
        <v>17</v>
      </c>
      <c r="B120" s="10">
        <v>45410</v>
      </c>
      <c r="C120" s="2">
        <v>3260</v>
      </c>
      <c r="D120" s="2">
        <v>2130</v>
      </c>
      <c r="E120" s="2">
        <v>0</v>
      </c>
      <c r="F120" s="2">
        <v>5785</v>
      </c>
      <c r="G120" s="2">
        <v>1471</v>
      </c>
      <c r="H120" s="2">
        <v>0</v>
      </c>
      <c r="I120" s="2">
        <v>310</v>
      </c>
      <c r="J120" s="2">
        <v>0</v>
      </c>
      <c r="K120" s="2">
        <v>1080</v>
      </c>
      <c r="L120" s="2">
        <v>28747</v>
      </c>
      <c r="M120" s="2">
        <v>13099</v>
      </c>
      <c r="N120" s="2">
        <v>360</v>
      </c>
      <c r="O120" s="2">
        <v>781</v>
      </c>
      <c r="P120" s="2">
        <v>1514</v>
      </c>
      <c r="Q120" s="3">
        <f t="shared" si="2"/>
        <v>58537</v>
      </c>
      <c r="R120" s="3">
        <v>15011</v>
      </c>
      <c r="S120" s="3">
        <v>20244</v>
      </c>
      <c r="T120" s="5">
        <f t="shared" si="3"/>
        <v>23282</v>
      </c>
    </row>
    <row r="121" spans="1:20" ht="18.75" customHeight="1">
      <c r="A121" s="7" t="s">
        <v>18</v>
      </c>
      <c r="B121" s="10">
        <v>45411</v>
      </c>
      <c r="C121" s="2">
        <v>1620</v>
      </c>
      <c r="D121" s="2">
        <v>1825</v>
      </c>
      <c r="E121" s="2">
        <v>715</v>
      </c>
      <c r="F121" s="2">
        <v>3410</v>
      </c>
      <c r="G121" s="2">
        <v>2122</v>
      </c>
      <c r="H121" s="2">
        <v>0</v>
      </c>
      <c r="I121" s="2">
        <v>675</v>
      </c>
      <c r="J121" s="2">
        <v>0</v>
      </c>
      <c r="K121" s="2">
        <v>1510</v>
      </c>
      <c r="L121" s="2">
        <v>12346</v>
      </c>
      <c r="M121" s="2">
        <v>6687</v>
      </c>
      <c r="N121" s="2">
        <v>510</v>
      </c>
      <c r="O121" s="2">
        <v>90</v>
      </c>
      <c r="P121" s="2">
        <v>1009</v>
      </c>
      <c r="Q121" s="3">
        <f t="shared" si="2"/>
        <v>32519</v>
      </c>
      <c r="R121" s="3">
        <v>8091</v>
      </c>
      <c r="S121" s="3">
        <v>13911</v>
      </c>
      <c r="T121" s="5">
        <f t="shared" si="3"/>
        <v>10517</v>
      </c>
    </row>
    <row r="122" spans="1:20" ht="18.75" customHeight="1">
      <c r="A122" s="7" t="s">
        <v>19</v>
      </c>
      <c r="B122" s="10">
        <v>45412</v>
      </c>
      <c r="C122" s="2">
        <v>2010</v>
      </c>
      <c r="D122" s="2">
        <v>1544.5</v>
      </c>
      <c r="E122" s="2">
        <v>635</v>
      </c>
      <c r="F122" s="2">
        <v>2135</v>
      </c>
      <c r="G122" s="2">
        <v>1743.5</v>
      </c>
      <c r="H122" s="2">
        <v>0</v>
      </c>
      <c r="I122" s="2">
        <v>1030</v>
      </c>
      <c r="J122" s="2">
        <v>0</v>
      </c>
      <c r="K122" s="2">
        <v>1195</v>
      </c>
      <c r="L122" s="2">
        <v>9925</v>
      </c>
      <c r="M122" s="2">
        <v>4495</v>
      </c>
      <c r="N122" s="2">
        <v>675</v>
      </c>
      <c r="O122" s="2">
        <v>0</v>
      </c>
      <c r="P122" s="2">
        <v>0</v>
      </c>
      <c r="Q122" s="3">
        <f t="shared" si="2"/>
        <v>25388</v>
      </c>
      <c r="R122" s="3">
        <v>8190</v>
      </c>
      <c r="S122" s="3">
        <v>11399</v>
      </c>
      <c r="T122" s="5">
        <f t="shared" si="3"/>
        <v>5799</v>
      </c>
    </row>
    <row r="123" spans="1:20" ht="18.75" customHeight="1">
      <c r="A123" s="7" t="s">
        <v>20</v>
      </c>
      <c r="B123" s="10">
        <v>45413</v>
      </c>
      <c r="C123" s="2">
        <v>2640</v>
      </c>
      <c r="D123" s="2">
        <v>1495</v>
      </c>
      <c r="E123" s="2">
        <v>925</v>
      </c>
      <c r="F123" s="2">
        <v>2425</v>
      </c>
      <c r="G123" s="2">
        <v>2542</v>
      </c>
      <c r="H123" s="2">
        <v>0</v>
      </c>
      <c r="I123" s="2">
        <v>650</v>
      </c>
      <c r="J123" s="2">
        <v>0</v>
      </c>
      <c r="K123" s="2">
        <v>2181</v>
      </c>
      <c r="L123" s="2">
        <v>17484</v>
      </c>
      <c r="M123" s="2">
        <v>10605</v>
      </c>
      <c r="N123" s="2">
        <v>1425</v>
      </c>
      <c r="O123" s="2">
        <v>758</v>
      </c>
      <c r="P123" s="2">
        <v>1185</v>
      </c>
      <c r="Q123" s="3">
        <f t="shared" si="2"/>
        <v>44315</v>
      </c>
      <c r="R123" s="3">
        <v>12229</v>
      </c>
      <c r="S123" s="3">
        <v>13279</v>
      </c>
      <c r="T123" s="5">
        <f t="shared" si="3"/>
        <v>18807</v>
      </c>
    </row>
    <row r="124" spans="1:20" ht="18.75" customHeight="1">
      <c r="A124" s="7" t="s">
        <v>21</v>
      </c>
      <c r="B124" s="10">
        <v>45414</v>
      </c>
      <c r="C124" s="2">
        <v>2320</v>
      </c>
      <c r="D124" s="2">
        <v>1322.5</v>
      </c>
      <c r="E124" s="2">
        <v>580</v>
      </c>
      <c r="F124" s="2">
        <v>2165</v>
      </c>
      <c r="G124" s="2">
        <v>3055</v>
      </c>
      <c r="H124" s="2">
        <v>0</v>
      </c>
      <c r="I124" s="2">
        <v>1300</v>
      </c>
      <c r="J124" s="2">
        <v>0</v>
      </c>
      <c r="K124" s="2">
        <v>1261</v>
      </c>
      <c r="L124" s="2">
        <v>11333</v>
      </c>
      <c r="M124" s="2">
        <v>5979</v>
      </c>
      <c r="N124" s="2">
        <v>550</v>
      </c>
      <c r="O124" s="2">
        <v>0</v>
      </c>
      <c r="P124" s="2">
        <v>369</v>
      </c>
      <c r="Q124" s="3">
        <f t="shared" si="2"/>
        <v>30234.5</v>
      </c>
      <c r="R124" s="3">
        <v>9280</v>
      </c>
      <c r="S124" s="3">
        <v>17359</v>
      </c>
      <c r="T124" s="5">
        <f t="shared" si="3"/>
        <v>3595.5</v>
      </c>
    </row>
    <row r="125" spans="1:20" ht="18.75" customHeight="1">
      <c r="A125" s="7" t="s">
        <v>22</v>
      </c>
      <c r="B125" s="10">
        <v>45415</v>
      </c>
      <c r="C125" s="2">
        <v>2095</v>
      </c>
      <c r="D125" s="2">
        <v>1760</v>
      </c>
      <c r="E125" s="2">
        <v>795</v>
      </c>
      <c r="F125" s="2">
        <v>4490</v>
      </c>
      <c r="G125" s="2">
        <v>3904</v>
      </c>
      <c r="H125" s="2">
        <v>0</v>
      </c>
      <c r="I125" s="2">
        <v>910</v>
      </c>
      <c r="J125" s="2">
        <v>0</v>
      </c>
      <c r="K125" s="2">
        <v>2050</v>
      </c>
      <c r="L125" s="2">
        <v>13631</v>
      </c>
      <c r="M125" s="2">
        <v>10511</v>
      </c>
      <c r="N125" s="2">
        <v>894</v>
      </c>
      <c r="O125" s="2">
        <v>960</v>
      </c>
      <c r="P125" s="2">
        <v>0</v>
      </c>
      <c r="Q125" s="3">
        <f t="shared" si="2"/>
        <v>42000</v>
      </c>
      <c r="R125" s="3">
        <v>10534</v>
      </c>
      <c r="S125" s="3">
        <v>15627</v>
      </c>
      <c r="T125" s="5">
        <f t="shared" si="3"/>
        <v>15839</v>
      </c>
    </row>
    <row r="126" spans="1:20" ht="18.75" customHeight="1">
      <c r="A126" s="7" t="s">
        <v>23</v>
      </c>
      <c r="B126" s="10">
        <v>45416</v>
      </c>
      <c r="C126" s="2">
        <v>3080</v>
      </c>
      <c r="D126" s="2">
        <v>1490</v>
      </c>
      <c r="E126" s="2">
        <v>956</v>
      </c>
      <c r="F126" s="2">
        <v>0</v>
      </c>
      <c r="G126" s="2">
        <v>0</v>
      </c>
      <c r="H126" s="2">
        <v>0</v>
      </c>
      <c r="I126" s="2">
        <v>1040</v>
      </c>
      <c r="J126" s="2">
        <v>0</v>
      </c>
      <c r="K126" s="2">
        <v>1360</v>
      </c>
      <c r="L126" s="2">
        <v>12738</v>
      </c>
      <c r="M126" s="2">
        <v>9309</v>
      </c>
      <c r="N126" s="2">
        <v>574</v>
      </c>
      <c r="O126" s="2">
        <v>541</v>
      </c>
      <c r="P126" s="2">
        <v>987</v>
      </c>
      <c r="Q126" s="3">
        <f t="shared" si="2"/>
        <v>32075</v>
      </c>
      <c r="R126" s="3">
        <v>1075</v>
      </c>
      <c r="S126" s="3">
        <v>11094</v>
      </c>
      <c r="T126" s="5">
        <f t="shared" si="3"/>
        <v>19906</v>
      </c>
    </row>
    <row r="127" spans="1:20" ht="18.75" customHeight="1">
      <c r="A127" s="7" t="s">
        <v>17</v>
      </c>
      <c r="B127" s="10">
        <v>45417</v>
      </c>
      <c r="C127" s="2">
        <v>1050</v>
      </c>
      <c r="D127" s="2">
        <v>1900</v>
      </c>
      <c r="E127" s="2">
        <v>0</v>
      </c>
      <c r="F127" s="2">
        <v>4279</v>
      </c>
      <c r="G127" s="2">
        <v>2872.5</v>
      </c>
      <c r="H127" s="2">
        <v>0</v>
      </c>
      <c r="I127" s="2">
        <v>315</v>
      </c>
      <c r="J127" s="2">
        <v>0</v>
      </c>
      <c r="K127" s="2">
        <v>2019</v>
      </c>
      <c r="L127" s="2">
        <v>29534</v>
      </c>
      <c r="M127" s="2">
        <v>11581</v>
      </c>
      <c r="N127" s="2">
        <v>509</v>
      </c>
      <c r="O127" s="2">
        <v>856</v>
      </c>
      <c r="P127" s="2">
        <v>1520</v>
      </c>
      <c r="Q127" s="3">
        <f t="shared" si="2"/>
        <v>56435.5</v>
      </c>
      <c r="R127" s="3">
        <v>14650</v>
      </c>
      <c r="S127" s="3">
        <v>25480</v>
      </c>
      <c r="T127" s="5">
        <f t="shared" si="3"/>
        <v>16305.5</v>
      </c>
    </row>
    <row r="128" spans="1:20" ht="18.75" customHeight="1">
      <c r="A128" s="7" t="s">
        <v>18</v>
      </c>
      <c r="B128" s="10">
        <v>45418</v>
      </c>
      <c r="C128" s="2">
        <v>1675</v>
      </c>
      <c r="D128" s="2">
        <v>1890</v>
      </c>
      <c r="E128" s="2">
        <v>515</v>
      </c>
      <c r="F128" s="2">
        <v>2635</v>
      </c>
      <c r="G128" s="2">
        <v>2039</v>
      </c>
      <c r="H128" s="2">
        <v>0</v>
      </c>
      <c r="I128" s="2">
        <v>550</v>
      </c>
      <c r="J128" s="2">
        <v>0</v>
      </c>
      <c r="K128" s="2">
        <v>2030</v>
      </c>
      <c r="L128" s="2">
        <v>11231</v>
      </c>
      <c r="M128" s="2">
        <v>7716</v>
      </c>
      <c r="N128" s="2">
        <v>107</v>
      </c>
      <c r="O128" s="2">
        <v>218</v>
      </c>
      <c r="P128" s="2">
        <v>590</v>
      </c>
      <c r="Q128" s="3">
        <f t="shared" si="2"/>
        <v>31196</v>
      </c>
      <c r="R128" s="3">
        <v>7898</v>
      </c>
      <c r="S128" s="3">
        <v>14115</v>
      </c>
      <c r="T128" s="5">
        <f t="shared" si="3"/>
        <v>9183</v>
      </c>
    </row>
    <row r="129" spans="1:20" ht="18.75" customHeight="1">
      <c r="A129" s="7" t="s">
        <v>19</v>
      </c>
      <c r="B129" s="10">
        <v>45419</v>
      </c>
      <c r="C129" s="2">
        <v>1145</v>
      </c>
      <c r="D129" s="2">
        <v>625</v>
      </c>
      <c r="E129" s="2">
        <v>1255</v>
      </c>
      <c r="F129" s="2">
        <v>3315</v>
      </c>
      <c r="G129" s="2">
        <v>2490</v>
      </c>
      <c r="H129" s="2">
        <v>0</v>
      </c>
      <c r="I129" s="2">
        <v>700</v>
      </c>
      <c r="J129" s="2">
        <v>0</v>
      </c>
      <c r="K129" s="2">
        <v>1370</v>
      </c>
      <c r="L129" s="2">
        <v>11646</v>
      </c>
      <c r="M129" s="2">
        <v>4664</v>
      </c>
      <c r="N129" s="2">
        <v>889</v>
      </c>
      <c r="O129" s="2">
        <v>0</v>
      </c>
      <c r="P129" s="2">
        <v>490</v>
      </c>
      <c r="Q129" s="3">
        <f t="shared" si="2"/>
        <v>28589</v>
      </c>
      <c r="R129" s="3">
        <v>7755</v>
      </c>
      <c r="S129" s="3">
        <v>16451</v>
      </c>
      <c r="T129" s="5">
        <f t="shared" si="3"/>
        <v>4383</v>
      </c>
    </row>
    <row r="130" spans="1:20" ht="18.75" customHeight="1">
      <c r="A130" s="7" t="s">
        <v>20</v>
      </c>
      <c r="B130" s="10">
        <v>45420</v>
      </c>
      <c r="C130" s="2">
        <v>1840</v>
      </c>
      <c r="D130" s="2">
        <v>1460</v>
      </c>
      <c r="E130" s="2">
        <v>606</v>
      </c>
      <c r="F130" s="2">
        <v>2515</v>
      </c>
      <c r="G130" s="2">
        <v>1903.5</v>
      </c>
      <c r="H130" s="2">
        <v>0</v>
      </c>
      <c r="I130" s="2">
        <v>574</v>
      </c>
      <c r="J130" s="2">
        <v>0</v>
      </c>
      <c r="K130" s="2">
        <v>1789</v>
      </c>
      <c r="L130" s="2">
        <v>10516</v>
      </c>
      <c r="M130" s="2">
        <v>6834</v>
      </c>
      <c r="N130" s="2">
        <v>234</v>
      </c>
      <c r="O130" s="2">
        <v>0</v>
      </c>
      <c r="P130" s="2">
        <v>1455</v>
      </c>
      <c r="Q130" s="3">
        <f t="shared" si="2"/>
        <v>29726.5</v>
      </c>
      <c r="R130" s="3">
        <v>7821</v>
      </c>
      <c r="S130" s="3">
        <v>10044</v>
      </c>
      <c r="T130" s="5">
        <f t="shared" si="3"/>
        <v>11861.5</v>
      </c>
    </row>
    <row r="131" spans="1:20" ht="18.75" customHeight="1">
      <c r="A131" s="7" t="s">
        <v>21</v>
      </c>
      <c r="B131" s="10">
        <v>45421</v>
      </c>
      <c r="C131" s="2">
        <v>1520</v>
      </c>
      <c r="D131" s="2">
        <v>1605</v>
      </c>
      <c r="E131" s="2">
        <v>585</v>
      </c>
      <c r="F131" s="2">
        <v>4610</v>
      </c>
      <c r="G131" s="2">
        <v>2710</v>
      </c>
      <c r="H131" s="2">
        <v>0</v>
      </c>
      <c r="I131" s="2">
        <v>1120.5</v>
      </c>
      <c r="J131" s="2">
        <v>0</v>
      </c>
      <c r="K131" s="2">
        <v>1525</v>
      </c>
      <c r="L131" s="2">
        <v>9060</v>
      </c>
      <c r="M131" s="2">
        <v>7909</v>
      </c>
      <c r="N131" s="2">
        <v>647</v>
      </c>
      <c r="O131" s="2">
        <v>476</v>
      </c>
      <c r="P131" s="2">
        <v>211</v>
      </c>
      <c r="Q131" s="3">
        <f t="shared" ref="Q131:Q194" si="4">SUM(C131:P131)</f>
        <v>31978.5</v>
      </c>
      <c r="R131" s="3">
        <v>8595</v>
      </c>
      <c r="S131" s="3">
        <v>17431</v>
      </c>
      <c r="T131" s="5">
        <f t="shared" ref="T131:T194" si="5">Q131-R131-S131</f>
        <v>5952.5</v>
      </c>
    </row>
    <row r="132" spans="1:20" ht="18.75" customHeight="1">
      <c r="A132" s="7" t="s">
        <v>22</v>
      </c>
      <c r="B132" s="10">
        <v>45422</v>
      </c>
      <c r="C132" s="2">
        <v>1640</v>
      </c>
      <c r="D132" s="2">
        <v>2685</v>
      </c>
      <c r="E132" s="2">
        <v>630</v>
      </c>
      <c r="F132" s="2">
        <v>4190</v>
      </c>
      <c r="G132" s="2">
        <v>4707</v>
      </c>
      <c r="H132" s="2">
        <v>0</v>
      </c>
      <c r="I132" s="2">
        <v>1485</v>
      </c>
      <c r="J132" s="2">
        <v>0</v>
      </c>
      <c r="K132" s="2">
        <v>2205</v>
      </c>
      <c r="L132" s="2">
        <v>16688</v>
      </c>
      <c r="M132" s="2">
        <v>13324</v>
      </c>
      <c r="N132" s="2">
        <v>2513</v>
      </c>
      <c r="O132" s="2">
        <v>139</v>
      </c>
      <c r="P132" s="2">
        <v>1094</v>
      </c>
      <c r="Q132" s="3">
        <f t="shared" si="4"/>
        <v>51300</v>
      </c>
      <c r="R132" s="3">
        <v>9075</v>
      </c>
      <c r="S132" s="3">
        <v>21035</v>
      </c>
      <c r="T132" s="5">
        <f t="shared" si="5"/>
        <v>21190</v>
      </c>
    </row>
    <row r="133" spans="1:20" ht="18.75" customHeight="1">
      <c r="A133" s="7" t="s">
        <v>23</v>
      </c>
      <c r="B133" s="10">
        <v>45423</v>
      </c>
      <c r="C133" s="2">
        <v>1624</v>
      </c>
      <c r="D133" s="2">
        <v>1870</v>
      </c>
      <c r="E133" s="2">
        <v>670</v>
      </c>
      <c r="F133" s="2">
        <v>3610</v>
      </c>
      <c r="G133" s="2">
        <v>3602</v>
      </c>
      <c r="H133" s="2">
        <v>0</v>
      </c>
      <c r="I133" s="2">
        <v>1114</v>
      </c>
      <c r="J133" s="2">
        <v>0</v>
      </c>
      <c r="K133" s="2">
        <v>1480</v>
      </c>
      <c r="L133" s="2">
        <v>13600</v>
      </c>
      <c r="M133" s="2">
        <v>10584</v>
      </c>
      <c r="N133" s="2">
        <v>387</v>
      </c>
      <c r="O133" s="2">
        <v>619</v>
      </c>
      <c r="P133" s="2">
        <v>634</v>
      </c>
      <c r="Q133" s="3">
        <f t="shared" si="4"/>
        <v>39794</v>
      </c>
      <c r="R133" s="3">
        <v>8287</v>
      </c>
      <c r="S133" s="3">
        <v>15426</v>
      </c>
      <c r="T133" s="5">
        <f t="shared" si="5"/>
        <v>16081</v>
      </c>
    </row>
    <row r="134" spans="1:20" ht="18.75" customHeight="1">
      <c r="A134" s="7" t="s">
        <v>17</v>
      </c>
      <c r="B134" s="10">
        <v>45424</v>
      </c>
      <c r="C134" s="2">
        <v>3340</v>
      </c>
      <c r="D134" s="2">
        <v>1840</v>
      </c>
      <c r="E134" s="2">
        <v>0</v>
      </c>
      <c r="F134" s="2">
        <v>3465</v>
      </c>
      <c r="G134" s="2">
        <v>2758</v>
      </c>
      <c r="H134" s="2">
        <v>0</v>
      </c>
      <c r="I134" s="2">
        <v>0</v>
      </c>
      <c r="J134" s="2">
        <v>0</v>
      </c>
      <c r="K134" s="2">
        <v>2200</v>
      </c>
      <c r="L134" s="2">
        <v>20433</v>
      </c>
      <c r="M134" s="2">
        <v>17352</v>
      </c>
      <c r="N134" s="2">
        <v>1355</v>
      </c>
      <c r="O134" s="2">
        <v>215</v>
      </c>
      <c r="P134" s="2">
        <v>379</v>
      </c>
      <c r="Q134" s="3">
        <f t="shared" si="4"/>
        <v>53337</v>
      </c>
      <c r="R134" s="3">
        <v>14762</v>
      </c>
      <c r="S134" s="3">
        <v>22625</v>
      </c>
      <c r="T134" s="5">
        <f t="shared" si="5"/>
        <v>15950</v>
      </c>
    </row>
    <row r="135" spans="1:20" ht="18.75" customHeight="1">
      <c r="A135" s="7" t="s">
        <v>18</v>
      </c>
      <c r="B135" s="10">
        <v>45425</v>
      </c>
      <c r="C135" s="2">
        <v>1760</v>
      </c>
      <c r="D135" s="2">
        <v>1486</v>
      </c>
      <c r="E135" s="2">
        <v>815</v>
      </c>
      <c r="F135" s="2">
        <v>5120</v>
      </c>
      <c r="G135" s="2">
        <v>1885</v>
      </c>
      <c r="H135" s="2">
        <v>0</v>
      </c>
      <c r="I135" s="2">
        <v>1120</v>
      </c>
      <c r="J135" s="2">
        <v>0</v>
      </c>
      <c r="K135" s="2">
        <v>1258</v>
      </c>
      <c r="L135" s="2">
        <v>13258</v>
      </c>
      <c r="M135" s="2">
        <v>5221</v>
      </c>
      <c r="N135" s="2">
        <v>732</v>
      </c>
      <c r="O135" s="2">
        <v>155</v>
      </c>
      <c r="P135" s="2">
        <v>646</v>
      </c>
      <c r="Q135" s="3">
        <f t="shared" si="4"/>
        <v>33456</v>
      </c>
      <c r="R135" s="3">
        <v>10609</v>
      </c>
      <c r="S135" s="3">
        <v>16692</v>
      </c>
      <c r="T135" s="5">
        <f t="shared" si="5"/>
        <v>6155</v>
      </c>
    </row>
    <row r="136" spans="1:20" ht="18.75" customHeight="1">
      <c r="A136" s="7" t="s">
        <v>19</v>
      </c>
      <c r="B136" s="10">
        <v>45426</v>
      </c>
      <c r="C136" s="2">
        <v>1485</v>
      </c>
      <c r="D136" s="2">
        <v>1310</v>
      </c>
      <c r="E136" s="2">
        <v>705</v>
      </c>
      <c r="F136" s="2">
        <v>4960</v>
      </c>
      <c r="G136" s="2">
        <v>1529</v>
      </c>
      <c r="H136" s="2">
        <v>0</v>
      </c>
      <c r="I136" s="2">
        <v>1091</v>
      </c>
      <c r="J136" s="2">
        <v>0</v>
      </c>
      <c r="K136" s="2">
        <v>953</v>
      </c>
      <c r="L136" s="2">
        <v>12000</v>
      </c>
      <c r="M136" s="2">
        <v>3803</v>
      </c>
      <c r="N136" s="2">
        <v>225</v>
      </c>
      <c r="O136" s="2">
        <v>0</v>
      </c>
      <c r="P136" s="2">
        <v>515</v>
      </c>
      <c r="Q136" s="3">
        <f t="shared" si="4"/>
        <v>28576</v>
      </c>
      <c r="R136" s="3">
        <v>7980</v>
      </c>
      <c r="S136" s="3">
        <v>11512</v>
      </c>
      <c r="T136" s="5">
        <f t="shared" si="5"/>
        <v>9084</v>
      </c>
    </row>
    <row r="137" spans="1:20" ht="18.75" customHeight="1">
      <c r="A137" s="7" t="s">
        <v>20</v>
      </c>
      <c r="B137" s="10">
        <v>45427</v>
      </c>
      <c r="C137" s="2">
        <v>1455</v>
      </c>
      <c r="D137" s="2">
        <v>1384</v>
      </c>
      <c r="E137" s="2">
        <v>650</v>
      </c>
      <c r="F137" s="2">
        <v>3255</v>
      </c>
      <c r="G137" s="2">
        <v>2682</v>
      </c>
      <c r="H137" s="2">
        <v>0</v>
      </c>
      <c r="I137" s="2">
        <v>705</v>
      </c>
      <c r="J137" s="2">
        <v>0</v>
      </c>
      <c r="K137" s="2">
        <v>1820</v>
      </c>
      <c r="L137" s="2">
        <v>12517</v>
      </c>
      <c r="M137" s="2">
        <v>4841</v>
      </c>
      <c r="N137" s="2">
        <v>1060</v>
      </c>
      <c r="O137" s="2">
        <v>0</v>
      </c>
      <c r="P137" s="2">
        <v>1767</v>
      </c>
      <c r="Q137" s="3">
        <f t="shared" si="4"/>
        <v>32136</v>
      </c>
      <c r="R137" s="3">
        <v>9227</v>
      </c>
      <c r="S137" s="3">
        <v>14286</v>
      </c>
      <c r="T137" s="5">
        <f t="shared" si="5"/>
        <v>8623</v>
      </c>
    </row>
    <row r="138" spans="1:20" ht="18.75" customHeight="1">
      <c r="A138" s="7" t="s">
        <v>21</v>
      </c>
      <c r="B138" s="10">
        <v>45428</v>
      </c>
      <c r="C138" s="2">
        <v>1746</v>
      </c>
      <c r="D138" s="2">
        <v>1335</v>
      </c>
      <c r="E138" s="2">
        <v>917</v>
      </c>
      <c r="F138" s="2">
        <v>3820</v>
      </c>
      <c r="G138" s="2">
        <v>2639</v>
      </c>
      <c r="H138" s="2">
        <v>0</v>
      </c>
      <c r="I138" s="2">
        <v>1215</v>
      </c>
      <c r="J138" s="2">
        <v>0</v>
      </c>
      <c r="K138" s="2">
        <v>1995</v>
      </c>
      <c r="L138" s="2">
        <v>13837</v>
      </c>
      <c r="M138" s="2">
        <v>5879</v>
      </c>
      <c r="N138" s="2">
        <v>670</v>
      </c>
      <c r="O138" s="2">
        <v>150</v>
      </c>
      <c r="P138" s="2">
        <v>0</v>
      </c>
      <c r="Q138" s="3">
        <f t="shared" si="4"/>
        <v>34203</v>
      </c>
      <c r="R138" s="3">
        <v>8526</v>
      </c>
      <c r="S138" s="3">
        <v>18629</v>
      </c>
      <c r="T138" s="5">
        <f t="shared" si="5"/>
        <v>7048</v>
      </c>
    </row>
    <row r="139" spans="1:20" ht="18.75" customHeight="1">
      <c r="A139" s="7" t="s">
        <v>22</v>
      </c>
      <c r="B139" s="10">
        <v>45429</v>
      </c>
      <c r="C139" s="2">
        <v>1850</v>
      </c>
      <c r="D139" s="2">
        <v>3620</v>
      </c>
      <c r="E139" s="2">
        <v>0</v>
      </c>
      <c r="F139" s="2">
        <v>5100</v>
      </c>
      <c r="G139" s="2">
        <v>1669</v>
      </c>
      <c r="H139" s="2">
        <v>0</v>
      </c>
      <c r="I139" s="2">
        <v>0</v>
      </c>
      <c r="J139" s="2">
        <v>0</v>
      </c>
      <c r="K139" s="2">
        <v>2401</v>
      </c>
      <c r="L139" s="2">
        <v>13190</v>
      </c>
      <c r="M139" s="2">
        <v>5972</v>
      </c>
      <c r="N139" s="2">
        <v>1578</v>
      </c>
      <c r="O139" s="2">
        <v>202</v>
      </c>
      <c r="P139" s="2">
        <v>1596</v>
      </c>
      <c r="Q139" s="3">
        <f t="shared" si="4"/>
        <v>37178</v>
      </c>
      <c r="R139" s="3">
        <v>7370</v>
      </c>
      <c r="S139" s="3">
        <v>17050</v>
      </c>
      <c r="T139" s="5">
        <f t="shared" si="5"/>
        <v>12758</v>
      </c>
    </row>
    <row r="140" spans="1:20" ht="18.75" customHeight="1">
      <c r="A140" s="7" t="s">
        <v>23</v>
      </c>
      <c r="B140" s="10">
        <v>45430</v>
      </c>
      <c r="C140" s="2">
        <v>1481</v>
      </c>
      <c r="D140" s="2">
        <v>2190</v>
      </c>
      <c r="E140" s="2">
        <v>0</v>
      </c>
      <c r="F140" s="2">
        <v>4680</v>
      </c>
      <c r="G140" s="2">
        <v>1280</v>
      </c>
      <c r="H140" s="2">
        <v>0</v>
      </c>
      <c r="I140" s="2">
        <v>725</v>
      </c>
      <c r="J140" s="2">
        <v>0</v>
      </c>
      <c r="K140" s="2">
        <v>1889</v>
      </c>
      <c r="L140" s="2">
        <v>16728</v>
      </c>
      <c r="M140" s="2">
        <v>9388</v>
      </c>
      <c r="N140" s="2">
        <v>570</v>
      </c>
      <c r="O140" s="2">
        <v>0</v>
      </c>
      <c r="P140" s="2">
        <v>923</v>
      </c>
      <c r="Q140" s="3">
        <f t="shared" si="4"/>
        <v>39854</v>
      </c>
      <c r="R140" s="3">
        <v>8543</v>
      </c>
      <c r="S140" s="3">
        <v>21991</v>
      </c>
      <c r="T140" s="5">
        <f t="shared" si="5"/>
        <v>9320</v>
      </c>
    </row>
    <row r="141" spans="1:20" ht="18.75" customHeight="1">
      <c r="A141" s="7" t="s">
        <v>17</v>
      </c>
      <c r="B141" s="10">
        <v>45431</v>
      </c>
      <c r="C141" s="2">
        <v>2455</v>
      </c>
      <c r="D141" s="2">
        <v>1720</v>
      </c>
      <c r="E141" s="2">
        <v>0</v>
      </c>
      <c r="F141" s="2">
        <v>4635</v>
      </c>
      <c r="G141" s="2">
        <v>2780</v>
      </c>
      <c r="H141" s="2">
        <v>0</v>
      </c>
      <c r="I141" s="2">
        <v>955</v>
      </c>
      <c r="J141" s="2">
        <v>0</v>
      </c>
      <c r="K141" s="2">
        <v>3220</v>
      </c>
      <c r="L141" s="2">
        <v>26960</v>
      </c>
      <c r="M141" s="2">
        <v>15724</v>
      </c>
      <c r="N141" s="2">
        <v>945</v>
      </c>
      <c r="O141" s="2">
        <v>0</v>
      </c>
      <c r="P141" s="2">
        <v>536</v>
      </c>
      <c r="Q141" s="3">
        <f t="shared" si="4"/>
        <v>59930</v>
      </c>
      <c r="R141" s="3">
        <v>13321</v>
      </c>
      <c r="S141" s="3">
        <v>17806</v>
      </c>
      <c r="T141" s="5">
        <f t="shared" si="5"/>
        <v>28803</v>
      </c>
    </row>
    <row r="142" spans="1:20" ht="18.75" customHeight="1">
      <c r="A142" s="7" t="s">
        <v>18</v>
      </c>
      <c r="B142" s="10">
        <v>45432</v>
      </c>
      <c r="C142" s="2">
        <v>1950</v>
      </c>
      <c r="D142" s="2">
        <v>2115</v>
      </c>
      <c r="E142" s="2">
        <v>1095</v>
      </c>
      <c r="F142" s="2">
        <v>5200</v>
      </c>
      <c r="G142" s="2">
        <v>2257</v>
      </c>
      <c r="H142" s="2">
        <v>0</v>
      </c>
      <c r="I142" s="2">
        <v>1764</v>
      </c>
      <c r="J142" s="2">
        <v>0</v>
      </c>
      <c r="K142" s="2">
        <v>965</v>
      </c>
      <c r="L142" s="2">
        <v>11346</v>
      </c>
      <c r="M142" s="2">
        <v>7908</v>
      </c>
      <c r="N142" s="2">
        <v>1480</v>
      </c>
      <c r="O142" s="2">
        <v>0</v>
      </c>
      <c r="P142" s="2">
        <v>252</v>
      </c>
      <c r="Q142" s="3">
        <f t="shared" si="4"/>
        <v>36332</v>
      </c>
      <c r="R142" s="3">
        <v>10880</v>
      </c>
      <c r="S142" s="3">
        <v>21502</v>
      </c>
      <c r="T142" s="5">
        <f t="shared" si="5"/>
        <v>3950</v>
      </c>
    </row>
    <row r="143" spans="1:20" ht="18.75" customHeight="1">
      <c r="A143" s="7" t="s">
        <v>19</v>
      </c>
      <c r="B143" s="10">
        <v>45433</v>
      </c>
      <c r="C143" s="2">
        <v>3120</v>
      </c>
      <c r="D143" s="2">
        <v>1326</v>
      </c>
      <c r="E143" s="2">
        <v>445</v>
      </c>
      <c r="F143" s="2">
        <v>3403</v>
      </c>
      <c r="G143" s="2">
        <v>2370</v>
      </c>
      <c r="H143" s="2">
        <v>0</v>
      </c>
      <c r="I143" s="2">
        <v>990</v>
      </c>
      <c r="J143" s="2">
        <v>0</v>
      </c>
      <c r="K143" s="2">
        <v>1720</v>
      </c>
      <c r="L143" s="2">
        <v>10211</v>
      </c>
      <c r="M143" s="2">
        <v>5825</v>
      </c>
      <c r="N143" s="2">
        <v>1026</v>
      </c>
      <c r="O143" s="2">
        <v>417</v>
      </c>
      <c r="P143" s="2">
        <v>1102</v>
      </c>
      <c r="Q143" s="3">
        <f t="shared" si="4"/>
        <v>31955</v>
      </c>
      <c r="R143" s="3">
        <v>8415</v>
      </c>
      <c r="S143" s="3">
        <v>13706</v>
      </c>
      <c r="T143" s="5">
        <f t="shared" si="5"/>
        <v>9834</v>
      </c>
    </row>
    <row r="144" spans="1:20" ht="18.75" customHeight="1">
      <c r="A144" s="7" t="s">
        <v>20</v>
      </c>
      <c r="B144" s="10">
        <v>45434</v>
      </c>
      <c r="C144" s="2">
        <v>1535</v>
      </c>
      <c r="D144" s="2">
        <v>1480</v>
      </c>
      <c r="E144" s="2">
        <v>1254</v>
      </c>
      <c r="F144" s="2">
        <v>3444</v>
      </c>
      <c r="G144" s="2">
        <v>2236</v>
      </c>
      <c r="H144" s="2">
        <v>0</v>
      </c>
      <c r="I144" s="2">
        <v>910</v>
      </c>
      <c r="J144" s="2">
        <v>0</v>
      </c>
      <c r="K144" s="2">
        <v>1025</v>
      </c>
      <c r="L144" s="2">
        <v>11264</v>
      </c>
      <c r="M144" s="2">
        <v>7246</v>
      </c>
      <c r="N144" s="2">
        <v>697</v>
      </c>
      <c r="O144" s="2">
        <v>487</v>
      </c>
      <c r="P144" s="2">
        <v>255</v>
      </c>
      <c r="Q144" s="3">
        <f t="shared" si="4"/>
        <v>31833</v>
      </c>
      <c r="R144" s="3">
        <v>7660</v>
      </c>
      <c r="S144" s="3">
        <v>11453</v>
      </c>
      <c r="T144" s="5">
        <f t="shared" si="5"/>
        <v>12720</v>
      </c>
    </row>
    <row r="145" spans="1:20" ht="18.75" customHeight="1">
      <c r="A145" s="7" t="s">
        <v>21</v>
      </c>
      <c r="B145" s="10">
        <v>45435</v>
      </c>
      <c r="C145" s="2">
        <v>1398</v>
      </c>
      <c r="D145" s="2">
        <v>2555</v>
      </c>
      <c r="E145" s="2">
        <v>0</v>
      </c>
      <c r="F145" s="2">
        <v>4849</v>
      </c>
      <c r="G145" s="2">
        <v>1962</v>
      </c>
      <c r="H145" s="2">
        <v>0</v>
      </c>
      <c r="I145" s="2">
        <v>1050</v>
      </c>
      <c r="J145" s="2">
        <v>0</v>
      </c>
      <c r="K145" s="2">
        <v>1580</v>
      </c>
      <c r="L145" s="2">
        <v>12408</v>
      </c>
      <c r="M145" s="2">
        <v>5726</v>
      </c>
      <c r="N145" s="2">
        <v>969</v>
      </c>
      <c r="O145" s="2">
        <v>0</v>
      </c>
      <c r="P145" s="2">
        <v>468</v>
      </c>
      <c r="Q145" s="3">
        <f t="shared" si="4"/>
        <v>32965</v>
      </c>
      <c r="R145" s="3">
        <v>9224</v>
      </c>
      <c r="S145" s="3">
        <v>10000</v>
      </c>
      <c r="T145" s="5">
        <f t="shared" si="5"/>
        <v>13741</v>
      </c>
    </row>
    <row r="146" spans="1:20" ht="18.75" customHeight="1">
      <c r="A146" s="7" t="s">
        <v>22</v>
      </c>
      <c r="B146" s="10">
        <v>45436</v>
      </c>
      <c r="C146" s="2">
        <v>2135</v>
      </c>
      <c r="D146" s="2">
        <v>2870</v>
      </c>
      <c r="E146" s="2">
        <v>875</v>
      </c>
      <c r="F146" s="2">
        <v>5230</v>
      </c>
      <c r="G146" s="2">
        <v>3661</v>
      </c>
      <c r="H146" s="2">
        <v>0</v>
      </c>
      <c r="I146" s="2">
        <v>1050</v>
      </c>
      <c r="J146" s="2">
        <v>0</v>
      </c>
      <c r="K146" s="2">
        <v>2260</v>
      </c>
      <c r="L146" s="2">
        <v>15903</v>
      </c>
      <c r="M146" s="2">
        <v>5318</v>
      </c>
      <c r="N146" s="2">
        <v>4071</v>
      </c>
      <c r="O146" s="2">
        <v>0</v>
      </c>
      <c r="P146" s="2">
        <v>461</v>
      </c>
      <c r="Q146" s="3">
        <f t="shared" si="4"/>
        <v>43834</v>
      </c>
      <c r="R146" s="3">
        <v>13050</v>
      </c>
      <c r="S146" s="3">
        <v>15777</v>
      </c>
      <c r="T146" s="5">
        <f t="shared" si="5"/>
        <v>15007</v>
      </c>
    </row>
    <row r="147" spans="1:20" ht="18.75" customHeight="1">
      <c r="A147" s="7" t="s">
        <v>23</v>
      </c>
      <c r="B147" s="10">
        <v>45437</v>
      </c>
      <c r="C147" s="2">
        <v>1890</v>
      </c>
      <c r="D147" s="2">
        <v>2470</v>
      </c>
      <c r="E147" s="2">
        <v>620</v>
      </c>
      <c r="F147" s="2">
        <v>5240</v>
      </c>
      <c r="G147" s="2">
        <v>2338</v>
      </c>
      <c r="H147" s="2">
        <v>0</v>
      </c>
      <c r="I147" s="2">
        <v>2200</v>
      </c>
      <c r="J147" s="2">
        <v>0</v>
      </c>
      <c r="K147" s="2">
        <v>2060</v>
      </c>
      <c r="L147" s="2">
        <v>11873</v>
      </c>
      <c r="M147" s="2">
        <v>8870</v>
      </c>
      <c r="N147" s="2">
        <v>910</v>
      </c>
      <c r="O147" s="2">
        <v>527</v>
      </c>
      <c r="P147" s="2">
        <v>471</v>
      </c>
      <c r="Q147" s="3">
        <f t="shared" si="4"/>
        <v>39469</v>
      </c>
      <c r="R147" s="3">
        <v>10999</v>
      </c>
      <c r="S147" s="3">
        <v>24723</v>
      </c>
      <c r="T147" s="5">
        <f t="shared" si="5"/>
        <v>3747</v>
      </c>
    </row>
    <row r="148" spans="1:20" ht="18.75" customHeight="1">
      <c r="A148" s="7" t="s">
        <v>17</v>
      </c>
      <c r="B148" s="10">
        <v>45438</v>
      </c>
      <c r="C148" s="2">
        <v>3065</v>
      </c>
      <c r="D148" s="2">
        <v>1265</v>
      </c>
      <c r="E148" s="2">
        <v>1180</v>
      </c>
      <c r="F148" s="2">
        <v>5705</v>
      </c>
      <c r="G148" s="2">
        <v>2570</v>
      </c>
      <c r="H148" s="2">
        <v>0</v>
      </c>
      <c r="I148" s="2">
        <v>481</v>
      </c>
      <c r="J148" s="2">
        <v>0</v>
      </c>
      <c r="K148" s="2">
        <v>2690</v>
      </c>
      <c r="L148" s="2">
        <v>21881</v>
      </c>
      <c r="M148" s="2">
        <v>10120</v>
      </c>
      <c r="N148" s="2">
        <v>855</v>
      </c>
      <c r="O148" s="2">
        <v>255</v>
      </c>
      <c r="P148" s="2">
        <v>1248</v>
      </c>
      <c r="Q148" s="3">
        <f t="shared" si="4"/>
        <v>51315</v>
      </c>
      <c r="R148" s="3">
        <v>19191</v>
      </c>
      <c r="S148" s="3">
        <v>16189</v>
      </c>
      <c r="T148" s="5">
        <f t="shared" si="5"/>
        <v>15935</v>
      </c>
    </row>
    <row r="149" spans="1:20" ht="18.75" customHeight="1">
      <c r="A149" s="7" t="s">
        <v>18</v>
      </c>
      <c r="B149" s="10">
        <v>45439</v>
      </c>
      <c r="C149" s="2">
        <v>2120</v>
      </c>
      <c r="D149" s="2">
        <v>1580</v>
      </c>
      <c r="E149" s="2">
        <v>754</v>
      </c>
      <c r="F149" s="2">
        <v>4340</v>
      </c>
      <c r="G149" s="2">
        <v>2152</v>
      </c>
      <c r="H149" s="2">
        <v>0</v>
      </c>
      <c r="I149" s="2">
        <v>799</v>
      </c>
      <c r="J149" s="2">
        <v>0</v>
      </c>
      <c r="K149" s="2">
        <v>1815</v>
      </c>
      <c r="L149" s="2">
        <v>16550</v>
      </c>
      <c r="M149" s="2">
        <v>4588</v>
      </c>
      <c r="N149" s="2">
        <v>327</v>
      </c>
      <c r="O149" s="2">
        <v>0</v>
      </c>
      <c r="P149" s="2">
        <v>101</v>
      </c>
      <c r="Q149" s="3">
        <f t="shared" si="4"/>
        <v>35126</v>
      </c>
      <c r="R149" s="3">
        <v>8321</v>
      </c>
      <c r="S149" s="3">
        <v>17796</v>
      </c>
      <c r="T149" s="5">
        <f t="shared" si="5"/>
        <v>9009</v>
      </c>
    </row>
    <row r="150" spans="1:20" ht="18.75" customHeight="1">
      <c r="A150" s="7" t="s">
        <v>19</v>
      </c>
      <c r="B150" s="10">
        <v>45440</v>
      </c>
      <c r="C150" s="2">
        <v>1540</v>
      </c>
      <c r="D150" s="2">
        <v>1390</v>
      </c>
      <c r="E150" s="2">
        <v>745</v>
      </c>
      <c r="F150" s="2">
        <v>4345</v>
      </c>
      <c r="G150" s="2">
        <v>2798</v>
      </c>
      <c r="H150" s="2">
        <v>0</v>
      </c>
      <c r="I150" s="2">
        <v>814</v>
      </c>
      <c r="J150" s="2">
        <v>0</v>
      </c>
      <c r="K150" s="2">
        <v>1000</v>
      </c>
      <c r="L150" s="2">
        <v>10881</v>
      </c>
      <c r="M150" s="2">
        <v>6899</v>
      </c>
      <c r="N150" s="2">
        <v>0</v>
      </c>
      <c r="O150" s="2">
        <v>0</v>
      </c>
      <c r="P150" s="2">
        <v>0</v>
      </c>
      <c r="Q150" s="3">
        <f t="shared" si="4"/>
        <v>30412</v>
      </c>
      <c r="R150" s="3">
        <v>8110</v>
      </c>
      <c r="S150" s="3">
        <v>13102</v>
      </c>
      <c r="T150" s="5">
        <f t="shared" si="5"/>
        <v>9200</v>
      </c>
    </row>
    <row r="151" spans="1:20" ht="18.75" customHeight="1">
      <c r="A151" s="7" t="s">
        <v>20</v>
      </c>
      <c r="B151" s="10">
        <v>45441</v>
      </c>
      <c r="C151" s="2">
        <v>1860</v>
      </c>
      <c r="D151" s="2">
        <v>1555</v>
      </c>
      <c r="E151" s="2">
        <v>260</v>
      </c>
      <c r="F151" s="2">
        <v>3040</v>
      </c>
      <c r="G151" s="2">
        <v>1294</v>
      </c>
      <c r="H151" s="2">
        <v>0</v>
      </c>
      <c r="I151" s="2">
        <v>820</v>
      </c>
      <c r="J151" s="2">
        <v>0</v>
      </c>
      <c r="K151" s="2">
        <v>1900</v>
      </c>
      <c r="L151" s="2">
        <v>6450</v>
      </c>
      <c r="M151" s="2">
        <v>3135</v>
      </c>
      <c r="N151" s="2">
        <v>883</v>
      </c>
      <c r="O151" s="2">
        <v>204</v>
      </c>
      <c r="P151" s="2">
        <v>775</v>
      </c>
      <c r="Q151" s="3">
        <f t="shared" si="4"/>
        <v>22176</v>
      </c>
      <c r="R151" s="3">
        <v>8490</v>
      </c>
      <c r="S151" s="3">
        <v>7952</v>
      </c>
      <c r="T151" s="5">
        <f t="shared" si="5"/>
        <v>5734</v>
      </c>
    </row>
    <row r="152" spans="1:20" ht="18.75" customHeight="1">
      <c r="A152" s="7" t="s">
        <v>21</v>
      </c>
      <c r="B152" s="10">
        <v>45442</v>
      </c>
      <c r="C152" s="2">
        <v>1710</v>
      </c>
      <c r="D152" s="2">
        <v>1594</v>
      </c>
      <c r="E152" s="2">
        <v>750</v>
      </c>
      <c r="F152" s="2">
        <v>3425</v>
      </c>
      <c r="G152" s="2">
        <v>1916</v>
      </c>
      <c r="H152" s="2">
        <v>0</v>
      </c>
      <c r="I152" s="2">
        <v>1195</v>
      </c>
      <c r="J152" s="2">
        <v>0</v>
      </c>
      <c r="K152" s="2">
        <v>2626</v>
      </c>
      <c r="L152" s="2">
        <v>8584</v>
      </c>
      <c r="M152" s="2">
        <v>5209</v>
      </c>
      <c r="N152" s="2">
        <v>505</v>
      </c>
      <c r="O152" s="2">
        <v>253</v>
      </c>
      <c r="P152" s="2">
        <v>372</v>
      </c>
      <c r="Q152" s="3">
        <f t="shared" si="4"/>
        <v>28139</v>
      </c>
      <c r="R152" s="3">
        <v>9141</v>
      </c>
      <c r="S152" s="3">
        <v>13600</v>
      </c>
      <c r="T152" s="5">
        <f t="shared" si="5"/>
        <v>5398</v>
      </c>
    </row>
    <row r="153" spans="1:20" ht="18.75" customHeight="1">
      <c r="A153" s="7" t="s">
        <v>22</v>
      </c>
      <c r="B153" s="10">
        <v>45443</v>
      </c>
      <c r="C153" s="2">
        <v>1625</v>
      </c>
      <c r="D153" s="2">
        <v>2150</v>
      </c>
      <c r="E153" s="2">
        <v>870</v>
      </c>
      <c r="F153" s="2">
        <v>3820</v>
      </c>
      <c r="G153" s="2">
        <v>1919</v>
      </c>
      <c r="H153" s="2">
        <v>0</v>
      </c>
      <c r="I153" s="2">
        <v>1162</v>
      </c>
      <c r="J153" s="2">
        <v>0</v>
      </c>
      <c r="K153" s="2">
        <v>2370</v>
      </c>
      <c r="L153" s="2">
        <v>9099</v>
      </c>
      <c r="M153" s="2">
        <v>6610</v>
      </c>
      <c r="N153" s="2">
        <v>1204</v>
      </c>
      <c r="O153" s="2">
        <v>327</v>
      </c>
      <c r="P153" s="2">
        <v>175</v>
      </c>
      <c r="Q153" s="3">
        <f t="shared" si="4"/>
        <v>31331</v>
      </c>
      <c r="R153" s="3">
        <v>8885</v>
      </c>
      <c r="S153" s="3">
        <v>19255</v>
      </c>
      <c r="T153" s="5">
        <f t="shared" si="5"/>
        <v>3191</v>
      </c>
    </row>
    <row r="154" spans="1:20" ht="18.75" customHeight="1">
      <c r="A154" s="7" t="s">
        <v>23</v>
      </c>
      <c r="B154" s="10">
        <v>45444</v>
      </c>
      <c r="C154" s="2">
        <v>2600</v>
      </c>
      <c r="D154" s="2">
        <v>2159</v>
      </c>
      <c r="E154" s="2">
        <v>765</v>
      </c>
      <c r="F154" s="2">
        <v>4670</v>
      </c>
      <c r="G154" s="2">
        <v>2320</v>
      </c>
      <c r="H154" s="2">
        <v>0</v>
      </c>
      <c r="I154" s="2">
        <v>1625</v>
      </c>
      <c r="J154" s="2">
        <v>0</v>
      </c>
      <c r="K154" s="2">
        <v>2110</v>
      </c>
      <c r="L154" s="2">
        <v>15652</v>
      </c>
      <c r="M154" s="2">
        <v>10113</v>
      </c>
      <c r="N154" s="2">
        <v>1097</v>
      </c>
      <c r="O154" s="2">
        <v>0</v>
      </c>
      <c r="P154" s="2">
        <v>751</v>
      </c>
      <c r="Q154" s="3">
        <f t="shared" si="4"/>
        <v>43862</v>
      </c>
      <c r="R154" s="3">
        <v>9648</v>
      </c>
      <c r="S154" s="3">
        <v>14593</v>
      </c>
      <c r="T154" s="5">
        <f t="shared" si="5"/>
        <v>19621</v>
      </c>
    </row>
    <row r="155" spans="1:20" ht="18.75" customHeight="1">
      <c r="A155" s="7" t="s">
        <v>17</v>
      </c>
      <c r="B155" s="10">
        <v>45445</v>
      </c>
      <c r="C155" s="2">
        <v>2160</v>
      </c>
      <c r="D155" s="2">
        <v>1235</v>
      </c>
      <c r="E155" s="2">
        <v>0</v>
      </c>
      <c r="F155" s="2">
        <v>3865</v>
      </c>
      <c r="G155" s="2">
        <v>2106</v>
      </c>
      <c r="H155" s="2">
        <v>0</v>
      </c>
      <c r="I155" s="2">
        <v>635</v>
      </c>
      <c r="J155" s="2">
        <v>0</v>
      </c>
      <c r="K155" s="2">
        <v>1480</v>
      </c>
      <c r="L155" s="2">
        <v>20104</v>
      </c>
      <c r="M155" s="2">
        <v>17126</v>
      </c>
      <c r="N155" s="2">
        <v>471</v>
      </c>
      <c r="O155" s="2">
        <v>361</v>
      </c>
      <c r="P155" s="2">
        <v>178</v>
      </c>
      <c r="Q155" s="3">
        <f t="shared" si="4"/>
        <v>49721</v>
      </c>
      <c r="R155" s="3">
        <v>12955</v>
      </c>
      <c r="S155" s="3">
        <v>11771</v>
      </c>
      <c r="T155" s="5">
        <f t="shared" si="5"/>
        <v>24995</v>
      </c>
    </row>
    <row r="156" spans="1:20" ht="18.75" customHeight="1">
      <c r="A156" s="7" t="s">
        <v>18</v>
      </c>
      <c r="B156" s="10">
        <v>45446</v>
      </c>
      <c r="C156" s="2">
        <v>2260</v>
      </c>
      <c r="D156" s="2">
        <v>2070</v>
      </c>
      <c r="E156" s="2">
        <v>820</v>
      </c>
      <c r="F156" s="2">
        <v>3120</v>
      </c>
      <c r="G156" s="2">
        <v>1046</v>
      </c>
      <c r="H156" s="2">
        <v>0</v>
      </c>
      <c r="I156" s="2">
        <v>680</v>
      </c>
      <c r="J156" s="2">
        <v>0</v>
      </c>
      <c r="K156" s="2">
        <v>1915</v>
      </c>
      <c r="L156" s="2">
        <v>13154</v>
      </c>
      <c r="M156" s="2">
        <v>6458</v>
      </c>
      <c r="N156" s="2">
        <v>312</v>
      </c>
      <c r="O156" s="2">
        <v>557</v>
      </c>
      <c r="P156" s="2">
        <v>535</v>
      </c>
      <c r="Q156" s="3">
        <f t="shared" si="4"/>
        <v>32927</v>
      </c>
      <c r="R156" s="3">
        <v>7360</v>
      </c>
      <c r="S156" s="3">
        <v>12240</v>
      </c>
      <c r="T156" s="5">
        <f t="shared" si="5"/>
        <v>13327</v>
      </c>
    </row>
    <row r="157" spans="1:20" ht="18.75" customHeight="1">
      <c r="A157" s="7" t="s">
        <v>19</v>
      </c>
      <c r="B157" s="10">
        <v>45447</v>
      </c>
      <c r="C157" s="2">
        <v>1085</v>
      </c>
      <c r="D157" s="2">
        <v>3610</v>
      </c>
      <c r="E157" s="2">
        <v>835</v>
      </c>
      <c r="F157" s="2">
        <v>3610</v>
      </c>
      <c r="G157" s="2">
        <v>2056</v>
      </c>
      <c r="H157" s="2">
        <v>0</v>
      </c>
      <c r="I157" s="2">
        <v>950</v>
      </c>
      <c r="J157" s="2">
        <v>0</v>
      </c>
      <c r="K157" s="2">
        <v>1665</v>
      </c>
      <c r="L157" s="2">
        <v>13601</v>
      </c>
      <c r="M157" s="2">
        <v>9090</v>
      </c>
      <c r="N157" s="2">
        <v>100</v>
      </c>
      <c r="O157" s="2">
        <v>421</v>
      </c>
      <c r="P157" s="2">
        <v>630</v>
      </c>
      <c r="Q157" s="3">
        <f t="shared" si="4"/>
        <v>37653</v>
      </c>
      <c r="R157" s="3">
        <v>11604</v>
      </c>
      <c r="S157" s="3">
        <v>9870</v>
      </c>
      <c r="T157" s="5">
        <f t="shared" si="5"/>
        <v>16179</v>
      </c>
    </row>
    <row r="158" spans="1:20" ht="18.75" customHeight="1">
      <c r="A158" s="7" t="s">
        <v>20</v>
      </c>
      <c r="B158" s="10">
        <v>45448</v>
      </c>
      <c r="C158" s="2">
        <v>1895</v>
      </c>
      <c r="D158" s="2">
        <v>1260</v>
      </c>
      <c r="E158" s="2">
        <v>1325</v>
      </c>
      <c r="F158" s="2">
        <v>3265</v>
      </c>
      <c r="G158" s="2">
        <v>3536</v>
      </c>
      <c r="H158" s="2">
        <v>0</v>
      </c>
      <c r="I158" s="2">
        <v>1056</v>
      </c>
      <c r="J158" s="2">
        <v>0</v>
      </c>
      <c r="K158" s="2">
        <v>1420</v>
      </c>
      <c r="L158" s="2">
        <v>12272</v>
      </c>
      <c r="M158" s="2">
        <v>5681</v>
      </c>
      <c r="N158" s="2">
        <v>1553</v>
      </c>
      <c r="O158" s="2">
        <v>453</v>
      </c>
      <c r="P158" s="2">
        <v>479</v>
      </c>
      <c r="Q158" s="3">
        <f t="shared" si="4"/>
        <v>34195</v>
      </c>
      <c r="R158" s="3">
        <v>8415</v>
      </c>
      <c r="S158" s="3">
        <v>14658</v>
      </c>
      <c r="T158" s="5">
        <f t="shared" si="5"/>
        <v>11122</v>
      </c>
    </row>
    <row r="159" spans="1:20" ht="18.75" customHeight="1">
      <c r="A159" s="7" t="s">
        <v>21</v>
      </c>
      <c r="B159" s="10">
        <v>45449</v>
      </c>
      <c r="C159" s="2">
        <v>1880</v>
      </c>
      <c r="D159" s="2">
        <v>1925</v>
      </c>
      <c r="E159" s="2">
        <v>1264</v>
      </c>
      <c r="F159" s="2">
        <v>4175</v>
      </c>
      <c r="G159" s="2">
        <v>2433</v>
      </c>
      <c r="H159" s="2">
        <v>0</v>
      </c>
      <c r="I159" s="2">
        <v>1120</v>
      </c>
      <c r="J159" s="2">
        <v>0</v>
      </c>
      <c r="K159" s="2">
        <v>2480</v>
      </c>
      <c r="L159" s="2">
        <v>12070</v>
      </c>
      <c r="M159" s="2">
        <v>6547</v>
      </c>
      <c r="N159" s="2">
        <v>1152</v>
      </c>
      <c r="O159" s="2">
        <v>900</v>
      </c>
      <c r="P159" s="2">
        <v>894</v>
      </c>
      <c r="Q159" s="3">
        <f t="shared" si="4"/>
        <v>36840</v>
      </c>
      <c r="R159" s="3">
        <v>8547</v>
      </c>
      <c r="S159" s="3">
        <v>12317</v>
      </c>
      <c r="T159" s="5">
        <f t="shared" si="5"/>
        <v>15976</v>
      </c>
    </row>
    <row r="160" spans="1:20" ht="18.75" customHeight="1">
      <c r="A160" s="7" t="s">
        <v>22</v>
      </c>
      <c r="B160" s="10">
        <v>45450</v>
      </c>
      <c r="C160" s="2">
        <v>1895</v>
      </c>
      <c r="D160" s="2">
        <v>2330</v>
      </c>
      <c r="E160" s="2">
        <v>0</v>
      </c>
      <c r="F160" s="2">
        <v>3231</v>
      </c>
      <c r="G160" s="2">
        <v>1800</v>
      </c>
      <c r="H160" s="2">
        <v>0</v>
      </c>
      <c r="I160" s="2">
        <v>1364</v>
      </c>
      <c r="J160" s="2">
        <v>0</v>
      </c>
      <c r="K160" s="2">
        <v>2059.5</v>
      </c>
      <c r="L160" s="2">
        <v>12116</v>
      </c>
      <c r="M160" s="2">
        <v>5311</v>
      </c>
      <c r="N160" s="2">
        <v>1062</v>
      </c>
      <c r="O160" s="2">
        <v>0</v>
      </c>
      <c r="P160" s="2">
        <v>1278</v>
      </c>
      <c r="Q160" s="3">
        <f t="shared" si="4"/>
        <v>32446.5</v>
      </c>
      <c r="R160" s="3">
        <v>8676</v>
      </c>
      <c r="S160" s="3">
        <v>15970</v>
      </c>
      <c r="T160" s="5">
        <f t="shared" si="5"/>
        <v>7800.5</v>
      </c>
    </row>
    <row r="161" spans="1:20" ht="18.75" customHeight="1">
      <c r="A161" s="7" t="s">
        <v>23</v>
      </c>
      <c r="B161" s="10">
        <v>45451</v>
      </c>
      <c r="C161" s="2">
        <v>2695</v>
      </c>
      <c r="D161" s="2">
        <v>3120</v>
      </c>
      <c r="E161" s="2">
        <v>750</v>
      </c>
      <c r="F161" s="2">
        <v>5075</v>
      </c>
      <c r="G161" s="2">
        <v>2100</v>
      </c>
      <c r="H161" s="2">
        <v>0</v>
      </c>
      <c r="I161" s="2">
        <v>685</v>
      </c>
      <c r="J161" s="2">
        <v>0</v>
      </c>
      <c r="K161" s="2">
        <v>2500</v>
      </c>
      <c r="L161" s="2">
        <v>15257</v>
      </c>
      <c r="M161" s="2">
        <v>3801</v>
      </c>
      <c r="N161" s="2">
        <v>2224</v>
      </c>
      <c r="O161" s="2">
        <v>566</v>
      </c>
      <c r="P161" s="2">
        <v>405</v>
      </c>
      <c r="Q161" s="3">
        <f t="shared" si="4"/>
        <v>39178</v>
      </c>
      <c r="R161" s="3">
        <v>10761</v>
      </c>
      <c r="S161" s="3">
        <v>13700</v>
      </c>
      <c r="T161" s="5">
        <f t="shared" si="5"/>
        <v>14717</v>
      </c>
    </row>
    <row r="162" spans="1:20" ht="18.75" customHeight="1">
      <c r="A162" s="7" t="s">
        <v>17</v>
      </c>
      <c r="B162" s="10">
        <v>45452</v>
      </c>
      <c r="C162" s="2">
        <v>2795</v>
      </c>
      <c r="D162" s="2">
        <v>2095</v>
      </c>
      <c r="E162" s="2">
        <v>0</v>
      </c>
      <c r="F162" s="2">
        <v>3265</v>
      </c>
      <c r="G162" s="2">
        <v>2123</v>
      </c>
      <c r="H162" s="2">
        <v>0</v>
      </c>
      <c r="I162" s="2">
        <v>982</v>
      </c>
      <c r="J162" s="2">
        <v>0</v>
      </c>
      <c r="K162" s="2">
        <v>1170</v>
      </c>
      <c r="L162" s="2">
        <v>25430</v>
      </c>
      <c r="M162" s="2">
        <v>12477</v>
      </c>
      <c r="N162" s="2">
        <v>1017</v>
      </c>
      <c r="O162" s="2">
        <v>1451</v>
      </c>
      <c r="P162" s="2">
        <v>1644</v>
      </c>
      <c r="Q162" s="3">
        <f t="shared" si="4"/>
        <v>54449</v>
      </c>
      <c r="R162" s="3">
        <v>15801</v>
      </c>
      <c r="S162" s="3">
        <v>26597</v>
      </c>
      <c r="T162" s="5">
        <f t="shared" si="5"/>
        <v>12051</v>
      </c>
    </row>
    <row r="163" spans="1:20" ht="18.75" customHeight="1">
      <c r="A163" s="7" t="s">
        <v>18</v>
      </c>
      <c r="B163" s="10">
        <v>45453</v>
      </c>
      <c r="C163" s="2">
        <v>1681</v>
      </c>
      <c r="D163" s="2">
        <v>2460</v>
      </c>
      <c r="E163" s="2">
        <v>1203</v>
      </c>
      <c r="F163" s="2">
        <v>4430</v>
      </c>
      <c r="G163" s="2">
        <v>4010</v>
      </c>
      <c r="H163" s="2">
        <v>0</v>
      </c>
      <c r="I163" s="2">
        <v>730</v>
      </c>
      <c r="J163" s="2">
        <v>0</v>
      </c>
      <c r="K163" s="2">
        <v>915</v>
      </c>
      <c r="L163" s="2">
        <v>11112</v>
      </c>
      <c r="M163" s="2">
        <v>6226</v>
      </c>
      <c r="N163" s="2">
        <v>200</v>
      </c>
      <c r="O163" s="2">
        <v>0</v>
      </c>
      <c r="P163" s="2">
        <v>437</v>
      </c>
      <c r="Q163" s="3">
        <f t="shared" si="4"/>
        <v>33404</v>
      </c>
      <c r="R163" s="3">
        <v>11447</v>
      </c>
      <c r="S163" s="3">
        <v>15302</v>
      </c>
      <c r="T163" s="5">
        <f t="shared" si="5"/>
        <v>6655</v>
      </c>
    </row>
    <row r="164" spans="1:20" ht="18.75" customHeight="1">
      <c r="A164" s="7" t="s">
        <v>19</v>
      </c>
      <c r="B164" s="10">
        <v>45454</v>
      </c>
      <c r="C164" s="2">
        <v>1915</v>
      </c>
      <c r="D164" s="2">
        <v>4365</v>
      </c>
      <c r="E164" s="2">
        <v>935</v>
      </c>
      <c r="F164" s="2">
        <v>1985</v>
      </c>
      <c r="G164" s="2">
        <v>2356</v>
      </c>
      <c r="H164" s="2">
        <v>0</v>
      </c>
      <c r="I164" s="2">
        <v>1139</v>
      </c>
      <c r="J164" s="2">
        <v>0</v>
      </c>
      <c r="K164" s="2">
        <v>655</v>
      </c>
      <c r="L164" s="2">
        <v>6771</v>
      </c>
      <c r="M164" s="2">
        <v>8953</v>
      </c>
      <c r="N164" s="2">
        <v>461</v>
      </c>
      <c r="O164" s="2">
        <v>157</v>
      </c>
      <c r="P164" s="2">
        <v>241</v>
      </c>
      <c r="Q164" s="3">
        <f t="shared" si="4"/>
        <v>29933</v>
      </c>
      <c r="R164" s="3">
        <v>7927</v>
      </c>
      <c r="S164" s="3">
        <v>10415</v>
      </c>
      <c r="T164" s="5">
        <f t="shared" si="5"/>
        <v>11591</v>
      </c>
    </row>
    <row r="165" spans="1:20" ht="18.75" customHeight="1">
      <c r="A165" s="7" t="s">
        <v>20</v>
      </c>
      <c r="B165" s="10">
        <v>45455</v>
      </c>
      <c r="C165" s="2">
        <v>1510</v>
      </c>
      <c r="D165" s="2">
        <v>1415</v>
      </c>
      <c r="E165" s="2">
        <v>541.5</v>
      </c>
      <c r="F165" s="2">
        <v>3610</v>
      </c>
      <c r="G165" s="2">
        <v>1722</v>
      </c>
      <c r="H165" s="2">
        <v>0</v>
      </c>
      <c r="I165" s="2">
        <v>1385</v>
      </c>
      <c r="J165" s="2">
        <v>0</v>
      </c>
      <c r="K165" s="2">
        <v>1226</v>
      </c>
      <c r="L165" s="2">
        <v>7020</v>
      </c>
      <c r="M165" s="2">
        <v>4719</v>
      </c>
      <c r="N165" s="2">
        <v>187</v>
      </c>
      <c r="O165" s="2">
        <v>268</v>
      </c>
      <c r="P165" s="2">
        <v>883</v>
      </c>
      <c r="Q165" s="3">
        <f t="shared" si="4"/>
        <v>24486.5</v>
      </c>
      <c r="R165" s="3">
        <v>8340</v>
      </c>
      <c r="S165" s="3">
        <v>7061</v>
      </c>
      <c r="T165" s="5">
        <f t="shared" si="5"/>
        <v>9085.5</v>
      </c>
    </row>
    <row r="166" spans="1:20" ht="18.75" customHeight="1">
      <c r="A166" s="7" t="s">
        <v>21</v>
      </c>
      <c r="B166" s="10">
        <v>45456</v>
      </c>
      <c r="C166" s="2">
        <v>1385</v>
      </c>
      <c r="D166" s="2">
        <v>1165</v>
      </c>
      <c r="E166" s="2">
        <v>635</v>
      </c>
      <c r="F166" s="2">
        <v>4445</v>
      </c>
      <c r="G166" s="2">
        <v>2096</v>
      </c>
      <c r="H166" s="2">
        <v>0</v>
      </c>
      <c r="I166" s="2">
        <v>975</v>
      </c>
      <c r="J166" s="2">
        <v>0</v>
      </c>
      <c r="K166" s="2">
        <v>1890</v>
      </c>
      <c r="L166" s="2">
        <v>9472</v>
      </c>
      <c r="M166" s="2">
        <v>7133</v>
      </c>
      <c r="N166" s="2">
        <v>594</v>
      </c>
      <c r="O166" s="2">
        <v>292</v>
      </c>
      <c r="P166" s="2">
        <v>605</v>
      </c>
      <c r="Q166" s="3">
        <f t="shared" si="4"/>
        <v>30687</v>
      </c>
      <c r="R166" s="3">
        <v>9576</v>
      </c>
      <c r="S166" s="3">
        <v>22804</v>
      </c>
      <c r="T166" s="5">
        <f t="shared" si="5"/>
        <v>-1693</v>
      </c>
    </row>
    <row r="167" spans="1:20" ht="18.75" customHeight="1">
      <c r="A167" s="7" t="s">
        <v>22</v>
      </c>
      <c r="B167" s="10">
        <v>45457</v>
      </c>
      <c r="C167" s="2">
        <v>2010</v>
      </c>
      <c r="D167" s="2">
        <v>2464</v>
      </c>
      <c r="E167" s="2">
        <v>1155</v>
      </c>
      <c r="F167" s="2">
        <v>5160</v>
      </c>
      <c r="G167" s="2">
        <v>1297</v>
      </c>
      <c r="H167" s="2">
        <v>0</v>
      </c>
      <c r="I167" s="2">
        <v>805</v>
      </c>
      <c r="J167" s="2">
        <v>0</v>
      </c>
      <c r="K167" s="2">
        <v>2345</v>
      </c>
      <c r="L167" s="2">
        <v>11196</v>
      </c>
      <c r="M167" s="2">
        <v>5203</v>
      </c>
      <c r="N167" s="2">
        <v>2687</v>
      </c>
      <c r="O167" s="2">
        <v>472</v>
      </c>
      <c r="P167" s="2">
        <v>258</v>
      </c>
      <c r="Q167" s="3">
        <f t="shared" si="4"/>
        <v>35052</v>
      </c>
      <c r="R167" s="3">
        <v>10055</v>
      </c>
      <c r="S167" s="3">
        <v>17842</v>
      </c>
      <c r="T167" s="5">
        <f t="shared" si="5"/>
        <v>7155</v>
      </c>
    </row>
    <row r="168" spans="1:20" ht="18.75" customHeight="1">
      <c r="A168" s="7" t="s">
        <v>23</v>
      </c>
      <c r="B168" s="10">
        <v>45458</v>
      </c>
      <c r="C168" s="2">
        <v>2190</v>
      </c>
      <c r="D168" s="2">
        <v>2355</v>
      </c>
      <c r="E168" s="2">
        <v>735</v>
      </c>
      <c r="F168" s="2">
        <v>4130</v>
      </c>
      <c r="G168" s="2">
        <v>2091</v>
      </c>
      <c r="H168" s="2">
        <v>0</v>
      </c>
      <c r="I168" s="2">
        <v>1180</v>
      </c>
      <c r="J168" s="2">
        <v>0</v>
      </c>
      <c r="K168" s="2">
        <v>1555</v>
      </c>
      <c r="L168" s="2">
        <v>15166</v>
      </c>
      <c r="M168" s="2">
        <v>10429</v>
      </c>
      <c r="N168" s="2">
        <v>1829</v>
      </c>
      <c r="O168" s="2">
        <v>800</v>
      </c>
      <c r="P168" s="2">
        <v>1182</v>
      </c>
      <c r="Q168" s="3">
        <f t="shared" si="4"/>
        <v>43642</v>
      </c>
      <c r="R168" s="3">
        <v>11721</v>
      </c>
      <c r="S168" s="3">
        <v>13041</v>
      </c>
      <c r="T168" s="5">
        <f t="shared" si="5"/>
        <v>18880</v>
      </c>
    </row>
    <row r="169" spans="1:20" ht="18.75" customHeight="1">
      <c r="A169" s="7" t="s">
        <v>17</v>
      </c>
      <c r="B169" s="10">
        <v>45459</v>
      </c>
      <c r="C169" s="2">
        <v>3347.5</v>
      </c>
      <c r="D169" s="2">
        <v>740</v>
      </c>
      <c r="E169" s="2">
        <v>670</v>
      </c>
      <c r="F169" s="2">
        <v>6040</v>
      </c>
      <c r="G169" s="2">
        <v>1613</v>
      </c>
      <c r="H169" s="2">
        <v>0</v>
      </c>
      <c r="I169" s="2">
        <v>965</v>
      </c>
      <c r="J169" s="2">
        <v>0</v>
      </c>
      <c r="K169" s="2">
        <v>1547</v>
      </c>
      <c r="L169" s="2">
        <v>24174</v>
      </c>
      <c r="M169" s="2">
        <v>10575</v>
      </c>
      <c r="N169" s="2">
        <v>907</v>
      </c>
      <c r="O169" s="2">
        <v>899</v>
      </c>
      <c r="P169" s="2">
        <v>413</v>
      </c>
      <c r="Q169" s="3">
        <f t="shared" si="4"/>
        <v>51890.5</v>
      </c>
      <c r="R169" s="3">
        <v>15591</v>
      </c>
      <c r="S169" s="3">
        <v>20849</v>
      </c>
      <c r="T169" s="5">
        <f t="shared" si="5"/>
        <v>15450.5</v>
      </c>
    </row>
    <row r="170" spans="1:20" ht="18.75" customHeight="1">
      <c r="A170" s="7" t="s">
        <v>18</v>
      </c>
      <c r="B170" s="10">
        <v>45460</v>
      </c>
      <c r="C170" s="2">
        <v>1535</v>
      </c>
      <c r="D170" s="2">
        <v>1370</v>
      </c>
      <c r="E170" s="2">
        <v>1000</v>
      </c>
      <c r="F170" s="2">
        <v>3710</v>
      </c>
      <c r="G170" s="2">
        <v>1527</v>
      </c>
      <c r="H170" s="2">
        <v>0</v>
      </c>
      <c r="I170" s="2">
        <v>975</v>
      </c>
      <c r="J170" s="2">
        <v>0</v>
      </c>
      <c r="K170" s="2">
        <v>1200</v>
      </c>
      <c r="L170" s="2">
        <v>14222</v>
      </c>
      <c r="M170" s="2">
        <v>7943</v>
      </c>
      <c r="N170" s="2">
        <v>1143</v>
      </c>
      <c r="O170" s="2">
        <v>0</v>
      </c>
      <c r="P170" s="2">
        <v>718</v>
      </c>
      <c r="Q170" s="3">
        <f t="shared" si="4"/>
        <v>35343</v>
      </c>
      <c r="R170" s="3">
        <v>7925</v>
      </c>
      <c r="S170" s="3">
        <v>14624</v>
      </c>
      <c r="T170" s="5">
        <f t="shared" si="5"/>
        <v>12794</v>
      </c>
    </row>
    <row r="171" spans="1:20" ht="18.75" customHeight="1">
      <c r="A171" s="7" t="s">
        <v>19</v>
      </c>
      <c r="B171" s="10">
        <v>45461</v>
      </c>
      <c r="C171" s="2">
        <v>2140</v>
      </c>
      <c r="D171" s="2">
        <v>2013</v>
      </c>
      <c r="E171" s="2">
        <v>520</v>
      </c>
      <c r="F171" s="2">
        <v>5265</v>
      </c>
      <c r="G171" s="2">
        <v>2054</v>
      </c>
      <c r="H171" s="2">
        <v>0</v>
      </c>
      <c r="I171" s="2">
        <v>1565</v>
      </c>
      <c r="J171" s="2">
        <v>0</v>
      </c>
      <c r="K171" s="2">
        <v>900</v>
      </c>
      <c r="L171" s="2">
        <v>14741</v>
      </c>
      <c r="M171" s="2">
        <v>3907</v>
      </c>
      <c r="N171" s="2">
        <v>788</v>
      </c>
      <c r="O171" s="2">
        <v>126</v>
      </c>
      <c r="P171" s="2">
        <v>580</v>
      </c>
      <c r="Q171" s="3">
        <f t="shared" si="4"/>
        <v>34599</v>
      </c>
      <c r="R171" s="3">
        <v>9047</v>
      </c>
      <c r="S171" s="3">
        <v>8644</v>
      </c>
      <c r="T171" s="5">
        <f t="shared" si="5"/>
        <v>16908</v>
      </c>
    </row>
    <row r="172" spans="1:20" ht="18.75" customHeight="1">
      <c r="A172" s="7" t="s">
        <v>20</v>
      </c>
      <c r="B172" s="10">
        <v>45462</v>
      </c>
      <c r="C172" s="2">
        <v>1575</v>
      </c>
      <c r="D172" s="2">
        <v>1615</v>
      </c>
      <c r="E172" s="2">
        <v>0</v>
      </c>
      <c r="F172" s="2">
        <v>5680</v>
      </c>
      <c r="G172" s="2">
        <v>2343</v>
      </c>
      <c r="H172" s="2">
        <v>0</v>
      </c>
      <c r="I172" s="2">
        <v>475</v>
      </c>
      <c r="J172" s="2">
        <v>0</v>
      </c>
      <c r="K172" s="2">
        <v>2690</v>
      </c>
      <c r="L172" s="2">
        <v>12763</v>
      </c>
      <c r="M172" s="2">
        <v>10571</v>
      </c>
      <c r="N172" s="2">
        <v>773</v>
      </c>
      <c r="O172" s="2">
        <v>224</v>
      </c>
      <c r="P172" s="2">
        <v>826</v>
      </c>
      <c r="Q172" s="3">
        <f t="shared" si="4"/>
        <v>39535</v>
      </c>
      <c r="R172" s="3">
        <v>9840</v>
      </c>
      <c r="S172" s="3">
        <v>14757</v>
      </c>
      <c r="T172" s="5">
        <f t="shared" si="5"/>
        <v>14938</v>
      </c>
    </row>
    <row r="173" spans="1:20" ht="18.75" customHeight="1">
      <c r="A173" s="7" t="s">
        <v>21</v>
      </c>
      <c r="B173" s="10">
        <v>45463</v>
      </c>
      <c r="C173" s="2">
        <v>2245</v>
      </c>
      <c r="D173" s="2">
        <v>1715</v>
      </c>
      <c r="E173" s="2">
        <v>0</v>
      </c>
      <c r="F173" s="2">
        <v>3680</v>
      </c>
      <c r="G173" s="2">
        <v>3046.5</v>
      </c>
      <c r="H173" s="2">
        <v>0</v>
      </c>
      <c r="I173" s="2">
        <v>438</v>
      </c>
      <c r="J173" s="2">
        <v>0</v>
      </c>
      <c r="K173" s="2">
        <v>1550</v>
      </c>
      <c r="L173" s="2">
        <v>11178</v>
      </c>
      <c r="M173" s="2">
        <v>6103</v>
      </c>
      <c r="N173" s="2">
        <v>1619</v>
      </c>
      <c r="O173" s="2">
        <v>288</v>
      </c>
      <c r="P173" s="2">
        <v>140</v>
      </c>
      <c r="Q173" s="3">
        <f t="shared" si="4"/>
        <v>32002.5</v>
      </c>
      <c r="R173" s="3">
        <v>8715</v>
      </c>
      <c r="S173" s="3">
        <v>10631</v>
      </c>
      <c r="T173" s="5">
        <f t="shared" si="5"/>
        <v>12656.5</v>
      </c>
    </row>
    <row r="174" spans="1:20" ht="18.75" customHeight="1">
      <c r="A174" s="7" t="s">
        <v>22</v>
      </c>
      <c r="B174" s="10">
        <v>45464</v>
      </c>
      <c r="C174" s="2">
        <v>2515</v>
      </c>
      <c r="D174" s="2">
        <v>1325</v>
      </c>
      <c r="E174" s="2">
        <v>0</v>
      </c>
      <c r="F174" s="2">
        <v>3335</v>
      </c>
      <c r="G174" s="2">
        <v>2697</v>
      </c>
      <c r="H174" s="2">
        <v>0</v>
      </c>
      <c r="I174" s="2">
        <v>1075</v>
      </c>
      <c r="J174" s="2">
        <v>0</v>
      </c>
      <c r="K174" s="2">
        <v>2300</v>
      </c>
      <c r="L174" s="2">
        <v>8790</v>
      </c>
      <c r="M174" s="2">
        <v>12584</v>
      </c>
      <c r="N174" s="2">
        <v>2053</v>
      </c>
      <c r="O174" s="2">
        <v>504</v>
      </c>
      <c r="P174" s="2">
        <v>503</v>
      </c>
      <c r="Q174" s="3">
        <f t="shared" si="4"/>
        <v>37681</v>
      </c>
      <c r="R174" s="3">
        <v>9281</v>
      </c>
      <c r="S174" s="3">
        <v>24598</v>
      </c>
      <c r="T174" s="5">
        <f t="shared" si="5"/>
        <v>3802</v>
      </c>
    </row>
    <row r="175" spans="1:20" ht="18.75" customHeight="1">
      <c r="A175" s="7" t="s">
        <v>23</v>
      </c>
      <c r="B175" s="10">
        <v>45465</v>
      </c>
      <c r="C175" s="2">
        <v>1170</v>
      </c>
      <c r="D175" s="2">
        <v>975</v>
      </c>
      <c r="E175" s="2">
        <v>320</v>
      </c>
      <c r="F175" s="2">
        <v>2723</v>
      </c>
      <c r="G175" s="2">
        <v>1489</v>
      </c>
      <c r="H175" s="2">
        <v>0</v>
      </c>
      <c r="I175" s="2">
        <v>400</v>
      </c>
      <c r="J175" s="2">
        <v>0</v>
      </c>
      <c r="K175" s="2">
        <v>1993</v>
      </c>
      <c r="L175" s="2">
        <v>12607</v>
      </c>
      <c r="M175" s="2">
        <v>11782</v>
      </c>
      <c r="N175" s="2">
        <v>2767</v>
      </c>
      <c r="O175" s="2">
        <v>210</v>
      </c>
      <c r="P175" s="2">
        <v>377</v>
      </c>
      <c r="Q175" s="3">
        <f t="shared" si="4"/>
        <v>36813</v>
      </c>
      <c r="R175" s="3">
        <v>10610</v>
      </c>
      <c r="S175" s="3">
        <v>13040</v>
      </c>
      <c r="T175" s="5">
        <f t="shared" si="5"/>
        <v>13163</v>
      </c>
    </row>
    <row r="176" spans="1:20" ht="18.75" customHeight="1">
      <c r="A176" s="7" t="s">
        <v>17</v>
      </c>
      <c r="B176" s="10">
        <v>45466</v>
      </c>
      <c r="C176" s="2">
        <v>1865</v>
      </c>
      <c r="D176" s="2">
        <v>520</v>
      </c>
      <c r="E176" s="2">
        <v>0</v>
      </c>
      <c r="F176" s="2">
        <v>2485</v>
      </c>
      <c r="G176" s="2">
        <v>1867</v>
      </c>
      <c r="H176" s="2">
        <v>0</v>
      </c>
      <c r="I176" s="2">
        <v>400</v>
      </c>
      <c r="J176" s="2">
        <v>0</v>
      </c>
      <c r="K176" s="2">
        <v>620</v>
      </c>
      <c r="L176" s="2">
        <v>17868</v>
      </c>
      <c r="M176" s="2">
        <v>10023</v>
      </c>
      <c r="N176" s="2">
        <v>1266</v>
      </c>
      <c r="O176" s="2">
        <v>571</v>
      </c>
      <c r="P176" s="2">
        <v>1407</v>
      </c>
      <c r="Q176" s="3">
        <f t="shared" si="4"/>
        <v>38892</v>
      </c>
      <c r="R176" s="3">
        <v>14710</v>
      </c>
      <c r="S176" s="3">
        <v>23788</v>
      </c>
      <c r="T176" s="5">
        <f t="shared" si="5"/>
        <v>394</v>
      </c>
    </row>
    <row r="177" spans="1:20" ht="18.75" customHeight="1">
      <c r="A177" s="7" t="s">
        <v>18</v>
      </c>
      <c r="B177" s="10">
        <v>45467</v>
      </c>
      <c r="C177" s="2">
        <v>1730</v>
      </c>
      <c r="D177" s="2">
        <v>1932</v>
      </c>
      <c r="E177" s="2">
        <v>0</v>
      </c>
      <c r="F177" s="2">
        <v>4685</v>
      </c>
      <c r="G177" s="2">
        <v>2134</v>
      </c>
      <c r="H177" s="2">
        <v>0</v>
      </c>
      <c r="I177" s="2">
        <v>795</v>
      </c>
      <c r="J177" s="2">
        <v>0</v>
      </c>
      <c r="K177" s="2">
        <v>1313</v>
      </c>
      <c r="L177" s="2">
        <v>5754</v>
      </c>
      <c r="M177" s="2">
        <v>8181</v>
      </c>
      <c r="N177" s="2">
        <v>553</v>
      </c>
      <c r="O177" s="2">
        <v>0</v>
      </c>
      <c r="P177" s="2">
        <v>853</v>
      </c>
      <c r="Q177" s="3">
        <f t="shared" si="4"/>
        <v>27930</v>
      </c>
      <c r="R177" s="3">
        <v>9370</v>
      </c>
      <c r="S177" s="3">
        <v>20468</v>
      </c>
      <c r="T177" s="5">
        <f t="shared" si="5"/>
        <v>-1908</v>
      </c>
    </row>
    <row r="178" spans="1:20" ht="18.75" customHeight="1">
      <c r="A178" s="7" t="s">
        <v>19</v>
      </c>
      <c r="B178" s="10">
        <v>45468</v>
      </c>
      <c r="C178" s="2">
        <v>1820</v>
      </c>
      <c r="D178" s="2">
        <v>1480</v>
      </c>
      <c r="E178" s="2">
        <v>500</v>
      </c>
      <c r="F178" s="2">
        <v>3155</v>
      </c>
      <c r="G178" s="2">
        <v>1879</v>
      </c>
      <c r="H178" s="2">
        <v>0</v>
      </c>
      <c r="I178" s="2">
        <v>685</v>
      </c>
      <c r="J178" s="2">
        <v>0</v>
      </c>
      <c r="K178" s="2">
        <v>1455</v>
      </c>
      <c r="L178" s="2">
        <v>8365</v>
      </c>
      <c r="M178" s="2">
        <v>5748</v>
      </c>
      <c r="N178" s="2">
        <v>485</v>
      </c>
      <c r="O178" s="2">
        <v>0</v>
      </c>
      <c r="P178" s="2">
        <v>257</v>
      </c>
      <c r="Q178" s="3">
        <f t="shared" si="4"/>
        <v>25829</v>
      </c>
      <c r="R178" s="3">
        <v>8569</v>
      </c>
      <c r="S178" s="3">
        <v>7422</v>
      </c>
      <c r="T178" s="5">
        <f t="shared" si="5"/>
        <v>9838</v>
      </c>
    </row>
    <row r="179" spans="1:20" ht="18.75" customHeight="1">
      <c r="A179" s="7" t="s">
        <v>20</v>
      </c>
      <c r="B179" s="10">
        <v>45469</v>
      </c>
      <c r="C179" s="2">
        <v>2200</v>
      </c>
      <c r="D179" s="2">
        <v>1280</v>
      </c>
      <c r="E179" s="2">
        <v>625</v>
      </c>
      <c r="F179" s="2">
        <v>3235</v>
      </c>
      <c r="G179" s="2">
        <v>1842</v>
      </c>
      <c r="H179" s="2">
        <v>0</v>
      </c>
      <c r="I179" s="2">
        <v>665</v>
      </c>
      <c r="J179" s="2">
        <v>0</v>
      </c>
      <c r="K179" s="2">
        <v>1985</v>
      </c>
      <c r="L179" s="2">
        <v>10898</v>
      </c>
      <c r="M179" s="2">
        <v>4771</v>
      </c>
      <c r="N179" s="2">
        <v>1549</v>
      </c>
      <c r="O179" s="2">
        <v>333</v>
      </c>
      <c r="P179" s="2">
        <v>206</v>
      </c>
      <c r="Q179" s="3">
        <f t="shared" si="4"/>
        <v>29589</v>
      </c>
      <c r="R179" s="3">
        <v>9540</v>
      </c>
      <c r="S179" s="3">
        <v>9418</v>
      </c>
      <c r="T179" s="5">
        <f t="shared" si="5"/>
        <v>10631</v>
      </c>
    </row>
    <row r="180" spans="1:20" ht="18.75" customHeight="1">
      <c r="A180" s="7" t="s">
        <v>21</v>
      </c>
      <c r="B180" s="10">
        <v>45470</v>
      </c>
      <c r="C180" s="2">
        <v>2100</v>
      </c>
      <c r="D180" s="2">
        <v>1429.5</v>
      </c>
      <c r="E180" s="2">
        <v>495</v>
      </c>
      <c r="F180" s="2">
        <v>3575</v>
      </c>
      <c r="G180" s="2">
        <v>2061</v>
      </c>
      <c r="H180" s="2">
        <v>0</v>
      </c>
      <c r="I180" s="2">
        <v>1433</v>
      </c>
      <c r="J180" s="2">
        <v>0</v>
      </c>
      <c r="K180" s="2">
        <v>2155</v>
      </c>
      <c r="L180" s="2">
        <v>7565</v>
      </c>
      <c r="M180" s="2">
        <v>6330</v>
      </c>
      <c r="N180" s="2">
        <v>706</v>
      </c>
      <c r="O180" s="2">
        <v>235</v>
      </c>
      <c r="P180" s="2">
        <v>240</v>
      </c>
      <c r="Q180" s="3">
        <f t="shared" si="4"/>
        <v>28324.5</v>
      </c>
      <c r="R180" s="3">
        <v>9780</v>
      </c>
      <c r="S180" s="3">
        <v>12523</v>
      </c>
      <c r="T180" s="5">
        <f t="shared" si="5"/>
        <v>6021.5</v>
      </c>
    </row>
    <row r="181" spans="1:20" ht="18.75" customHeight="1">
      <c r="A181" s="7" t="s">
        <v>22</v>
      </c>
      <c r="B181" s="10">
        <v>45471</v>
      </c>
      <c r="C181" s="2">
        <v>2785</v>
      </c>
      <c r="D181" s="2">
        <v>3142</v>
      </c>
      <c r="E181" s="2">
        <v>1225</v>
      </c>
      <c r="F181" s="2">
        <v>4450</v>
      </c>
      <c r="G181" s="2">
        <v>1189</v>
      </c>
      <c r="H181" s="2">
        <v>0</v>
      </c>
      <c r="I181" s="2">
        <v>806</v>
      </c>
      <c r="J181" s="2">
        <v>0</v>
      </c>
      <c r="K181" s="2">
        <v>1971</v>
      </c>
      <c r="L181" s="2">
        <v>17199</v>
      </c>
      <c r="M181" s="2">
        <v>8464</v>
      </c>
      <c r="N181" s="2">
        <v>1888</v>
      </c>
      <c r="O181" s="2">
        <v>695</v>
      </c>
      <c r="P181" s="2">
        <v>0</v>
      </c>
      <c r="Q181" s="3">
        <f t="shared" si="4"/>
        <v>43814</v>
      </c>
      <c r="R181" s="3">
        <v>9338</v>
      </c>
      <c r="S181" s="3">
        <v>14777</v>
      </c>
      <c r="T181" s="5">
        <f t="shared" si="5"/>
        <v>19699</v>
      </c>
    </row>
    <row r="182" spans="1:20" ht="18.75" customHeight="1">
      <c r="A182" s="7" t="s">
        <v>23</v>
      </c>
      <c r="B182" s="10">
        <v>45472</v>
      </c>
      <c r="C182" s="2">
        <v>2075</v>
      </c>
      <c r="D182" s="2">
        <v>2137</v>
      </c>
      <c r="E182" s="2">
        <v>1400</v>
      </c>
      <c r="F182" s="2">
        <v>3980</v>
      </c>
      <c r="G182" s="2">
        <v>1455</v>
      </c>
      <c r="H182" s="2">
        <v>0</v>
      </c>
      <c r="I182" s="2">
        <v>779</v>
      </c>
      <c r="J182" s="2">
        <v>0</v>
      </c>
      <c r="K182" s="2">
        <v>2542</v>
      </c>
      <c r="L182" s="2">
        <v>18261</v>
      </c>
      <c r="M182" s="2">
        <v>9593</v>
      </c>
      <c r="N182" s="2">
        <v>1067</v>
      </c>
      <c r="O182" s="2">
        <v>0</v>
      </c>
      <c r="P182" s="2">
        <v>0</v>
      </c>
      <c r="Q182" s="3">
        <f t="shared" si="4"/>
        <v>43289</v>
      </c>
      <c r="R182" s="3">
        <v>11565</v>
      </c>
      <c r="S182" s="3">
        <v>21493</v>
      </c>
      <c r="T182" s="5">
        <f t="shared" si="5"/>
        <v>10231</v>
      </c>
    </row>
    <row r="183" spans="1:20" ht="18.75" customHeight="1">
      <c r="A183" s="7" t="s">
        <v>17</v>
      </c>
      <c r="B183" s="10">
        <v>45473</v>
      </c>
      <c r="C183" s="2">
        <v>1705</v>
      </c>
      <c r="D183" s="2">
        <v>1870</v>
      </c>
      <c r="E183" s="2">
        <v>0</v>
      </c>
      <c r="F183" s="2">
        <v>3195</v>
      </c>
      <c r="G183" s="2">
        <v>1763</v>
      </c>
      <c r="H183" s="2">
        <v>0</v>
      </c>
      <c r="I183" s="2">
        <v>230</v>
      </c>
      <c r="J183" s="2">
        <v>0</v>
      </c>
      <c r="K183" s="2">
        <v>1415</v>
      </c>
      <c r="L183" s="2">
        <v>25292</v>
      </c>
      <c r="M183" s="2">
        <v>14982</v>
      </c>
      <c r="N183" s="2">
        <v>787</v>
      </c>
      <c r="O183" s="2">
        <v>0</v>
      </c>
      <c r="P183" s="2">
        <v>0</v>
      </c>
      <c r="Q183" s="3">
        <f t="shared" si="4"/>
        <v>51239</v>
      </c>
      <c r="R183" s="3">
        <v>13740</v>
      </c>
      <c r="S183" s="3">
        <v>26241</v>
      </c>
      <c r="T183" s="5">
        <f t="shared" si="5"/>
        <v>11258</v>
      </c>
    </row>
    <row r="184" spans="1:20" ht="18.75" customHeight="1">
      <c r="A184" s="7" t="s">
        <v>18</v>
      </c>
      <c r="B184" s="10">
        <v>45474</v>
      </c>
      <c r="C184" s="2">
        <v>0</v>
      </c>
      <c r="D184" s="2">
        <v>0</v>
      </c>
      <c r="E184" s="2">
        <v>0</v>
      </c>
      <c r="F184" s="2">
        <v>4970</v>
      </c>
      <c r="G184" s="2">
        <v>1006</v>
      </c>
      <c r="H184" s="2">
        <v>0</v>
      </c>
      <c r="I184" s="2">
        <v>0</v>
      </c>
      <c r="J184" s="2">
        <v>0</v>
      </c>
      <c r="K184" s="2">
        <v>2270</v>
      </c>
      <c r="L184" s="2">
        <v>22309</v>
      </c>
      <c r="M184" s="2">
        <v>6162</v>
      </c>
      <c r="N184" s="2">
        <v>623</v>
      </c>
      <c r="O184" s="2">
        <v>240</v>
      </c>
      <c r="P184" s="2">
        <v>0</v>
      </c>
      <c r="Q184" s="3">
        <f t="shared" si="4"/>
        <v>37580</v>
      </c>
      <c r="R184" s="3">
        <v>10450</v>
      </c>
      <c r="S184" s="3">
        <v>15306</v>
      </c>
      <c r="T184" s="5">
        <f t="shared" si="5"/>
        <v>11824</v>
      </c>
    </row>
    <row r="185" spans="1:20" ht="18.75" customHeight="1">
      <c r="A185" s="7" t="s">
        <v>19</v>
      </c>
      <c r="B185" s="10">
        <v>45475</v>
      </c>
      <c r="C185" s="2">
        <v>2925</v>
      </c>
      <c r="D185" s="2">
        <v>1300</v>
      </c>
      <c r="E185" s="2">
        <v>625</v>
      </c>
      <c r="F185" s="2">
        <v>3440</v>
      </c>
      <c r="G185" s="2">
        <v>2331</v>
      </c>
      <c r="H185" s="2">
        <v>0</v>
      </c>
      <c r="I185" s="2">
        <v>1103</v>
      </c>
      <c r="J185" s="2">
        <v>0</v>
      </c>
      <c r="K185" s="2">
        <v>1820</v>
      </c>
      <c r="L185" s="2">
        <v>10197</v>
      </c>
      <c r="M185" s="2">
        <v>7242</v>
      </c>
      <c r="N185" s="2">
        <v>448</v>
      </c>
      <c r="O185" s="2">
        <v>120</v>
      </c>
      <c r="P185" s="2">
        <v>0</v>
      </c>
      <c r="Q185" s="3">
        <f t="shared" si="4"/>
        <v>31551</v>
      </c>
      <c r="R185" s="3">
        <v>12834</v>
      </c>
      <c r="S185" s="3">
        <v>12442</v>
      </c>
      <c r="T185" s="5">
        <f t="shared" si="5"/>
        <v>6275</v>
      </c>
    </row>
    <row r="186" spans="1:20" ht="18.75" customHeight="1">
      <c r="A186" s="7" t="s">
        <v>20</v>
      </c>
      <c r="B186" s="10">
        <v>45476</v>
      </c>
      <c r="C186" s="2">
        <v>2015</v>
      </c>
      <c r="D186" s="2">
        <v>2510</v>
      </c>
      <c r="E186" s="2">
        <v>0</v>
      </c>
      <c r="F186" s="2">
        <v>4005</v>
      </c>
      <c r="G186" s="2">
        <v>2238</v>
      </c>
      <c r="H186" s="2">
        <v>0</v>
      </c>
      <c r="I186" s="2">
        <v>895</v>
      </c>
      <c r="J186" s="2">
        <v>0</v>
      </c>
      <c r="K186" s="2">
        <v>1580</v>
      </c>
      <c r="L186" s="2">
        <v>16749</v>
      </c>
      <c r="M186" s="2">
        <v>5503</v>
      </c>
      <c r="N186" s="2">
        <v>1278</v>
      </c>
      <c r="O186" s="2">
        <v>198</v>
      </c>
      <c r="P186" s="2">
        <v>310</v>
      </c>
      <c r="Q186" s="3">
        <f t="shared" si="4"/>
        <v>37281</v>
      </c>
      <c r="R186" s="3">
        <v>9545</v>
      </c>
      <c r="S186" s="3">
        <v>11587</v>
      </c>
      <c r="T186" s="5">
        <f t="shared" si="5"/>
        <v>16149</v>
      </c>
    </row>
    <row r="187" spans="1:20" ht="18.75" customHeight="1">
      <c r="A187" s="7" t="s">
        <v>21</v>
      </c>
      <c r="B187" s="10">
        <v>45477</v>
      </c>
      <c r="C187" s="2">
        <v>1870</v>
      </c>
      <c r="D187" s="2">
        <v>1490</v>
      </c>
      <c r="E187" s="2">
        <v>715</v>
      </c>
      <c r="F187" s="2">
        <v>3270</v>
      </c>
      <c r="G187" s="2">
        <v>2695</v>
      </c>
      <c r="H187" s="2">
        <v>0</v>
      </c>
      <c r="I187" s="2">
        <v>750</v>
      </c>
      <c r="J187" s="2">
        <v>0</v>
      </c>
      <c r="K187" s="2">
        <v>1966</v>
      </c>
      <c r="L187" s="2">
        <v>12075</v>
      </c>
      <c r="M187" s="2">
        <v>8131</v>
      </c>
      <c r="N187" s="2">
        <v>1102</v>
      </c>
      <c r="O187" s="2">
        <v>204</v>
      </c>
      <c r="P187" s="2">
        <v>1004</v>
      </c>
      <c r="Q187" s="3">
        <f t="shared" si="4"/>
        <v>35272</v>
      </c>
      <c r="R187" s="3">
        <v>8650</v>
      </c>
      <c r="S187" s="3">
        <v>30263</v>
      </c>
      <c r="T187" s="5">
        <f t="shared" si="5"/>
        <v>-3641</v>
      </c>
    </row>
    <row r="188" spans="1:20" ht="18.75" customHeight="1">
      <c r="A188" s="7" t="s">
        <v>22</v>
      </c>
      <c r="B188" s="10">
        <v>45478</v>
      </c>
      <c r="C188" s="2">
        <v>2038</v>
      </c>
      <c r="D188" s="2">
        <v>2030</v>
      </c>
      <c r="E188" s="2">
        <v>0</v>
      </c>
      <c r="F188" s="2">
        <v>3690</v>
      </c>
      <c r="G188" s="2">
        <v>2115</v>
      </c>
      <c r="H188" s="2">
        <v>0</v>
      </c>
      <c r="I188" s="2">
        <v>1385</v>
      </c>
      <c r="J188" s="2">
        <v>0</v>
      </c>
      <c r="K188" s="2">
        <v>1960</v>
      </c>
      <c r="L188" s="2">
        <v>11660</v>
      </c>
      <c r="M188" s="2">
        <v>11842</v>
      </c>
      <c r="N188" s="2">
        <v>2759</v>
      </c>
      <c r="O188" s="2">
        <v>166</v>
      </c>
      <c r="P188" s="2">
        <v>776</v>
      </c>
      <c r="Q188" s="3">
        <f t="shared" si="4"/>
        <v>40421</v>
      </c>
      <c r="R188" s="3">
        <v>10240</v>
      </c>
      <c r="S188" s="3">
        <v>16908</v>
      </c>
      <c r="T188" s="5">
        <f t="shared" si="5"/>
        <v>13273</v>
      </c>
    </row>
    <row r="189" spans="1:20" ht="18.75" customHeight="1">
      <c r="A189" s="7" t="s">
        <v>23</v>
      </c>
      <c r="B189" s="10">
        <v>45479</v>
      </c>
      <c r="C189" s="2">
        <v>1955</v>
      </c>
      <c r="D189" s="2">
        <v>2475</v>
      </c>
      <c r="E189" s="2">
        <v>0</v>
      </c>
      <c r="F189" s="2">
        <v>3170</v>
      </c>
      <c r="G189" s="2">
        <v>1620</v>
      </c>
      <c r="H189" s="2">
        <v>0</v>
      </c>
      <c r="I189" s="2">
        <v>1001</v>
      </c>
      <c r="J189" s="2">
        <v>0</v>
      </c>
      <c r="K189" s="2">
        <v>1570</v>
      </c>
      <c r="L189" s="2">
        <v>16816</v>
      </c>
      <c r="M189" s="2">
        <v>8312</v>
      </c>
      <c r="N189" s="2">
        <v>698</v>
      </c>
      <c r="O189" s="2">
        <v>0</v>
      </c>
      <c r="P189" s="2">
        <v>516</v>
      </c>
      <c r="Q189" s="3">
        <f t="shared" si="4"/>
        <v>38133</v>
      </c>
      <c r="R189" s="3">
        <v>10305</v>
      </c>
      <c r="S189" s="3">
        <v>27434</v>
      </c>
      <c r="T189" s="5">
        <f t="shared" si="5"/>
        <v>394</v>
      </c>
    </row>
    <row r="190" spans="1:20" ht="18.75" customHeight="1">
      <c r="A190" s="7" t="s">
        <v>17</v>
      </c>
      <c r="B190" s="10">
        <v>45480</v>
      </c>
      <c r="C190" s="2">
        <v>1985</v>
      </c>
      <c r="D190" s="2">
        <v>1545</v>
      </c>
      <c r="E190" s="2">
        <v>0</v>
      </c>
      <c r="F190" s="2">
        <v>4595</v>
      </c>
      <c r="G190" s="2">
        <v>1518</v>
      </c>
      <c r="H190" s="2">
        <v>0</v>
      </c>
      <c r="I190" s="2">
        <v>375</v>
      </c>
      <c r="J190" s="2">
        <v>0</v>
      </c>
      <c r="K190" s="2">
        <v>1000</v>
      </c>
      <c r="L190" s="2">
        <v>25305</v>
      </c>
      <c r="M190" s="2">
        <v>10558</v>
      </c>
      <c r="N190" s="2">
        <v>716</v>
      </c>
      <c r="O190" s="2">
        <v>427</v>
      </c>
      <c r="P190" s="2">
        <v>374</v>
      </c>
      <c r="Q190" s="3">
        <f t="shared" si="4"/>
        <v>48398</v>
      </c>
      <c r="R190" s="3">
        <v>14155</v>
      </c>
      <c r="S190" s="3">
        <v>26590</v>
      </c>
      <c r="T190" s="5">
        <f t="shared" si="5"/>
        <v>7653</v>
      </c>
    </row>
    <row r="191" spans="1:20" ht="18.75" customHeight="1">
      <c r="A191" s="7" t="s">
        <v>18</v>
      </c>
      <c r="B191" s="10">
        <v>45481</v>
      </c>
      <c r="C191" s="2">
        <v>2000</v>
      </c>
      <c r="D191" s="2">
        <v>1495</v>
      </c>
      <c r="E191" s="2">
        <v>1055</v>
      </c>
      <c r="F191" s="2">
        <v>4330</v>
      </c>
      <c r="G191" s="2">
        <v>2490</v>
      </c>
      <c r="H191" s="2">
        <v>0</v>
      </c>
      <c r="I191" s="2">
        <v>1195</v>
      </c>
      <c r="J191" s="2">
        <v>0</v>
      </c>
      <c r="K191" s="2">
        <v>2035</v>
      </c>
      <c r="L191" s="2">
        <v>11613</v>
      </c>
      <c r="M191" s="2">
        <v>4418</v>
      </c>
      <c r="N191" s="2">
        <v>1704</v>
      </c>
      <c r="O191" s="2">
        <v>249</v>
      </c>
      <c r="P191" s="2">
        <v>1052</v>
      </c>
      <c r="Q191" s="3">
        <f t="shared" si="4"/>
        <v>33636</v>
      </c>
      <c r="R191" s="3">
        <v>10221</v>
      </c>
      <c r="S191" s="3">
        <v>12330</v>
      </c>
      <c r="T191" s="5">
        <f t="shared" si="5"/>
        <v>11085</v>
      </c>
    </row>
    <row r="192" spans="1:20" ht="18.75" customHeight="1">
      <c r="A192" s="7" t="s">
        <v>19</v>
      </c>
      <c r="B192" s="10">
        <v>45482</v>
      </c>
      <c r="C192" s="2">
        <v>1435</v>
      </c>
      <c r="D192" s="2">
        <v>1220</v>
      </c>
      <c r="E192" s="2">
        <v>645</v>
      </c>
      <c r="F192" s="2">
        <v>3100</v>
      </c>
      <c r="G192" s="2">
        <v>2471</v>
      </c>
      <c r="H192" s="2">
        <v>0</v>
      </c>
      <c r="I192" s="2">
        <v>975</v>
      </c>
      <c r="J192" s="2">
        <v>0</v>
      </c>
      <c r="K192" s="2">
        <v>1120</v>
      </c>
      <c r="L192" s="2">
        <v>13633</v>
      </c>
      <c r="M192" s="2">
        <v>5213</v>
      </c>
      <c r="N192" s="2">
        <v>1455</v>
      </c>
      <c r="O192" s="2">
        <v>0</v>
      </c>
      <c r="P192" s="2">
        <v>759</v>
      </c>
      <c r="Q192" s="3">
        <f t="shared" si="4"/>
        <v>32026</v>
      </c>
      <c r="R192" s="3">
        <v>13380</v>
      </c>
      <c r="S192" s="3">
        <v>15244</v>
      </c>
      <c r="T192" s="5">
        <f t="shared" si="5"/>
        <v>3402</v>
      </c>
    </row>
    <row r="193" spans="1:20" ht="18.75" customHeight="1">
      <c r="A193" s="7" t="s">
        <v>20</v>
      </c>
      <c r="B193" s="10">
        <v>45483</v>
      </c>
      <c r="C193" s="2">
        <v>1685</v>
      </c>
      <c r="D193" s="2">
        <v>925</v>
      </c>
      <c r="E193" s="2">
        <v>224</v>
      </c>
      <c r="F193" s="2">
        <v>3690</v>
      </c>
      <c r="G193" s="2">
        <v>1160</v>
      </c>
      <c r="H193" s="2">
        <v>0</v>
      </c>
      <c r="I193" s="2">
        <v>910</v>
      </c>
      <c r="J193" s="2">
        <v>0</v>
      </c>
      <c r="K193" s="2">
        <v>1250</v>
      </c>
      <c r="L193" s="2">
        <v>19012</v>
      </c>
      <c r="M193" s="2">
        <v>3942</v>
      </c>
      <c r="N193" s="2">
        <v>1172</v>
      </c>
      <c r="O193" s="2">
        <v>0</v>
      </c>
      <c r="P193" s="2">
        <v>517</v>
      </c>
      <c r="Q193" s="3">
        <f t="shared" si="4"/>
        <v>34487</v>
      </c>
      <c r="R193" s="3">
        <v>10375</v>
      </c>
      <c r="S193" s="3">
        <v>10707</v>
      </c>
      <c r="T193" s="5">
        <f t="shared" si="5"/>
        <v>13405</v>
      </c>
    </row>
    <row r="194" spans="1:20" ht="18.75" customHeight="1">
      <c r="A194" s="7" t="s">
        <v>21</v>
      </c>
      <c r="B194" s="10">
        <v>45484</v>
      </c>
      <c r="C194" s="2">
        <v>1160</v>
      </c>
      <c r="D194" s="2">
        <v>1400</v>
      </c>
      <c r="E194" s="2">
        <v>0</v>
      </c>
      <c r="F194" s="2">
        <v>2435</v>
      </c>
      <c r="G194" s="2">
        <v>2225</v>
      </c>
      <c r="H194" s="2">
        <v>0</v>
      </c>
      <c r="I194" s="2">
        <v>1175</v>
      </c>
      <c r="J194" s="2">
        <v>0</v>
      </c>
      <c r="K194" s="2">
        <v>1860</v>
      </c>
      <c r="L194" s="2">
        <v>14270</v>
      </c>
      <c r="M194" s="2">
        <v>5785</v>
      </c>
      <c r="N194" s="2">
        <v>668</v>
      </c>
      <c r="O194" s="2">
        <v>510</v>
      </c>
      <c r="P194" s="2">
        <v>411</v>
      </c>
      <c r="Q194" s="3">
        <f t="shared" si="4"/>
        <v>31899</v>
      </c>
      <c r="R194" s="3">
        <v>9160</v>
      </c>
      <c r="S194" s="3">
        <v>19966</v>
      </c>
      <c r="T194" s="5">
        <f t="shared" si="5"/>
        <v>2773</v>
      </c>
    </row>
    <row r="195" spans="1:20" ht="18.75" customHeight="1">
      <c r="A195" s="7" t="s">
        <v>22</v>
      </c>
      <c r="B195" s="10">
        <v>45485</v>
      </c>
      <c r="C195" s="2">
        <v>3110</v>
      </c>
      <c r="D195" s="2">
        <v>1945</v>
      </c>
      <c r="E195" s="2">
        <v>0</v>
      </c>
      <c r="F195" s="2">
        <v>4710</v>
      </c>
      <c r="G195" s="2">
        <v>1537</v>
      </c>
      <c r="H195" s="2">
        <v>0</v>
      </c>
      <c r="I195" s="2">
        <v>1205</v>
      </c>
      <c r="J195" s="2">
        <v>0</v>
      </c>
      <c r="K195" s="2">
        <v>1980</v>
      </c>
      <c r="L195" s="2">
        <v>11389</v>
      </c>
      <c r="M195" s="2">
        <v>6080</v>
      </c>
      <c r="N195" s="2">
        <v>1011</v>
      </c>
      <c r="O195" s="2">
        <v>0</v>
      </c>
      <c r="P195" s="2">
        <v>800</v>
      </c>
      <c r="Q195" s="3">
        <f t="shared" ref="Q195:Q258" si="6">SUM(C195:P195)</f>
        <v>33767</v>
      </c>
      <c r="R195" s="3">
        <v>10390</v>
      </c>
      <c r="S195" s="3">
        <v>16112</v>
      </c>
      <c r="T195" s="5">
        <f t="shared" ref="T195:T258" si="7">Q195-R195-S195</f>
        <v>7265</v>
      </c>
    </row>
    <row r="196" spans="1:20" ht="18.75" customHeight="1">
      <c r="A196" s="7" t="s">
        <v>23</v>
      </c>
      <c r="B196" s="10">
        <v>45486</v>
      </c>
      <c r="C196" s="2">
        <v>2380</v>
      </c>
      <c r="D196" s="2">
        <v>2339</v>
      </c>
      <c r="E196" s="2">
        <v>750</v>
      </c>
      <c r="F196" s="2">
        <v>4035</v>
      </c>
      <c r="G196" s="2">
        <v>2192.5</v>
      </c>
      <c r="H196" s="2">
        <v>0</v>
      </c>
      <c r="I196" s="2">
        <v>964</v>
      </c>
      <c r="J196" s="2">
        <v>0</v>
      </c>
      <c r="K196" s="2">
        <v>1775</v>
      </c>
      <c r="L196" s="2">
        <v>17556</v>
      </c>
      <c r="M196" s="2">
        <v>11257</v>
      </c>
      <c r="N196" s="2">
        <v>439</v>
      </c>
      <c r="O196" s="2">
        <v>336</v>
      </c>
      <c r="P196" s="2">
        <v>1220</v>
      </c>
      <c r="Q196" s="3">
        <f t="shared" si="6"/>
        <v>45243.5</v>
      </c>
      <c r="R196" s="3">
        <v>11815</v>
      </c>
      <c r="S196" s="3">
        <v>26091</v>
      </c>
      <c r="T196" s="5">
        <f t="shared" si="7"/>
        <v>7337.5</v>
      </c>
    </row>
    <row r="197" spans="1:20" ht="18.75" customHeight="1">
      <c r="A197" s="7" t="s">
        <v>17</v>
      </c>
      <c r="B197" s="10">
        <v>45487</v>
      </c>
      <c r="C197" s="2">
        <v>2450</v>
      </c>
      <c r="D197" s="2">
        <v>1290</v>
      </c>
      <c r="E197" s="2">
        <v>0</v>
      </c>
      <c r="F197" s="2">
        <v>3335</v>
      </c>
      <c r="G197" s="2">
        <v>3303</v>
      </c>
      <c r="H197" s="2">
        <v>0</v>
      </c>
      <c r="I197" s="2">
        <v>785</v>
      </c>
      <c r="J197" s="2">
        <v>0</v>
      </c>
      <c r="K197" s="2">
        <v>1425</v>
      </c>
      <c r="L197" s="2">
        <v>23542</v>
      </c>
      <c r="M197" s="2">
        <v>17754</v>
      </c>
      <c r="N197" s="2">
        <v>1054</v>
      </c>
      <c r="O197" s="2">
        <v>0</v>
      </c>
      <c r="P197" s="2">
        <v>406</v>
      </c>
      <c r="Q197" s="3">
        <f t="shared" si="6"/>
        <v>55344</v>
      </c>
      <c r="R197" s="3">
        <v>14767</v>
      </c>
      <c r="S197" s="3">
        <v>23610</v>
      </c>
      <c r="T197" s="5">
        <f t="shared" si="7"/>
        <v>16967</v>
      </c>
    </row>
    <row r="198" spans="1:20" ht="18.75" customHeight="1">
      <c r="A198" s="7" t="s">
        <v>18</v>
      </c>
      <c r="B198" s="10">
        <v>45488</v>
      </c>
      <c r="C198" s="2">
        <v>1595</v>
      </c>
      <c r="D198" s="2">
        <v>1140</v>
      </c>
      <c r="E198" s="2">
        <v>895</v>
      </c>
      <c r="F198" s="2">
        <v>3890</v>
      </c>
      <c r="G198" s="2">
        <v>1849</v>
      </c>
      <c r="H198" s="2">
        <v>0</v>
      </c>
      <c r="I198" s="2">
        <v>1340</v>
      </c>
      <c r="J198" s="2">
        <v>0</v>
      </c>
      <c r="K198" s="2">
        <v>1145</v>
      </c>
      <c r="L198" s="2">
        <v>13099</v>
      </c>
      <c r="M198" s="2">
        <v>10524</v>
      </c>
      <c r="N198" s="2">
        <v>1011</v>
      </c>
      <c r="O198" s="2">
        <v>352</v>
      </c>
      <c r="P198" s="2">
        <v>215</v>
      </c>
      <c r="Q198" s="3">
        <f t="shared" si="6"/>
        <v>37055</v>
      </c>
      <c r="R198" s="3">
        <v>13310</v>
      </c>
      <c r="S198" s="3">
        <v>18155</v>
      </c>
      <c r="T198" s="5">
        <f t="shared" si="7"/>
        <v>5590</v>
      </c>
    </row>
    <row r="199" spans="1:20" ht="18.75" customHeight="1">
      <c r="A199" s="7" t="s">
        <v>19</v>
      </c>
      <c r="B199" s="10">
        <v>45489</v>
      </c>
      <c r="C199" s="2">
        <v>2225</v>
      </c>
      <c r="D199" s="2">
        <v>2000</v>
      </c>
      <c r="E199" s="2">
        <v>870</v>
      </c>
      <c r="F199" s="2">
        <v>4750</v>
      </c>
      <c r="G199" s="2">
        <v>2723</v>
      </c>
      <c r="H199" s="2">
        <v>0</v>
      </c>
      <c r="I199" s="2">
        <v>1065</v>
      </c>
      <c r="J199" s="2">
        <v>0</v>
      </c>
      <c r="K199" s="2">
        <v>1800</v>
      </c>
      <c r="L199" s="2">
        <v>18255</v>
      </c>
      <c r="M199" s="2">
        <v>6711</v>
      </c>
      <c r="N199" s="2">
        <v>1375</v>
      </c>
      <c r="O199" s="2">
        <v>528</v>
      </c>
      <c r="P199" s="2">
        <v>1050</v>
      </c>
      <c r="Q199" s="3">
        <f t="shared" si="6"/>
        <v>43352</v>
      </c>
      <c r="R199" s="3">
        <v>14214</v>
      </c>
      <c r="S199" s="3">
        <v>14630</v>
      </c>
      <c r="T199" s="5">
        <f t="shared" si="7"/>
        <v>14508</v>
      </c>
    </row>
    <row r="200" spans="1:20" ht="18.75" customHeight="1">
      <c r="A200" s="7" t="s">
        <v>20</v>
      </c>
      <c r="B200" s="10">
        <v>45490</v>
      </c>
      <c r="C200" s="2">
        <v>2710</v>
      </c>
      <c r="D200" s="2">
        <v>2830</v>
      </c>
      <c r="E200" s="2">
        <v>1380</v>
      </c>
      <c r="F200" s="2">
        <v>4791</v>
      </c>
      <c r="G200" s="2">
        <v>2508</v>
      </c>
      <c r="H200" s="2">
        <v>0</v>
      </c>
      <c r="I200" s="2">
        <v>1165</v>
      </c>
      <c r="J200" s="2">
        <v>0</v>
      </c>
      <c r="K200" s="2">
        <v>1716</v>
      </c>
      <c r="L200" s="2">
        <v>18425</v>
      </c>
      <c r="M200" s="2">
        <v>9800</v>
      </c>
      <c r="N200" s="2">
        <v>661</v>
      </c>
      <c r="O200" s="2">
        <v>282</v>
      </c>
      <c r="P200" s="2">
        <v>789</v>
      </c>
      <c r="Q200" s="3">
        <f t="shared" si="6"/>
        <v>47057</v>
      </c>
      <c r="R200" s="3">
        <v>10860</v>
      </c>
      <c r="S200" s="3">
        <v>26463</v>
      </c>
      <c r="T200" s="5">
        <f t="shared" si="7"/>
        <v>9734</v>
      </c>
    </row>
    <row r="201" spans="1:20" ht="18.75" customHeight="1">
      <c r="A201" s="7" t="s">
        <v>21</v>
      </c>
      <c r="B201" s="10">
        <v>45491</v>
      </c>
      <c r="C201" s="2">
        <v>2025</v>
      </c>
      <c r="D201" s="2">
        <v>2250</v>
      </c>
      <c r="E201" s="2">
        <v>0</v>
      </c>
      <c r="F201" s="2">
        <v>6595</v>
      </c>
      <c r="G201" s="2">
        <v>3553</v>
      </c>
      <c r="H201" s="2">
        <v>0</v>
      </c>
      <c r="I201" s="2">
        <v>1055</v>
      </c>
      <c r="J201" s="2">
        <v>0</v>
      </c>
      <c r="K201" s="2">
        <v>1575</v>
      </c>
      <c r="L201" s="2">
        <v>14580</v>
      </c>
      <c r="M201" s="2">
        <v>9805</v>
      </c>
      <c r="N201" s="2">
        <v>1529</v>
      </c>
      <c r="O201" s="2">
        <v>155</v>
      </c>
      <c r="P201" s="2">
        <v>601</v>
      </c>
      <c r="Q201" s="3">
        <f t="shared" si="6"/>
        <v>43723</v>
      </c>
      <c r="R201" s="3">
        <v>9645</v>
      </c>
      <c r="S201" s="3">
        <v>23839</v>
      </c>
      <c r="T201" s="5">
        <f t="shared" si="7"/>
        <v>10239</v>
      </c>
    </row>
    <row r="202" spans="1:20" ht="18.75" customHeight="1">
      <c r="A202" s="7" t="s">
        <v>22</v>
      </c>
      <c r="B202" s="10">
        <v>45492</v>
      </c>
      <c r="C202" s="2">
        <v>1780</v>
      </c>
      <c r="D202" s="2">
        <v>1455</v>
      </c>
      <c r="E202" s="2">
        <v>685</v>
      </c>
      <c r="F202" s="2">
        <v>5180</v>
      </c>
      <c r="G202" s="2">
        <v>2369.5</v>
      </c>
      <c r="H202" s="2">
        <v>1410</v>
      </c>
      <c r="I202" s="2">
        <v>840</v>
      </c>
      <c r="J202" s="2">
        <v>0</v>
      </c>
      <c r="K202" s="2">
        <v>3060</v>
      </c>
      <c r="L202" s="2">
        <v>17315</v>
      </c>
      <c r="M202" s="2">
        <v>7407</v>
      </c>
      <c r="N202" s="2">
        <v>1414</v>
      </c>
      <c r="O202" s="2">
        <v>126</v>
      </c>
      <c r="P202" s="2">
        <v>1062</v>
      </c>
      <c r="Q202" s="3">
        <f t="shared" si="6"/>
        <v>44103.5</v>
      </c>
      <c r="R202" s="3">
        <v>11490</v>
      </c>
      <c r="S202" s="3">
        <v>31841</v>
      </c>
      <c r="T202" s="5">
        <f t="shared" si="7"/>
        <v>772.5</v>
      </c>
    </row>
    <row r="203" spans="1:20" ht="18.600000000000001" customHeight="1">
      <c r="A203" s="7" t="s">
        <v>23</v>
      </c>
      <c r="B203" s="10">
        <v>45493</v>
      </c>
      <c r="C203" s="2">
        <v>2810</v>
      </c>
      <c r="D203" s="2">
        <v>2495</v>
      </c>
      <c r="E203" s="2">
        <v>800</v>
      </c>
      <c r="F203" s="2">
        <v>3625</v>
      </c>
      <c r="G203" s="2">
        <v>2883</v>
      </c>
      <c r="H203" s="2">
        <v>1805</v>
      </c>
      <c r="I203" s="2">
        <v>1225</v>
      </c>
      <c r="J203" s="2">
        <v>0</v>
      </c>
      <c r="K203" s="2">
        <v>1385</v>
      </c>
      <c r="L203" s="2">
        <v>27908</v>
      </c>
      <c r="M203" s="2">
        <v>17720</v>
      </c>
      <c r="N203" s="2">
        <v>912</v>
      </c>
      <c r="O203" s="2">
        <v>1032</v>
      </c>
      <c r="P203" s="2">
        <v>225</v>
      </c>
      <c r="Q203" s="3">
        <f t="shared" si="6"/>
        <v>64825</v>
      </c>
      <c r="R203" s="3">
        <v>14220</v>
      </c>
      <c r="S203" s="3">
        <v>28703</v>
      </c>
      <c r="T203" s="5">
        <f t="shared" si="7"/>
        <v>21902</v>
      </c>
    </row>
    <row r="204" spans="1:20" ht="18.75" customHeight="1">
      <c r="A204" s="7" t="s">
        <v>17</v>
      </c>
      <c r="B204" s="10">
        <v>45494</v>
      </c>
      <c r="C204" s="2">
        <v>1585</v>
      </c>
      <c r="D204" s="2">
        <v>1995</v>
      </c>
      <c r="E204" s="2">
        <v>0</v>
      </c>
      <c r="F204" s="2">
        <v>4410</v>
      </c>
      <c r="G204" s="2">
        <v>2895</v>
      </c>
      <c r="H204" s="2">
        <v>3360</v>
      </c>
      <c r="I204" s="2">
        <v>905</v>
      </c>
      <c r="J204" s="2">
        <v>0</v>
      </c>
      <c r="K204" s="2">
        <v>1755</v>
      </c>
      <c r="L204" s="2">
        <v>25520</v>
      </c>
      <c r="M204" s="2">
        <v>24841</v>
      </c>
      <c r="N204" s="2">
        <v>573</v>
      </c>
      <c r="O204" s="2">
        <v>765</v>
      </c>
      <c r="P204" s="2">
        <v>622</v>
      </c>
      <c r="Q204" s="3">
        <f t="shared" si="6"/>
        <v>69226</v>
      </c>
      <c r="R204" s="3">
        <v>17300</v>
      </c>
      <c r="S204" s="3">
        <v>32422</v>
      </c>
      <c r="T204" s="5">
        <f t="shared" si="7"/>
        <v>19504</v>
      </c>
    </row>
    <row r="205" spans="1:20" ht="18.75" customHeight="1">
      <c r="A205" s="7" t="s">
        <v>18</v>
      </c>
      <c r="B205" s="10">
        <v>45495</v>
      </c>
      <c r="C205" s="2">
        <v>2785</v>
      </c>
      <c r="D205" s="2">
        <v>1840</v>
      </c>
      <c r="E205" s="2">
        <v>465</v>
      </c>
      <c r="F205" s="2">
        <v>4385</v>
      </c>
      <c r="G205" s="2">
        <v>2110</v>
      </c>
      <c r="H205" s="2">
        <v>1690</v>
      </c>
      <c r="I205" s="2">
        <v>725</v>
      </c>
      <c r="J205" s="2">
        <v>0</v>
      </c>
      <c r="K205" s="2">
        <v>1510</v>
      </c>
      <c r="L205" s="2">
        <v>21038</v>
      </c>
      <c r="M205" s="2">
        <v>6133</v>
      </c>
      <c r="N205" s="2">
        <v>1062</v>
      </c>
      <c r="O205" s="2">
        <v>184</v>
      </c>
      <c r="P205" s="2">
        <v>716</v>
      </c>
      <c r="Q205" s="3">
        <f t="shared" si="6"/>
        <v>44643</v>
      </c>
      <c r="R205" s="3">
        <v>14905</v>
      </c>
      <c r="S205" s="3">
        <v>23890</v>
      </c>
      <c r="T205" s="5">
        <f t="shared" si="7"/>
        <v>5848</v>
      </c>
    </row>
    <row r="206" spans="1:20" ht="18.75" customHeight="1">
      <c r="A206" s="7" t="s">
        <v>19</v>
      </c>
      <c r="B206" s="10">
        <v>45496</v>
      </c>
      <c r="C206" s="2">
        <v>2335</v>
      </c>
      <c r="D206" s="2">
        <v>2445</v>
      </c>
      <c r="E206" s="2">
        <v>660</v>
      </c>
      <c r="F206" s="2">
        <v>3420</v>
      </c>
      <c r="G206" s="2">
        <v>3562</v>
      </c>
      <c r="H206" s="2">
        <v>1755</v>
      </c>
      <c r="I206" s="2">
        <v>725</v>
      </c>
      <c r="J206" s="2">
        <v>0</v>
      </c>
      <c r="K206" s="2">
        <v>1550</v>
      </c>
      <c r="L206" s="2">
        <v>16482</v>
      </c>
      <c r="M206" s="2">
        <v>7767</v>
      </c>
      <c r="N206" s="2">
        <v>1474</v>
      </c>
      <c r="O206" s="2">
        <v>366</v>
      </c>
      <c r="P206" s="2">
        <v>910</v>
      </c>
      <c r="Q206" s="3">
        <f t="shared" si="6"/>
        <v>43451</v>
      </c>
      <c r="R206" s="3">
        <v>12902</v>
      </c>
      <c r="S206" s="3">
        <v>34815</v>
      </c>
      <c r="T206" s="5">
        <f t="shared" si="7"/>
        <v>-4266</v>
      </c>
    </row>
    <row r="207" spans="1:20" ht="18.75" customHeight="1">
      <c r="A207" s="7" t="s">
        <v>20</v>
      </c>
      <c r="B207" s="10">
        <v>45497</v>
      </c>
      <c r="C207" s="2">
        <v>2770</v>
      </c>
      <c r="D207" s="2">
        <v>1200</v>
      </c>
      <c r="E207" s="2">
        <v>335</v>
      </c>
      <c r="F207" s="2">
        <v>5275</v>
      </c>
      <c r="G207" s="2">
        <v>1826</v>
      </c>
      <c r="H207" s="2">
        <v>1235</v>
      </c>
      <c r="I207" s="2">
        <v>260</v>
      </c>
      <c r="J207" s="2">
        <v>0</v>
      </c>
      <c r="K207" s="2">
        <v>1196</v>
      </c>
      <c r="L207" s="2">
        <v>18426</v>
      </c>
      <c r="M207" s="2">
        <v>9254</v>
      </c>
      <c r="N207" s="2">
        <v>1808</v>
      </c>
      <c r="O207" s="2">
        <v>156</v>
      </c>
      <c r="P207" s="2">
        <v>190</v>
      </c>
      <c r="Q207" s="3">
        <f t="shared" si="6"/>
        <v>43931</v>
      </c>
      <c r="R207" s="3">
        <v>12790</v>
      </c>
      <c r="S207" s="3">
        <v>18666</v>
      </c>
      <c r="T207" s="5">
        <f t="shared" si="7"/>
        <v>12475</v>
      </c>
    </row>
    <row r="208" spans="1:20" ht="18.75" customHeight="1">
      <c r="A208" s="7" t="s">
        <v>21</v>
      </c>
      <c r="B208" s="10">
        <v>45498</v>
      </c>
      <c r="C208" s="2">
        <v>2570</v>
      </c>
      <c r="D208" s="2">
        <v>1410</v>
      </c>
      <c r="E208" s="2">
        <v>1020</v>
      </c>
      <c r="F208" s="2">
        <v>2870</v>
      </c>
      <c r="G208" s="2">
        <v>1690</v>
      </c>
      <c r="H208" s="2">
        <v>2186</v>
      </c>
      <c r="I208" s="2">
        <v>1650</v>
      </c>
      <c r="J208" s="2">
        <v>0</v>
      </c>
      <c r="K208" s="2">
        <v>815</v>
      </c>
      <c r="L208" s="2">
        <v>17801</v>
      </c>
      <c r="M208" s="2">
        <v>10473</v>
      </c>
      <c r="N208" s="2">
        <v>1126</v>
      </c>
      <c r="O208" s="2">
        <v>0</v>
      </c>
      <c r="P208" s="2">
        <v>344</v>
      </c>
      <c r="Q208" s="3">
        <f t="shared" si="6"/>
        <v>43955</v>
      </c>
      <c r="R208" s="3">
        <v>10828</v>
      </c>
      <c r="S208" s="3">
        <v>27045</v>
      </c>
      <c r="T208" s="5">
        <f t="shared" si="7"/>
        <v>6082</v>
      </c>
    </row>
    <row r="209" spans="1:20" ht="18.75" customHeight="1">
      <c r="A209" s="7" t="s">
        <v>22</v>
      </c>
      <c r="B209" s="10">
        <v>45499</v>
      </c>
      <c r="C209" s="2">
        <v>1845</v>
      </c>
      <c r="D209" s="2">
        <v>1660</v>
      </c>
      <c r="E209" s="2">
        <v>485</v>
      </c>
      <c r="F209" s="2">
        <v>5445</v>
      </c>
      <c r="G209" s="2">
        <v>2840</v>
      </c>
      <c r="H209" s="2">
        <v>2422</v>
      </c>
      <c r="I209" s="2">
        <v>1635</v>
      </c>
      <c r="J209" s="2">
        <v>0</v>
      </c>
      <c r="K209" s="2">
        <v>2350</v>
      </c>
      <c r="L209" s="2">
        <v>19905</v>
      </c>
      <c r="M209" s="2">
        <v>13251</v>
      </c>
      <c r="N209" s="2">
        <v>605</v>
      </c>
      <c r="O209" s="2">
        <v>0</v>
      </c>
      <c r="P209" s="2">
        <v>594</v>
      </c>
      <c r="Q209" s="3">
        <f t="shared" si="6"/>
        <v>53037</v>
      </c>
      <c r="R209" s="3">
        <v>12783</v>
      </c>
      <c r="S209" s="3">
        <v>27240</v>
      </c>
      <c r="T209" s="5">
        <f t="shared" si="7"/>
        <v>13014</v>
      </c>
    </row>
    <row r="210" spans="1:20" ht="18.75" customHeight="1">
      <c r="A210" s="7" t="s">
        <v>23</v>
      </c>
      <c r="B210" s="10">
        <v>45500</v>
      </c>
      <c r="C210" s="2">
        <v>1905</v>
      </c>
      <c r="D210" s="2">
        <v>1495</v>
      </c>
      <c r="E210" s="2">
        <v>385</v>
      </c>
      <c r="F210" s="2">
        <v>2710</v>
      </c>
      <c r="G210" s="2">
        <v>2559.5</v>
      </c>
      <c r="H210" s="2">
        <v>3115</v>
      </c>
      <c r="I210" s="2">
        <v>1340</v>
      </c>
      <c r="J210" s="2">
        <v>0</v>
      </c>
      <c r="K210" s="2">
        <v>1420</v>
      </c>
      <c r="L210" s="2">
        <v>19537</v>
      </c>
      <c r="M210" s="2">
        <v>17619</v>
      </c>
      <c r="N210" s="2">
        <v>1322</v>
      </c>
      <c r="O210" s="2">
        <v>1186</v>
      </c>
      <c r="P210" s="2">
        <v>1287</v>
      </c>
      <c r="Q210" s="3">
        <f t="shared" si="6"/>
        <v>55880.5</v>
      </c>
      <c r="R210" s="3">
        <v>12545</v>
      </c>
      <c r="S210" s="3">
        <v>24866</v>
      </c>
      <c r="T210" s="5">
        <f t="shared" si="7"/>
        <v>18469.5</v>
      </c>
    </row>
    <row r="211" spans="1:20" ht="18.75" customHeight="1">
      <c r="A211" s="7" t="s">
        <v>17</v>
      </c>
      <c r="B211" s="10">
        <v>45501</v>
      </c>
      <c r="C211" s="2">
        <v>2640</v>
      </c>
      <c r="D211" s="2">
        <v>665</v>
      </c>
      <c r="E211" s="2">
        <v>0</v>
      </c>
      <c r="F211" s="2">
        <v>3705</v>
      </c>
      <c r="G211" s="2">
        <v>2680</v>
      </c>
      <c r="H211" s="2">
        <v>3420</v>
      </c>
      <c r="I211" s="2">
        <v>860</v>
      </c>
      <c r="J211" s="2">
        <v>0</v>
      </c>
      <c r="K211" s="2">
        <v>1530</v>
      </c>
      <c r="L211" s="2">
        <v>27469</v>
      </c>
      <c r="M211" s="2">
        <v>18978</v>
      </c>
      <c r="N211" s="2">
        <v>1619</v>
      </c>
      <c r="O211" s="2">
        <v>428</v>
      </c>
      <c r="P211" s="2">
        <v>544</v>
      </c>
      <c r="Q211" s="3">
        <f t="shared" si="6"/>
        <v>64538</v>
      </c>
      <c r="R211" s="3">
        <v>15895</v>
      </c>
      <c r="S211" s="3">
        <v>20904</v>
      </c>
      <c r="T211" s="5">
        <f t="shared" si="7"/>
        <v>27739</v>
      </c>
    </row>
    <row r="212" spans="1:20" ht="18.75" customHeight="1">
      <c r="A212" s="7" t="s">
        <v>18</v>
      </c>
      <c r="B212" s="10">
        <v>45502</v>
      </c>
      <c r="C212" s="2">
        <v>1885</v>
      </c>
      <c r="D212" s="2">
        <v>1240</v>
      </c>
      <c r="E212" s="2">
        <v>395</v>
      </c>
      <c r="F212" s="2">
        <v>4975</v>
      </c>
      <c r="G212" s="2">
        <v>1709</v>
      </c>
      <c r="H212" s="2">
        <v>1456</v>
      </c>
      <c r="I212" s="2">
        <v>1145</v>
      </c>
      <c r="J212" s="2">
        <v>0</v>
      </c>
      <c r="K212" s="2">
        <v>1510</v>
      </c>
      <c r="L212" s="2">
        <v>18915</v>
      </c>
      <c r="M212" s="2">
        <v>12578</v>
      </c>
      <c r="N212" s="2">
        <v>718</v>
      </c>
      <c r="O212" s="2">
        <v>327</v>
      </c>
      <c r="P212" s="2">
        <v>78</v>
      </c>
      <c r="Q212" s="3">
        <f t="shared" si="6"/>
        <v>46931</v>
      </c>
      <c r="R212" s="3">
        <v>9995</v>
      </c>
      <c r="S212" s="3">
        <v>27271</v>
      </c>
      <c r="T212" s="5">
        <f t="shared" si="7"/>
        <v>9665</v>
      </c>
    </row>
    <row r="213" spans="1:20" ht="18.75" customHeight="1">
      <c r="A213" s="7" t="s">
        <v>19</v>
      </c>
      <c r="B213" s="10">
        <v>45503</v>
      </c>
      <c r="C213" s="2">
        <v>1740</v>
      </c>
      <c r="D213" s="2">
        <v>1635</v>
      </c>
      <c r="E213" s="2">
        <v>280</v>
      </c>
      <c r="F213" s="2">
        <v>3795</v>
      </c>
      <c r="G213" s="2">
        <v>1530</v>
      </c>
      <c r="H213" s="2">
        <v>2805</v>
      </c>
      <c r="I213" s="2">
        <v>945</v>
      </c>
      <c r="J213" s="2">
        <v>0</v>
      </c>
      <c r="K213" s="2">
        <v>1403</v>
      </c>
      <c r="L213" s="2">
        <v>19937</v>
      </c>
      <c r="M213" s="2">
        <v>4812</v>
      </c>
      <c r="N213" s="2">
        <v>1341</v>
      </c>
      <c r="O213" s="2">
        <v>235</v>
      </c>
      <c r="P213" s="2">
        <v>0</v>
      </c>
      <c r="Q213" s="3">
        <f t="shared" si="6"/>
        <v>40458</v>
      </c>
      <c r="R213" s="3">
        <v>10093</v>
      </c>
      <c r="S213" s="3">
        <v>25500</v>
      </c>
      <c r="T213" s="5">
        <f t="shared" si="7"/>
        <v>4865</v>
      </c>
    </row>
    <row r="214" spans="1:20" ht="18.75" customHeight="1">
      <c r="A214" s="7" t="s">
        <v>20</v>
      </c>
      <c r="B214" s="10">
        <v>45504</v>
      </c>
      <c r="C214" s="2">
        <v>1670</v>
      </c>
      <c r="D214" s="2">
        <v>1365</v>
      </c>
      <c r="E214" s="2">
        <v>0</v>
      </c>
      <c r="F214" s="2">
        <v>3280</v>
      </c>
      <c r="G214" s="2">
        <v>2107</v>
      </c>
      <c r="H214" s="2">
        <v>1579</v>
      </c>
      <c r="I214" s="2">
        <v>550</v>
      </c>
      <c r="J214" s="2">
        <v>0</v>
      </c>
      <c r="K214" s="2">
        <v>941</v>
      </c>
      <c r="L214" s="2">
        <v>15190</v>
      </c>
      <c r="M214" s="2">
        <v>12686</v>
      </c>
      <c r="N214" s="2">
        <v>2076</v>
      </c>
      <c r="O214" s="2">
        <v>389</v>
      </c>
      <c r="P214" s="2">
        <v>1044</v>
      </c>
      <c r="Q214" s="3">
        <f t="shared" si="6"/>
        <v>42877</v>
      </c>
      <c r="R214" s="3">
        <v>14505</v>
      </c>
      <c r="S214" s="3">
        <v>14014</v>
      </c>
      <c r="T214" s="5">
        <f t="shared" si="7"/>
        <v>14358</v>
      </c>
    </row>
    <row r="215" spans="1:20" ht="18.75" customHeight="1">
      <c r="A215" s="7" t="s">
        <v>21</v>
      </c>
      <c r="B215" s="10">
        <v>45505</v>
      </c>
      <c r="C215" s="2">
        <v>1755</v>
      </c>
      <c r="D215" s="2">
        <v>1965</v>
      </c>
      <c r="E215" s="2">
        <v>285</v>
      </c>
      <c r="F215" s="2">
        <v>5910</v>
      </c>
      <c r="G215" s="2">
        <v>2460</v>
      </c>
      <c r="H215" s="2">
        <v>920</v>
      </c>
      <c r="I215" s="2">
        <v>1678</v>
      </c>
      <c r="J215" s="2">
        <v>1270</v>
      </c>
      <c r="K215" s="2">
        <v>0</v>
      </c>
      <c r="L215" s="2">
        <v>17218</v>
      </c>
      <c r="M215" s="2">
        <v>15903</v>
      </c>
      <c r="N215" s="2">
        <v>904</v>
      </c>
      <c r="O215" s="2">
        <v>497</v>
      </c>
      <c r="P215" s="2">
        <v>1101</v>
      </c>
      <c r="Q215" s="3">
        <f t="shared" si="6"/>
        <v>51866</v>
      </c>
      <c r="R215" s="3">
        <v>11860</v>
      </c>
      <c r="S215" s="3">
        <v>30803</v>
      </c>
      <c r="T215" s="5">
        <f t="shared" si="7"/>
        <v>9203</v>
      </c>
    </row>
    <row r="216" spans="1:20" ht="18.75" customHeight="1">
      <c r="A216" s="7" t="s">
        <v>22</v>
      </c>
      <c r="B216" s="10">
        <v>45506</v>
      </c>
      <c r="C216" s="2">
        <v>1945</v>
      </c>
      <c r="D216" s="2">
        <v>2359</v>
      </c>
      <c r="E216" s="2">
        <v>795</v>
      </c>
      <c r="F216" s="2">
        <v>3610</v>
      </c>
      <c r="G216" s="2">
        <v>2012</v>
      </c>
      <c r="H216" s="2">
        <v>1020</v>
      </c>
      <c r="I216" s="2">
        <v>2095</v>
      </c>
      <c r="J216" s="2">
        <v>2005</v>
      </c>
      <c r="K216" s="2">
        <v>0</v>
      </c>
      <c r="L216" s="2">
        <v>20807</v>
      </c>
      <c r="M216" s="2">
        <v>12790</v>
      </c>
      <c r="N216" s="2">
        <v>301</v>
      </c>
      <c r="O216" s="2">
        <v>0</v>
      </c>
      <c r="P216" s="2">
        <v>0</v>
      </c>
      <c r="Q216" s="3">
        <f t="shared" si="6"/>
        <v>49739</v>
      </c>
      <c r="R216" s="3">
        <v>13867</v>
      </c>
      <c r="S216" s="3">
        <v>23898</v>
      </c>
      <c r="T216" s="5">
        <f t="shared" si="7"/>
        <v>11974</v>
      </c>
    </row>
    <row r="217" spans="1:20" ht="18.75" customHeight="1">
      <c r="A217" s="7" t="s">
        <v>23</v>
      </c>
      <c r="B217" s="10">
        <v>45507</v>
      </c>
      <c r="C217" s="2">
        <v>3440</v>
      </c>
      <c r="D217" s="2">
        <v>2490</v>
      </c>
      <c r="E217" s="2">
        <v>0</v>
      </c>
      <c r="F217" s="2">
        <v>2730</v>
      </c>
      <c r="G217" s="2">
        <v>1800</v>
      </c>
      <c r="H217" s="2">
        <v>870</v>
      </c>
      <c r="I217" s="2">
        <v>1420</v>
      </c>
      <c r="J217" s="2">
        <v>3045</v>
      </c>
      <c r="K217" s="2">
        <v>0</v>
      </c>
      <c r="L217" s="2">
        <v>29369</v>
      </c>
      <c r="M217" s="2">
        <v>12390</v>
      </c>
      <c r="N217" s="2">
        <v>591</v>
      </c>
      <c r="O217" s="2">
        <v>336</v>
      </c>
      <c r="P217" s="2">
        <v>175</v>
      </c>
      <c r="Q217" s="3">
        <f t="shared" si="6"/>
        <v>58656</v>
      </c>
      <c r="R217" s="3">
        <v>12288</v>
      </c>
      <c r="S217" s="3">
        <v>44843</v>
      </c>
      <c r="T217" s="5">
        <f t="shared" si="7"/>
        <v>1525</v>
      </c>
    </row>
    <row r="218" spans="1:20" ht="18.75" customHeight="1">
      <c r="A218" s="7" t="s">
        <v>17</v>
      </c>
      <c r="B218" s="10">
        <v>45508</v>
      </c>
      <c r="C218" s="2">
        <v>2780</v>
      </c>
      <c r="D218" s="2">
        <v>2195</v>
      </c>
      <c r="E218" s="2">
        <v>0</v>
      </c>
      <c r="F218" s="2">
        <v>6110</v>
      </c>
      <c r="G218" s="2">
        <v>2004</v>
      </c>
      <c r="H218" s="2">
        <v>360</v>
      </c>
      <c r="I218" s="2">
        <v>1540</v>
      </c>
      <c r="J218" s="2">
        <v>4140</v>
      </c>
      <c r="K218" s="2">
        <v>0</v>
      </c>
      <c r="L218" s="2">
        <v>27445</v>
      </c>
      <c r="M218" s="2">
        <v>17232</v>
      </c>
      <c r="N218" s="2">
        <v>831</v>
      </c>
      <c r="O218" s="2">
        <v>191</v>
      </c>
      <c r="P218" s="2">
        <v>1613</v>
      </c>
      <c r="Q218" s="3">
        <f t="shared" si="6"/>
        <v>66441</v>
      </c>
      <c r="R218" s="3">
        <v>16658</v>
      </c>
      <c r="S218" s="3">
        <v>31267</v>
      </c>
      <c r="T218" s="5">
        <f t="shared" si="7"/>
        <v>18516</v>
      </c>
    </row>
    <row r="219" spans="1:20" ht="18.75" customHeight="1">
      <c r="A219" s="7" t="s">
        <v>18</v>
      </c>
      <c r="B219" s="10">
        <v>45509</v>
      </c>
      <c r="C219" s="2">
        <v>2285</v>
      </c>
      <c r="D219" s="2">
        <v>1635</v>
      </c>
      <c r="E219" s="2">
        <v>0</v>
      </c>
      <c r="F219" s="2">
        <v>5280</v>
      </c>
      <c r="G219" s="2">
        <v>1902</v>
      </c>
      <c r="H219" s="2">
        <v>1455</v>
      </c>
      <c r="I219" s="2">
        <v>2742</v>
      </c>
      <c r="J219" s="2">
        <v>2355</v>
      </c>
      <c r="K219" s="2">
        <v>0</v>
      </c>
      <c r="L219" s="2">
        <v>15068</v>
      </c>
      <c r="M219" s="2">
        <v>6831</v>
      </c>
      <c r="N219" s="2">
        <v>744</v>
      </c>
      <c r="O219" s="2">
        <v>643</v>
      </c>
      <c r="P219" s="2">
        <v>675</v>
      </c>
      <c r="Q219" s="3">
        <f t="shared" si="6"/>
        <v>41615</v>
      </c>
      <c r="R219" s="3">
        <v>13290</v>
      </c>
      <c r="S219" s="3">
        <v>28422</v>
      </c>
      <c r="T219" s="5">
        <f t="shared" si="7"/>
        <v>-97</v>
      </c>
    </row>
    <row r="220" spans="1:20" ht="18.75" customHeight="1">
      <c r="A220" s="7" t="s">
        <v>19</v>
      </c>
      <c r="B220" s="10">
        <v>45510</v>
      </c>
      <c r="C220" s="2">
        <v>3185</v>
      </c>
      <c r="D220" s="2">
        <v>1140</v>
      </c>
      <c r="E220" s="2">
        <v>0</v>
      </c>
      <c r="F220" s="2">
        <v>3975</v>
      </c>
      <c r="G220" s="2">
        <v>3042</v>
      </c>
      <c r="H220" s="2">
        <v>295</v>
      </c>
      <c r="I220" s="2">
        <v>1224</v>
      </c>
      <c r="J220" s="2">
        <v>1485</v>
      </c>
      <c r="K220" s="2">
        <v>0</v>
      </c>
      <c r="L220" s="2">
        <v>18181</v>
      </c>
      <c r="M220" s="2">
        <v>5851</v>
      </c>
      <c r="N220" s="2">
        <v>500</v>
      </c>
      <c r="O220" s="2">
        <v>291</v>
      </c>
      <c r="P220" s="2">
        <v>372</v>
      </c>
      <c r="Q220" s="3">
        <f t="shared" si="6"/>
        <v>39541</v>
      </c>
      <c r="R220" s="3">
        <v>10216</v>
      </c>
      <c r="S220" s="3">
        <v>14290</v>
      </c>
      <c r="T220" s="5">
        <f t="shared" si="7"/>
        <v>15035</v>
      </c>
    </row>
    <row r="221" spans="1:20" ht="18.75" customHeight="1">
      <c r="A221" s="7" t="s">
        <v>20</v>
      </c>
      <c r="B221" s="10">
        <v>45511</v>
      </c>
      <c r="C221" s="2">
        <v>2275</v>
      </c>
      <c r="D221" s="2">
        <v>1602</v>
      </c>
      <c r="E221" s="2">
        <v>0</v>
      </c>
      <c r="F221" s="2">
        <v>3380</v>
      </c>
      <c r="G221" s="2">
        <v>1795</v>
      </c>
      <c r="H221" s="2">
        <v>440</v>
      </c>
      <c r="I221" s="2">
        <v>1890</v>
      </c>
      <c r="J221" s="2">
        <v>1645</v>
      </c>
      <c r="K221" s="2">
        <v>0</v>
      </c>
      <c r="L221" s="2">
        <v>11062</v>
      </c>
      <c r="M221" s="2">
        <v>11432</v>
      </c>
      <c r="N221" s="2">
        <v>1584</v>
      </c>
      <c r="O221" s="2">
        <v>0</v>
      </c>
      <c r="P221" s="2">
        <v>142</v>
      </c>
      <c r="Q221" s="3">
        <f t="shared" si="6"/>
        <v>37247</v>
      </c>
      <c r="R221" s="3">
        <v>11585</v>
      </c>
      <c r="S221" s="3">
        <v>16716</v>
      </c>
      <c r="T221" s="5">
        <f t="shared" si="7"/>
        <v>8946</v>
      </c>
    </row>
    <row r="222" spans="1:20" ht="18.75" customHeight="1">
      <c r="A222" s="7" t="s">
        <v>21</v>
      </c>
      <c r="B222" s="10">
        <v>45512</v>
      </c>
      <c r="C222" s="2">
        <v>2390</v>
      </c>
      <c r="D222" s="2">
        <v>2552</v>
      </c>
      <c r="E222" s="2">
        <v>0</v>
      </c>
      <c r="F222" s="2">
        <v>4875</v>
      </c>
      <c r="G222" s="2">
        <v>2779</v>
      </c>
      <c r="H222" s="2">
        <v>935</v>
      </c>
      <c r="I222" s="2">
        <v>2143</v>
      </c>
      <c r="J222" s="2">
        <v>1540</v>
      </c>
      <c r="K222" s="2">
        <v>0</v>
      </c>
      <c r="L222" s="2">
        <v>12764</v>
      </c>
      <c r="M222" s="2">
        <v>13801</v>
      </c>
      <c r="N222" s="2">
        <v>700</v>
      </c>
      <c r="O222" s="2">
        <v>285</v>
      </c>
      <c r="P222" s="2">
        <v>666</v>
      </c>
      <c r="Q222" s="3">
        <f t="shared" si="6"/>
        <v>45430</v>
      </c>
      <c r="R222" s="3">
        <v>12875</v>
      </c>
      <c r="S222" s="3">
        <v>21140</v>
      </c>
      <c r="T222" s="5">
        <f t="shared" si="7"/>
        <v>11415</v>
      </c>
    </row>
    <row r="223" spans="1:20" ht="18.75" customHeight="1">
      <c r="A223" s="7" t="s">
        <v>22</v>
      </c>
      <c r="B223" s="10">
        <v>45513</v>
      </c>
      <c r="C223" s="2">
        <v>1480</v>
      </c>
      <c r="D223" s="2">
        <v>2561</v>
      </c>
      <c r="E223" s="2">
        <v>0</v>
      </c>
      <c r="F223" s="2">
        <v>3665</v>
      </c>
      <c r="G223" s="2">
        <v>1397</v>
      </c>
      <c r="H223" s="2">
        <v>635</v>
      </c>
      <c r="I223" s="2">
        <v>2000</v>
      </c>
      <c r="J223" s="2">
        <v>990</v>
      </c>
      <c r="K223" s="2">
        <v>0</v>
      </c>
      <c r="L223" s="2">
        <v>18045</v>
      </c>
      <c r="M223" s="2">
        <v>7765</v>
      </c>
      <c r="N223" s="2">
        <v>2053</v>
      </c>
      <c r="O223" s="2">
        <v>153</v>
      </c>
      <c r="P223" s="2">
        <v>607</v>
      </c>
      <c r="Q223" s="3">
        <f t="shared" si="6"/>
        <v>41351</v>
      </c>
      <c r="R223" s="3">
        <v>10360</v>
      </c>
      <c r="S223" s="3">
        <v>23268</v>
      </c>
      <c r="T223" s="5">
        <f t="shared" si="7"/>
        <v>7723</v>
      </c>
    </row>
    <row r="224" spans="1:20" ht="18.75" customHeight="1">
      <c r="A224" s="7" t="s">
        <v>23</v>
      </c>
      <c r="B224" s="10">
        <v>45514</v>
      </c>
      <c r="C224" s="2">
        <v>1990</v>
      </c>
      <c r="D224" s="2">
        <v>1110</v>
      </c>
      <c r="E224" s="2">
        <v>225</v>
      </c>
      <c r="F224" s="2">
        <v>4725</v>
      </c>
      <c r="G224" s="2">
        <v>2455</v>
      </c>
      <c r="H224" s="2">
        <v>450</v>
      </c>
      <c r="I224" s="2">
        <v>1281</v>
      </c>
      <c r="J224" s="2">
        <v>1735</v>
      </c>
      <c r="K224" s="2">
        <v>0</v>
      </c>
      <c r="L224" s="2">
        <v>34176</v>
      </c>
      <c r="M224" s="2">
        <v>15125</v>
      </c>
      <c r="N224" s="2">
        <v>444</v>
      </c>
      <c r="O224" s="2">
        <v>498</v>
      </c>
      <c r="P224" s="2">
        <v>819</v>
      </c>
      <c r="Q224" s="3">
        <f t="shared" si="6"/>
        <v>65033</v>
      </c>
      <c r="R224" s="3">
        <v>11932</v>
      </c>
      <c r="S224" s="3">
        <v>35370</v>
      </c>
      <c r="T224" s="5">
        <f t="shared" si="7"/>
        <v>17731</v>
      </c>
    </row>
    <row r="225" spans="1:20" ht="18.75" customHeight="1">
      <c r="A225" s="7" t="s">
        <v>17</v>
      </c>
      <c r="B225" s="10">
        <v>45515</v>
      </c>
      <c r="C225" s="2">
        <v>1870</v>
      </c>
      <c r="D225" s="2">
        <v>2085</v>
      </c>
      <c r="E225" s="2">
        <v>0</v>
      </c>
      <c r="F225" s="2">
        <v>7450</v>
      </c>
      <c r="G225" s="2">
        <v>1376</v>
      </c>
      <c r="H225" s="2">
        <v>405</v>
      </c>
      <c r="I225" s="2">
        <v>1750</v>
      </c>
      <c r="J225" s="2">
        <v>2640</v>
      </c>
      <c r="K225" s="2">
        <v>0</v>
      </c>
      <c r="L225" s="2">
        <v>26171</v>
      </c>
      <c r="M225" s="2">
        <v>15302</v>
      </c>
      <c r="N225" s="2">
        <v>201</v>
      </c>
      <c r="O225" s="2">
        <v>255</v>
      </c>
      <c r="P225" s="2">
        <v>266</v>
      </c>
      <c r="Q225" s="3">
        <f t="shared" si="6"/>
        <v>59771</v>
      </c>
      <c r="R225" s="3">
        <v>15414</v>
      </c>
      <c r="S225" s="3">
        <v>28476</v>
      </c>
      <c r="T225" s="5">
        <f t="shared" si="7"/>
        <v>15881</v>
      </c>
    </row>
    <row r="226" spans="1:20" ht="18.75" customHeight="1">
      <c r="A226" s="7" t="s">
        <v>18</v>
      </c>
      <c r="B226" s="10">
        <v>45516</v>
      </c>
      <c r="C226" s="2">
        <v>3035</v>
      </c>
      <c r="D226" s="2">
        <v>2305</v>
      </c>
      <c r="E226" s="2">
        <v>0</v>
      </c>
      <c r="F226" s="2">
        <v>5265</v>
      </c>
      <c r="G226" s="2">
        <v>2085</v>
      </c>
      <c r="H226" s="2">
        <v>1110</v>
      </c>
      <c r="I226" s="2">
        <v>980</v>
      </c>
      <c r="J226" s="2">
        <v>2775</v>
      </c>
      <c r="K226" s="2">
        <v>0</v>
      </c>
      <c r="L226" s="2">
        <v>13208</v>
      </c>
      <c r="M226" s="2">
        <v>5503</v>
      </c>
      <c r="N226" s="2">
        <v>1397</v>
      </c>
      <c r="O226" s="2">
        <v>84</v>
      </c>
      <c r="P226" s="2">
        <v>466</v>
      </c>
      <c r="Q226" s="3">
        <f t="shared" si="6"/>
        <v>38213</v>
      </c>
      <c r="R226" s="3">
        <v>9386</v>
      </c>
      <c r="S226" s="3">
        <v>27231</v>
      </c>
      <c r="T226" s="5">
        <f t="shared" si="7"/>
        <v>1596</v>
      </c>
    </row>
    <row r="227" spans="1:20" ht="18.75" customHeight="1">
      <c r="A227" s="7" t="s">
        <v>19</v>
      </c>
      <c r="B227" s="10">
        <v>45517</v>
      </c>
      <c r="C227" s="2">
        <v>1245</v>
      </c>
      <c r="D227" s="2">
        <v>2265</v>
      </c>
      <c r="E227" s="2">
        <v>0</v>
      </c>
      <c r="F227" s="2">
        <v>5600</v>
      </c>
      <c r="G227" s="2">
        <v>2450</v>
      </c>
      <c r="H227" s="2">
        <v>310</v>
      </c>
      <c r="I227" s="2">
        <v>1979</v>
      </c>
      <c r="J227" s="2">
        <v>1600</v>
      </c>
      <c r="K227" s="2">
        <v>0</v>
      </c>
      <c r="L227" s="2">
        <v>14386</v>
      </c>
      <c r="M227" s="2">
        <v>6809</v>
      </c>
      <c r="N227" s="2">
        <v>291</v>
      </c>
      <c r="O227" s="2">
        <v>126</v>
      </c>
      <c r="P227" s="2">
        <v>650</v>
      </c>
      <c r="Q227" s="3">
        <f t="shared" si="6"/>
        <v>37711</v>
      </c>
      <c r="R227" s="3">
        <v>8971</v>
      </c>
      <c r="S227" s="3">
        <v>18023</v>
      </c>
      <c r="T227" s="5">
        <f t="shared" si="7"/>
        <v>10717</v>
      </c>
    </row>
    <row r="228" spans="1:20" ht="18.75" customHeight="1">
      <c r="A228" s="7" t="s">
        <v>20</v>
      </c>
      <c r="B228" s="10">
        <v>45518</v>
      </c>
      <c r="C228" s="2">
        <v>1580</v>
      </c>
      <c r="D228" s="2">
        <v>1720</v>
      </c>
      <c r="E228" s="2">
        <v>0</v>
      </c>
      <c r="F228" s="2">
        <v>4260</v>
      </c>
      <c r="G228" s="2">
        <v>3000</v>
      </c>
      <c r="H228" s="2">
        <v>829</v>
      </c>
      <c r="I228" s="2">
        <v>1651</v>
      </c>
      <c r="J228" s="2">
        <v>985</v>
      </c>
      <c r="K228" s="2">
        <v>0</v>
      </c>
      <c r="L228" s="2">
        <v>20917</v>
      </c>
      <c r="M228" s="2">
        <v>6780</v>
      </c>
      <c r="N228" s="2">
        <v>2569</v>
      </c>
      <c r="O228" s="2">
        <v>126</v>
      </c>
      <c r="P228" s="2">
        <v>990</v>
      </c>
      <c r="Q228" s="3">
        <f t="shared" si="6"/>
        <v>45407</v>
      </c>
      <c r="R228" s="3">
        <v>11776</v>
      </c>
      <c r="S228" s="3">
        <v>23498</v>
      </c>
      <c r="T228" s="5">
        <f t="shared" si="7"/>
        <v>10133</v>
      </c>
    </row>
    <row r="229" spans="1:20" ht="18.75" customHeight="1">
      <c r="A229" s="7" t="s">
        <v>21</v>
      </c>
      <c r="B229" s="10">
        <v>45519</v>
      </c>
      <c r="C229" s="2">
        <v>2105</v>
      </c>
      <c r="D229" s="2">
        <v>2030</v>
      </c>
      <c r="E229" s="2">
        <v>0</v>
      </c>
      <c r="F229" s="2">
        <v>5475</v>
      </c>
      <c r="G229" s="2">
        <v>1892</v>
      </c>
      <c r="H229" s="2">
        <v>635</v>
      </c>
      <c r="I229" s="2">
        <v>1390</v>
      </c>
      <c r="J229" s="2">
        <v>640</v>
      </c>
      <c r="K229" s="2">
        <v>0</v>
      </c>
      <c r="L229" s="2">
        <v>9778</v>
      </c>
      <c r="M229" s="2">
        <v>5906</v>
      </c>
      <c r="N229" s="2">
        <v>588</v>
      </c>
      <c r="O229" s="2">
        <v>126</v>
      </c>
      <c r="P229" s="2">
        <v>252</v>
      </c>
      <c r="Q229" s="3">
        <f t="shared" si="6"/>
        <v>30817</v>
      </c>
      <c r="R229" s="3">
        <v>9206</v>
      </c>
      <c r="S229" s="3">
        <v>18448</v>
      </c>
      <c r="T229" s="5">
        <f t="shared" si="7"/>
        <v>3163</v>
      </c>
    </row>
    <row r="230" spans="1:20" ht="18.75" customHeight="1">
      <c r="A230" s="7" t="s">
        <v>22</v>
      </c>
      <c r="B230" s="10">
        <v>45520</v>
      </c>
      <c r="C230" s="2">
        <v>1580</v>
      </c>
      <c r="D230" s="2">
        <v>2115</v>
      </c>
      <c r="E230" s="2">
        <v>0</v>
      </c>
      <c r="F230" s="2">
        <v>4125</v>
      </c>
      <c r="G230" s="2">
        <v>1318</v>
      </c>
      <c r="H230" s="2">
        <v>840</v>
      </c>
      <c r="I230" s="2">
        <v>1687</v>
      </c>
      <c r="J230" s="2">
        <v>1065</v>
      </c>
      <c r="K230" s="2">
        <v>0</v>
      </c>
      <c r="L230" s="2">
        <v>21092</v>
      </c>
      <c r="M230" s="2">
        <v>9830</v>
      </c>
      <c r="N230" s="2">
        <v>1166</v>
      </c>
      <c r="O230" s="2">
        <v>694</v>
      </c>
      <c r="P230" s="2">
        <v>726</v>
      </c>
      <c r="Q230" s="3">
        <f t="shared" si="6"/>
        <v>46238</v>
      </c>
      <c r="R230" s="3">
        <v>10618</v>
      </c>
      <c r="S230" s="3">
        <v>22340</v>
      </c>
      <c r="T230" s="5">
        <f t="shared" si="7"/>
        <v>13280</v>
      </c>
    </row>
    <row r="231" spans="1:20" ht="18.75" customHeight="1">
      <c r="A231" s="7" t="s">
        <v>23</v>
      </c>
      <c r="B231" s="10">
        <v>45521</v>
      </c>
      <c r="C231" s="2">
        <v>2800</v>
      </c>
      <c r="D231" s="2">
        <v>1356</v>
      </c>
      <c r="E231" s="2">
        <v>0</v>
      </c>
      <c r="F231" s="2">
        <v>3793.5</v>
      </c>
      <c r="G231" s="2">
        <v>1856</v>
      </c>
      <c r="H231" s="2">
        <v>750</v>
      </c>
      <c r="I231" s="2">
        <v>1830</v>
      </c>
      <c r="J231" s="2">
        <v>900</v>
      </c>
      <c r="K231" s="2">
        <v>0</v>
      </c>
      <c r="L231" s="2">
        <v>33881</v>
      </c>
      <c r="M231" s="2">
        <v>12554</v>
      </c>
      <c r="N231" s="2">
        <v>1139</v>
      </c>
      <c r="O231" s="2">
        <v>523</v>
      </c>
      <c r="P231" s="2">
        <v>579</v>
      </c>
      <c r="Q231" s="3">
        <f t="shared" si="6"/>
        <v>61961.5</v>
      </c>
      <c r="R231" s="3">
        <v>16363</v>
      </c>
      <c r="S231" s="3">
        <v>32268</v>
      </c>
      <c r="T231" s="5">
        <f t="shared" si="7"/>
        <v>13330.5</v>
      </c>
    </row>
    <row r="232" spans="1:20" ht="18.75" customHeight="1">
      <c r="A232" s="7" t="s">
        <v>17</v>
      </c>
      <c r="B232" s="10">
        <v>45522</v>
      </c>
      <c r="C232" s="2">
        <v>3715</v>
      </c>
      <c r="D232" s="2">
        <v>2565</v>
      </c>
      <c r="E232" s="2">
        <v>0</v>
      </c>
      <c r="F232" s="2">
        <v>5740</v>
      </c>
      <c r="G232" s="2">
        <v>3907</v>
      </c>
      <c r="H232" s="2">
        <v>0</v>
      </c>
      <c r="I232" s="2">
        <v>2030</v>
      </c>
      <c r="J232" s="2">
        <v>235</v>
      </c>
      <c r="K232" s="2">
        <v>0</v>
      </c>
      <c r="L232" s="2">
        <v>30770</v>
      </c>
      <c r="M232" s="2">
        <v>13545</v>
      </c>
      <c r="N232" s="2">
        <v>565</v>
      </c>
      <c r="O232" s="2">
        <v>733</v>
      </c>
      <c r="P232" s="2">
        <v>353</v>
      </c>
      <c r="Q232" s="3">
        <f t="shared" si="6"/>
        <v>64158</v>
      </c>
      <c r="R232" s="3">
        <v>15788</v>
      </c>
      <c r="S232" s="3">
        <v>19169</v>
      </c>
      <c r="T232" s="5">
        <f t="shared" si="7"/>
        <v>29201</v>
      </c>
    </row>
    <row r="233" spans="1:20" ht="18.75" customHeight="1">
      <c r="A233" s="7" t="s">
        <v>18</v>
      </c>
      <c r="B233" s="10">
        <v>45523</v>
      </c>
      <c r="C233" s="2">
        <v>1330</v>
      </c>
      <c r="D233" s="2">
        <v>1980</v>
      </c>
      <c r="E233" s="2">
        <v>0</v>
      </c>
      <c r="F233" s="2">
        <v>2980</v>
      </c>
      <c r="G233" s="2">
        <v>2808</v>
      </c>
      <c r="H233" s="2">
        <v>1578</v>
      </c>
      <c r="I233" s="2">
        <v>2515</v>
      </c>
      <c r="J233" s="2">
        <v>1585</v>
      </c>
      <c r="K233" s="2">
        <v>0</v>
      </c>
      <c r="L233" s="2">
        <v>17140</v>
      </c>
      <c r="M233" s="2">
        <v>4097</v>
      </c>
      <c r="N233" s="2">
        <v>1253</v>
      </c>
      <c r="O233" s="2">
        <v>245</v>
      </c>
      <c r="P233" s="2">
        <v>325</v>
      </c>
      <c r="Q233" s="3">
        <f t="shared" si="6"/>
        <v>37836</v>
      </c>
      <c r="R233" s="3">
        <v>10228</v>
      </c>
      <c r="S233" s="3">
        <v>26885</v>
      </c>
      <c r="T233" s="5">
        <f t="shared" si="7"/>
        <v>723</v>
      </c>
    </row>
    <row r="234" spans="1:20" ht="18.75" customHeight="1">
      <c r="A234" s="7" t="s">
        <v>19</v>
      </c>
      <c r="B234" s="10">
        <v>45524</v>
      </c>
      <c r="C234" s="2">
        <v>3280</v>
      </c>
      <c r="D234" s="2">
        <v>1651</v>
      </c>
      <c r="E234" s="2">
        <v>420</v>
      </c>
      <c r="F234" s="2">
        <v>4310</v>
      </c>
      <c r="G234" s="2">
        <v>2029</v>
      </c>
      <c r="H234" s="2">
        <v>885</v>
      </c>
      <c r="I234" s="2">
        <v>1250</v>
      </c>
      <c r="J234" s="2">
        <v>777</v>
      </c>
      <c r="K234" s="2">
        <v>0</v>
      </c>
      <c r="L234" s="2">
        <v>14303</v>
      </c>
      <c r="M234" s="2">
        <v>5258</v>
      </c>
      <c r="N234" s="2">
        <v>48</v>
      </c>
      <c r="O234" s="2">
        <v>0</v>
      </c>
      <c r="P234" s="2">
        <v>0</v>
      </c>
      <c r="Q234" s="3">
        <f t="shared" si="6"/>
        <v>34211</v>
      </c>
      <c r="R234" s="3">
        <v>8937</v>
      </c>
      <c r="S234" s="3">
        <v>9562</v>
      </c>
      <c r="T234" s="5">
        <f t="shared" si="7"/>
        <v>15712</v>
      </c>
    </row>
    <row r="235" spans="1:20" ht="18.75" customHeight="1">
      <c r="A235" s="7" t="s">
        <v>20</v>
      </c>
      <c r="B235" s="10">
        <v>45525</v>
      </c>
      <c r="C235" s="2">
        <v>1705</v>
      </c>
      <c r="D235" s="2">
        <v>2230</v>
      </c>
      <c r="E235" s="2">
        <v>0</v>
      </c>
      <c r="F235" s="2">
        <v>3410</v>
      </c>
      <c r="G235" s="2">
        <v>1576</v>
      </c>
      <c r="H235" s="2">
        <v>801</v>
      </c>
      <c r="I235" s="2">
        <v>1240</v>
      </c>
      <c r="J235" s="2">
        <v>330</v>
      </c>
      <c r="K235" s="2">
        <v>0</v>
      </c>
      <c r="L235" s="2">
        <v>14137</v>
      </c>
      <c r="M235" s="2">
        <v>6095</v>
      </c>
      <c r="N235" s="2">
        <v>499</v>
      </c>
      <c r="O235" s="2">
        <v>70</v>
      </c>
      <c r="P235" s="2">
        <v>534</v>
      </c>
      <c r="Q235" s="3">
        <f t="shared" si="6"/>
        <v>32627</v>
      </c>
      <c r="R235" s="3">
        <v>8596</v>
      </c>
      <c r="S235" s="3">
        <v>17491</v>
      </c>
      <c r="T235" s="5">
        <f t="shared" si="7"/>
        <v>6540</v>
      </c>
    </row>
    <row r="236" spans="1:20" ht="18.75" customHeight="1">
      <c r="A236" s="7" t="s">
        <v>21</v>
      </c>
      <c r="B236" s="10">
        <v>45526</v>
      </c>
      <c r="C236" s="2">
        <v>2134</v>
      </c>
      <c r="D236" s="2">
        <v>1686</v>
      </c>
      <c r="E236" s="2">
        <v>900</v>
      </c>
      <c r="F236" s="2">
        <v>3700</v>
      </c>
      <c r="G236" s="2">
        <v>1837</v>
      </c>
      <c r="H236" s="2">
        <v>920</v>
      </c>
      <c r="I236" s="2">
        <v>1601</v>
      </c>
      <c r="J236" s="2">
        <v>495</v>
      </c>
      <c r="K236" s="2">
        <v>0</v>
      </c>
      <c r="L236" s="2">
        <v>15188</v>
      </c>
      <c r="M236" s="2">
        <v>4835</v>
      </c>
      <c r="N236" s="2">
        <v>1026</v>
      </c>
      <c r="O236" s="2">
        <v>264</v>
      </c>
      <c r="P236" s="2">
        <v>84</v>
      </c>
      <c r="Q236" s="3">
        <f t="shared" si="6"/>
        <v>34670</v>
      </c>
      <c r="R236" s="3">
        <v>9870</v>
      </c>
      <c r="S236" s="3">
        <v>23062</v>
      </c>
      <c r="T236" s="5">
        <f t="shared" si="7"/>
        <v>1738</v>
      </c>
    </row>
    <row r="237" spans="1:20" ht="18.75" customHeight="1">
      <c r="A237" s="7" t="s">
        <v>22</v>
      </c>
      <c r="B237" s="10">
        <v>45527</v>
      </c>
      <c r="C237" s="2">
        <v>1835</v>
      </c>
      <c r="D237" s="2">
        <v>1925</v>
      </c>
      <c r="E237" s="2">
        <v>0</v>
      </c>
      <c r="F237" s="2">
        <v>4065</v>
      </c>
      <c r="G237" s="2">
        <v>1619</v>
      </c>
      <c r="H237" s="2">
        <v>605</v>
      </c>
      <c r="I237" s="2">
        <v>1860</v>
      </c>
      <c r="J237" s="2">
        <v>755</v>
      </c>
      <c r="K237" s="2">
        <v>0</v>
      </c>
      <c r="L237" s="2">
        <v>13473</v>
      </c>
      <c r="M237" s="2">
        <v>7578</v>
      </c>
      <c r="N237" s="2">
        <v>720</v>
      </c>
      <c r="O237" s="2">
        <v>0</v>
      </c>
      <c r="P237" s="2">
        <v>599</v>
      </c>
      <c r="Q237" s="3">
        <f t="shared" si="6"/>
        <v>35034</v>
      </c>
      <c r="R237" s="3">
        <v>9501</v>
      </c>
      <c r="S237" s="3">
        <v>18217</v>
      </c>
      <c r="T237" s="5">
        <f t="shared" si="7"/>
        <v>7316</v>
      </c>
    </row>
    <row r="238" spans="1:20" ht="18.75" customHeight="1">
      <c r="A238" s="7" t="s">
        <v>23</v>
      </c>
      <c r="B238" s="10">
        <v>45528</v>
      </c>
      <c r="C238" s="2">
        <v>2405</v>
      </c>
      <c r="D238" s="2">
        <v>1315</v>
      </c>
      <c r="E238" s="2">
        <v>0</v>
      </c>
      <c r="F238" s="2">
        <v>4395</v>
      </c>
      <c r="G238" s="2">
        <v>2691</v>
      </c>
      <c r="H238" s="2">
        <v>430</v>
      </c>
      <c r="I238" s="2">
        <v>2700</v>
      </c>
      <c r="J238" s="2">
        <v>1365</v>
      </c>
      <c r="K238" s="2">
        <v>0</v>
      </c>
      <c r="L238" s="2">
        <v>29991</v>
      </c>
      <c r="M238" s="2">
        <v>15054</v>
      </c>
      <c r="N238" s="2">
        <v>2941</v>
      </c>
      <c r="O238" s="2">
        <v>360</v>
      </c>
      <c r="P238" s="2">
        <v>984</v>
      </c>
      <c r="Q238" s="3">
        <f t="shared" si="6"/>
        <v>64631</v>
      </c>
      <c r="R238" s="3">
        <v>13361</v>
      </c>
      <c r="S238" s="3">
        <v>35183</v>
      </c>
      <c r="T238" s="5">
        <f t="shared" si="7"/>
        <v>16087</v>
      </c>
    </row>
    <row r="239" spans="1:20" ht="18.75" customHeight="1">
      <c r="A239" s="7" t="s">
        <v>17</v>
      </c>
      <c r="B239" s="10">
        <v>45529</v>
      </c>
      <c r="C239" s="2">
        <v>3560</v>
      </c>
      <c r="D239" s="2">
        <v>1600</v>
      </c>
      <c r="E239" s="2">
        <v>0</v>
      </c>
      <c r="F239" s="2">
        <v>3570</v>
      </c>
      <c r="G239" s="2">
        <v>2050</v>
      </c>
      <c r="H239" s="2">
        <v>0</v>
      </c>
      <c r="I239" s="2">
        <v>1585</v>
      </c>
      <c r="J239" s="2">
        <v>565</v>
      </c>
      <c r="K239" s="2">
        <v>0</v>
      </c>
      <c r="L239" s="2">
        <v>18429</v>
      </c>
      <c r="M239" s="2">
        <v>9221</v>
      </c>
      <c r="N239" s="2">
        <v>908</v>
      </c>
      <c r="O239" s="2">
        <v>353</v>
      </c>
      <c r="P239" s="2">
        <v>1409</v>
      </c>
      <c r="Q239" s="3">
        <f t="shared" si="6"/>
        <v>43250</v>
      </c>
      <c r="R239" s="3">
        <v>11460</v>
      </c>
      <c r="S239" s="3">
        <v>19905</v>
      </c>
      <c r="T239" s="5">
        <f t="shared" si="7"/>
        <v>11885</v>
      </c>
    </row>
    <row r="240" spans="1:20" ht="18.75" customHeight="1">
      <c r="A240" s="7" t="s">
        <v>18</v>
      </c>
      <c r="B240" s="10">
        <v>45530</v>
      </c>
      <c r="C240" s="2">
        <v>1465</v>
      </c>
      <c r="D240" s="2">
        <v>2215</v>
      </c>
      <c r="E240" s="2">
        <v>535</v>
      </c>
      <c r="F240" s="2">
        <v>4745</v>
      </c>
      <c r="G240" s="2">
        <v>2692</v>
      </c>
      <c r="H240" s="2">
        <v>600</v>
      </c>
      <c r="I240" s="2">
        <v>1780</v>
      </c>
      <c r="J240" s="2">
        <v>0</v>
      </c>
      <c r="K240" s="2">
        <v>0</v>
      </c>
      <c r="L240" s="2">
        <v>10924</v>
      </c>
      <c r="M240" s="2">
        <v>6052</v>
      </c>
      <c r="N240" s="2">
        <v>1751</v>
      </c>
      <c r="O240" s="2">
        <v>398</v>
      </c>
      <c r="P240" s="2">
        <v>451</v>
      </c>
      <c r="Q240" s="3">
        <f t="shared" si="6"/>
        <v>33608</v>
      </c>
      <c r="R240" s="3">
        <v>11348</v>
      </c>
      <c r="S240" s="3">
        <v>15580</v>
      </c>
      <c r="T240" s="5">
        <f t="shared" si="7"/>
        <v>6680</v>
      </c>
    </row>
    <row r="241" spans="1:20" ht="18.75" customHeight="1">
      <c r="A241" s="7" t="s">
        <v>19</v>
      </c>
      <c r="B241" s="10">
        <v>45531</v>
      </c>
      <c r="C241" s="2">
        <v>1875</v>
      </c>
      <c r="D241" s="2">
        <v>815</v>
      </c>
      <c r="E241" s="2">
        <v>730</v>
      </c>
      <c r="F241" s="2">
        <v>2253</v>
      </c>
      <c r="G241" s="2">
        <v>2303</v>
      </c>
      <c r="H241" s="2">
        <v>621</v>
      </c>
      <c r="I241" s="2">
        <v>1580</v>
      </c>
      <c r="J241" s="2">
        <v>0</v>
      </c>
      <c r="K241" s="2">
        <v>0</v>
      </c>
      <c r="L241" s="2">
        <v>9026</v>
      </c>
      <c r="M241" s="2">
        <v>6766</v>
      </c>
      <c r="N241" s="2">
        <v>1571</v>
      </c>
      <c r="O241" s="2">
        <v>0</v>
      </c>
      <c r="P241" s="2">
        <v>84</v>
      </c>
      <c r="Q241" s="3">
        <f t="shared" si="6"/>
        <v>27624</v>
      </c>
      <c r="R241" s="3">
        <v>9488</v>
      </c>
      <c r="S241" s="3">
        <v>12324</v>
      </c>
      <c r="T241" s="5">
        <f t="shared" si="7"/>
        <v>5812</v>
      </c>
    </row>
    <row r="242" spans="1:20" ht="18.75" customHeight="1">
      <c r="A242" s="7" t="s">
        <v>20</v>
      </c>
      <c r="B242" s="10">
        <v>45532</v>
      </c>
      <c r="C242" s="2">
        <v>1675</v>
      </c>
      <c r="D242" s="2">
        <v>1355</v>
      </c>
      <c r="E242" s="2">
        <v>0</v>
      </c>
      <c r="F242" s="2">
        <v>2740</v>
      </c>
      <c r="G242" s="2">
        <v>2054</v>
      </c>
      <c r="H242" s="2">
        <v>511</v>
      </c>
      <c r="I242" s="2">
        <v>1809</v>
      </c>
      <c r="J242" s="2">
        <v>0</v>
      </c>
      <c r="K242" s="2">
        <v>0</v>
      </c>
      <c r="L242" s="2">
        <v>10092</v>
      </c>
      <c r="M242" s="2">
        <v>4983</v>
      </c>
      <c r="N242" s="2">
        <v>2017</v>
      </c>
      <c r="O242" s="2">
        <v>154</v>
      </c>
      <c r="P242" s="2">
        <v>710</v>
      </c>
      <c r="Q242" s="3">
        <f t="shared" si="6"/>
        <v>28100</v>
      </c>
      <c r="R242" s="3">
        <v>8600</v>
      </c>
      <c r="S242" s="3">
        <v>16269</v>
      </c>
      <c r="T242" s="5">
        <f t="shared" si="7"/>
        <v>3231</v>
      </c>
    </row>
    <row r="243" spans="1:20" ht="18.75" customHeight="1">
      <c r="A243" s="7" t="s">
        <v>21</v>
      </c>
      <c r="B243" s="10">
        <v>45533</v>
      </c>
      <c r="C243" s="2">
        <v>1635</v>
      </c>
      <c r="D243" s="2">
        <v>1840</v>
      </c>
      <c r="E243" s="2">
        <v>720</v>
      </c>
      <c r="F243" s="2">
        <v>3925</v>
      </c>
      <c r="G243" s="2">
        <v>1843</v>
      </c>
      <c r="H243" s="2">
        <v>590</v>
      </c>
      <c r="I243" s="2">
        <v>880</v>
      </c>
      <c r="J243" s="2">
        <v>0</v>
      </c>
      <c r="K243" s="2">
        <v>0</v>
      </c>
      <c r="L243" s="2">
        <v>8099</v>
      </c>
      <c r="M243" s="2">
        <v>8294</v>
      </c>
      <c r="N243" s="2">
        <v>1056</v>
      </c>
      <c r="O243" s="2">
        <v>0</v>
      </c>
      <c r="P243" s="2">
        <v>844</v>
      </c>
      <c r="Q243" s="3">
        <f t="shared" si="6"/>
        <v>29726</v>
      </c>
      <c r="R243" s="3">
        <v>7830</v>
      </c>
      <c r="S243" s="3">
        <v>16469</v>
      </c>
      <c r="T243" s="5">
        <f t="shared" si="7"/>
        <v>5427</v>
      </c>
    </row>
    <row r="244" spans="1:20" ht="18.75" customHeight="1">
      <c r="A244" s="7" t="s">
        <v>22</v>
      </c>
      <c r="B244" s="10">
        <v>45534</v>
      </c>
      <c r="C244" s="2">
        <v>2380</v>
      </c>
      <c r="D244" s="2">
        <v>1735</v>
      </c>
      <c r="E244" s="2">
        <v>835</v>
      </c>
      <c r="F244" s="2">
        <v>3375</v>
      </c>
      <c r="G244" s="2">
        <v>2541</v>
      </c>
      <c r="H244" s="2">
        <v>744</v>
      </c>
      <c r="I244" s="2">
        <v>1344</v>
      </c>
      <c r="J244" s="2">
        <v>0</v>
      </c>
      <c r="K244" s="2">
        <v>0</v>
      </c>
      <c r="L244" s="2">
        <v>14164</v>
      </c>
      <c r="M244" s="2">
        <v>7169</v>
      </c>
      <c r="N244" s="2">
        <v>968</v>
      </c>
      <c r="O244" s="2">
        <v>515</v>
      </c>
      <c r="P244" s="2">
        <v>982</v>
      </c>
      <c r="Q244" s="3">
        <f t="shared" si="6"/>
        <v>36752</v>
      </c>
      <c r="R244" s="3">
        <v>9460</v>
      </c>
      <c r="S244" s="3">
        <v>18827</v>
      </c>
      <c r="T244" s="5">
        <f t="shared" si="7"/>
        <v>8465</v>
      </c>
    </row>
    <row r="245" spans="1:20" ht="18.75" customHeight="1">
      <c r="A245" s="7" t="s">
        <v>23</v>
      </c>
      <c r="B245" s="10">
        <v>45535</v>
      </c>
      <c r="C245" s="2">
        <v>1961</v>
      </c>
      <c r="D245" s="2">
        <v>2106</v>
      </c>
      <c r="E245" s="2">
        <v>680</v>
      </c>
      <c r="F245" s="2">
        <v>3540</v>
      </c>
      <c r="G245" s="2">
        <v>2283</v>
      </c>
      <c r="H245" s="2">
        <v>1320</v>
      </c>
      <c r="I245" s="2">
        <v>2320</v>
      </c>
      <c r="J245" s="2">
        <v>0</v>
      </c>
      <c r="K245" s="2">
        <v>0</v>
      </c>
      <c r="L245" s="2">
        <v>19266</v>
      </c>
      <c r="M245" s="2">
        <v>7068</v>
      </c>
      <c r="N245" s="2">
        <v>1277</v>
      </c>
      <c r="O245" s="2">
        <v>0</v>
      </c>
      <c r="P245" s="2">
        <v>1841</v>
      </c>
      <c r="Q245" s="3">
        <f t="shared" si="6"/>
        <v>43662</v>
      </c>
      <c r="R245" s="3">
        <v>11473</v>
      </c>
      <c r="S245" s="3">
        <v>22524</v>
      </c>
      <c r="T245" s="5">
        <f t="shared" si="7"/>
        <v>9665</v>
      </c>
    </row>
    <row r="246" spans="1:20" ht="18.75" customHeight="1">
      <c r="A246" s="7" t="s">
        <v>17</v>
      </c>
      <c r="B246" s="10">
        <v>45536</v>
      </c>
      <c r="C246" s="2">
        <v>1899</v>
      </c>
      <c r="D246" s="2">
        <v>1410</v>
      </c>
      <c r="E246" s="2">
        <v>0</v>
      </c>
      <c r="F246" s="2">
        <v>3840</v>
      </c>
      <c r="G246" s="2">
        <v>1854</v>
      </c>
      <c r="H246" s="2">
        <v>465</v>
      </c>
      <c r="I246" s="2">
        <v>1290</v>
      </c>
      <c r="J246" s="2">
        <v>0</v>
      </c>
      <c r="K246" s="2">
        <v>0</v>
      </c>
      <c r="L246" s="2">
        <v>15665</v>
      </c>
      <c r="M246" s="2">
        <v>11448</v>
      </c>
      <c r="N246" s="2">
        <v>1403</v>
      </c>
      <c r="O246" s="2">
        <v>585</v>
      </c>
      <c r="P246" s="2">
        <v>734</v>
      </c>
      <c r="Q246" s="3">
        <f t="shared" si="6"/>
        <v>40593</v>
      </c>
      <c r="R246" s="3">
        <v>17361</v>
      </c>
      <c r="S246" s="3">
        <v>10064</v>
      </c>
      <c r="T246" s="5">
        <f t="shared" si="7"/>
        <v>13168</v>
      </c>
    </row>
    <row r="247" spans="1:20" ht="18.75" customHeight="1">
      <c r="A247" s="7" t="s">
        <v>18</v>
      </c>
      <c r="B247" s="10">
        <v>45537</v>
      </c>
      <c r="C247" s="2">
        <v>1524</v>
      </c>
      <c r="D247" s="2">
        <v>885</v>
      </c>
      <c r="E247" s="2">
        <v>1020</v>
      </c>
      <c r="F247" s="2">
        <v>3740</v>
      </c>
      <c r="G247" s="2">
        <v>2928</v>
      </c>
      <c r="H247" s="2">
        <v>431</v>
      </c>
      <c r="I247" s="2">
        <v>2010</v>
      </c>
      <c r="J247" s="2">
        <v>0</v>
      </c>
      <c r="K247" s="2">
        <v>0</v>
      </c>
      <c r="L247" s="2">
        <v>9764</v>
      </c>
      <c r="M247" s="2">
        <v>7342</v>
      </c>
      <c r="N247" s="2">
        <v>1146</v>
      </c>
      <c r="O247" s="2">
        <v>0</v>
      </c>
      <c r="P247" s="2">
        <v>120</v>
      </c>
      <c r="Q247" s="3">
        <f t="shared" si="6"/>
        <v>30910</v>
      </c>
      <c r="R247" s="3">
        <v>8030</v>
      </c>
      <c r="S247" s="3">
        <v>22484</v>
      </c>
      <c r="T247" s="5">
        <f t="shared" si="7"/>
        <v>396</v>
      </c>
    </row>
    <row r="248" spans="1:20" ht="18.75" customHeight="1">
      <c r="A248" s="7" t="s">
        <v>19</v>
      </c>
      <c r="B248" s="10">
        <v>45538</v>
      </c>
      <c r="C248" s="2">
        <v>1630</v>
      </c>
      <c r="D248" s="2">
        <v>1569</v>
      </c>
      <c r="E248" s="2">
        <v>785</v>
      </c>
      <c r="F248" s="2">
        <v>3035</v>
      </c>
      <c r="G248" s="2">
        <v>3254</v>
      </c>
      <c r="H248" s="2">
        <v>102</v>
      </c>
      <c r="I248" s="2">
        <v>1640</v>
      </c>
      <c r="J248" s="2">
        <v>0</v>
      </c>
      <c r="K248" s="2">
        <v>0</v>
      </c>
      <c r="L248" s="2">
        <v>7129</v>
      </c>
      <c r="M248" s="2">
        <v>5973</v>
      </c>
      <c r="N248" s="2">
        <v>1041</v>
      </c>
      <c r="O248" s="2">
        <v>0</v>
      </c>
      <c r="P248" s="2">
        <v>285</v>
      </c>
      <c r="Q248" s="3">
        <f t="shared" si="6"/>
        <v>26443</v>
      </c>
      <c r="R248" s="3">
        <v>8269</v>
      </c>
      <c r="S248" s="3">
        <v>11278</v>
      </c>
      <c r="T248" s="5">
        <f t="shared" si="7"/>
        <v>6896</v>
      </c>
    </row>
    <row r="249" spans="1:20" ht="18.75" customHeight="1">
      <c r="A249" s="7" t="s">
        <v>20</v>
      </c>
      <c r="B249" s="10">
        <v>45539</v>
      </c>
      <c r="C249" s="2">
        <v>1210</v>
      </c>
      <c r="D249" s="2">
        <v>1308</v>
      </c>
      <c r="E249" s="2">
        <v>285</v>
      </c>
      <c r="F249" s="2">
        <v>3355</v>
      </c>
      <c r="G249" s="2">
        <v>4730</v>
      </c>
      <c r="H249" s="2">
        <v>521</v>
      </c>
      <c r="I249" s="2">
        <v>2180</v>
      </c>
      <c r="J249" s="2">
        <v>0</v>
      </c>
      <c r="K249" s="2">
        <v>0</v>
      </c>
      <c r="L249" s="2">
        <v>6134</v>
      </c>
      <c r="M249" s="2">
        <v>4553</v>
      </c>
      <c r="N249" s="2">
        <v>628</v>
      </c>
      <c r="O249" s="2">
        <v>0</v>
      </c>
      <c r="P249" s="2">
        <v>405</v>
      </c>
      <c r="Q249" s="3">
        <f t="shared" si="6"/>
        <v>25309</v>
      </c>
      <c r="R249" s="3">
        <v>8152</v>
      </c>
      <c r="S249" s="3">
        <v>16046</v>
      </c>
      <c r="T249" s="5">
        <f t="shared" si="7"/>
        <v>1111</v>
      </c>
    </row>
    <row r="250" spans="1:20" ht="18.75" customHeight="1">
      <c r="A250" s="7" t="s">
        <v>21</v>
      </c>
      <c r="B250" s="10">
        <v>45540</v>
      </c>
      <c r="C250" s="2">
        <v>1040</v>
      </c>
      <c r="D250" s="2">
        <v>1825</v>
      </c>
      <c r="E250" s="2">
        <v>805</v>
      </c>
      <c r="F250" s="2">
        <v>4400</v>
      </c>
      <c r="G250" s="2">
        <v>3346</v>
      </c>
      <c r="H250" s="2">
        <v>550</v>
      </c>
      <c r="I250" s="2">
        <v>1225</v>
      </c>
      <c r="J250" s="2">
        <v>0</v>
      </c>
      <c r="K250" s="2">
        <v>0</v>
      </c>
      <c r="L250" s="2">
        <v>8393</v>
      </c>
      <c r="M250" s="2">
        <v>6007</v>
      </c>
      <c r="N250" s="2">
        <v>458</v>
      </c>
      <c r="O250" s="2">
        <v>0</v>
      </c>
      <c r="P250" s="2">
        <v>335</v>
      </c>
      <c r="Q250" s="3">
        <f t="shared" si="6"/>
        <v>28384</v>
      </c>
      <c r="R250" s="3">
        <v>7944</v>
      </c>
      <c r="S250" s="3">
        <v>16274</v>
      </c>
      <c r="T250" s="5">
        <f t="shared" si="7"/>
        <v>4166</v>
      </c>
    </row>
    <row r="251" spans="1:20" ht="18.75" customHeight="1">
      <c r="A251" s="7" t="s">
        <v>22</v>
      </c>
      <c r="B251" s="10">
        <v>45541</v>
      </c>
      <c r="C251" s="2">
        <v>2075</v>
      </c>
      <c r="D251" s="2">
        <v>1950</v>
      </c>
      <c r="E251" s="2">
        <v>370</v>
      </c>
      <c r="F251" s="2">
        <v>3601</v>
      </c>
      <c r="G251" s="2">
        <v>2870</v>
      </c>
      <c r="H251" s="2">
        <v>406</v>
      </c>
      <c r="I251" s="2">
        <v>1250</v>
      </c>
      <c r="J251" s="2">
        <v>0</v>
      </c>
      <c r="K251" s="2">
        <v>0</v>
      </c>
      <c r="L251" s="2">
        <v>9935</v>
      </c>
      <c r="M251" s="2">
        <v>8984</v>
      </c>
      <c r="N251" s="2">
        <v>806</v>
      </c>
      <c r="O251" s="2">
        <v>0</v>
      </c>
      <c r="P251" s="2">
        <v>0</v>
      </c>
      <c r="Q251" s="3">
        <f t="shared" si="6"/>
        <v>32247</v>
      </c>
      <c r="R251" s="3">
        <v>8935</v>
      </c>
      <c r="S251" s="3">
        <v>18387</v>
      </c>
      <c r="T251" s="5">
        <f t="shared" si="7"/>
        <v>4925</v>
      </c>
    </row>
    <row r="252" spans="1:20" ht="18.75" customHeight="1">
      <c r="A252" s="7" t="s">
        <v>23</v>
      </c>
      <c r="B252" s="10">
        <v>45542</v>
      </c>
      <c r="C252" s="2">
        <v>1800</v>
      </c>
      <c r="D252" s="2">
        <v>795</v>
      </c>
      <c r="E252" s="2">
        <v>265</v>
      </c>
      <c r="F252" s="2">
        <v>2486</v>
      </c>
      <c r="G252" s="2">
        <v>3042</v>
      </c>
      <c r="H252" s="2">
        <v>1010</v>
      </c>
      <c r="I252" s="2">
        <v>1960</v>
      </c>
      <c r="J252" s="2">
        <v>0</v>
      </c>
      <c r="K252" s="2">
        <v>0</v>
      </c>
      <c r="L252" s="2">
        <v>19874</v>
      </c>
      <c r="M252" s="2">
        <v>8491</v>
      </c>
      <c r="N252" s="2">
        <v>513</v>
      </c>
      <c r="O252" s="2">
        <v>0</v>
      </c>
      <c r="P252" s="2">
        <v>0</v>
      </c>
      <c r="Q252" s="3">
        <f t="shared" si="6"/>
        <v>40236</v>
      </c>
      <c r="R252" s="3">
        <v>11432</v>
      </c>
      <c r="S252" s="3">
        <v>18025</v>
      </c>
      <c r="T252" s="5">
        <f t="shared" si="7"/>
        <v>10779</v>
      </c>
    </row>
    <row r="253" spans="1:20" ht="18.75" customHeight="1">
      <c r="A253" s="7" t="s">
        <v>17</v>
      </c>
      <c r="B253" s="10">
        <v>45543</v>
      </c>
      <c r="C253" s="2">
        <v>2815</v>
      </c>
      <c r="D253" s="2">
        <v>1405</v>
      </c>
      <c r="E253" s="2">
        <v>0</v>
      </c>
      <c r="F253" s="2">
        <v>2855</v>
      </c>
      <c r="G253" s="2">
        <v>2768</v>
      </c>
      <c r="H253" s="2">
        <v>145</v>
      </c>
      <c r="I253" s="2">
        <v>1585</v>
      </c>
      <c r="J253" s="2">
        <v>0</v>
      </c>
      <c r="K253" s="2">
        <v>0</v>
      </c>
      <c r="L253" s="2">
        <v>14812</v>
      </c>
      <c r="M253" s="2">
        <v>7183</v>
      </c>
      <c r="N253" s="2">
        <v>886</v>
      </c>
      <c r="O253" s="2">
        <v>0</v>
      </c>
      <c r="P253" s="2">
        <v>1049</v>
      </c>
      <c r="Q253" s="3">
        <f t="shared" si="6"/>
        <v>35503</v>
      </c>
      <c r="R253" s="3">
        <v>10426</v>
      </c>
      <c r="S253" s="3">
        <v>10495</v>
      </c>
      <c r="T253" s="5">
        <f t="shared" si="7"/>
        <v>14582</v>
      </c>
    </row>
    <row r="254" spans="1:20" ht="18.75" customHeight="1">
      <c r="A254" s="7" t="s">
        <v>18</v>
      </c>
      <c r="B254" s="10">
        <v>45544</v>
      </c>
      <c r="C254" s="2">
        <v>1215</v>
      </c>
      <c r="D254" s="2">
        <v>1085</v>
      </c>
      <c r="E254" s="2">
        <v>280</v>
      </c>
      <c r="F254" s="2">
        <v>2663</v>
      </c>
      <c r="G254" s="2">
        <v>2027</v>
      </c>
      <c r="H254" s="2">
        <v>1115</v>
      </c>
      <c r="I254" s="2">
        <v>1605</v>
      </c>
      <c r="J254" s="2">
        <v>0</v>
      </c>
      <c r="K254" s="2">
        <v>0</v>
      </c>
      <c r="L254" s="2">
        <v>8355</v>
      </c>
      <c r="M254" s="2">
        <v>5061</v>
      </c>
      <c r="N254" s="2">
        <v>503</v>
      </c>
      <c r="O254" s="2">
        <v>125</v>
      </c>
      <c r="P254" s="2">
        <v>0</v>
      </c>
      <c r="Q254" s="3">
        <f t="shared" si="6"/>
        <v>24034</v>
      </c>
      <c r="R254" s="3">
        <v>7805</v>
      </c>
      <c r="S254" s="3">
        <v>9921</v>
      </c>
      <c r="T254" s="5">
        <f t="shared" si="7"/>
        <v>6308</v>
      </c>
    </row>
    <row r="255" spans="1:20" ht="18.75" customHeight="1">
      <c r="A255" s="7" t="s">
        <v>19</v>
      </c>
      <c r="B255" s="10">
        <v>45545</v>
      </c>
      <c r="C255" s="2">
        <v>1290</v>
      </c>
      <c r="D255" s="2">
        <v>820</v>
      </c>
      <c r="E255" s="2">
        <v>630</v>
      </c>
      <c r="F255" s="2">
        <v>3520</v>
      </c>
      <c r="G255" s="2">
        <v>1471</v>
      </c>
      <c r="H255" s="2">
        <v>840</v>
      </c>
      <c r="I255" s="2">
        <v>1470</v>
      </c>
      <c r="J255" s="2">
        <v>0</v>
      </c>
      <c r="K255" s="2">
        <v>0</v>
      </c>
      <c r="L255" s="2">
        <v>8029</v>
      </c>
      <c r="M255" s="2">
        <v>2918</v>
      </c>
      <c r="N255" s="2">
        <v>688</v>
      </c>
      <c r="O255" s="2">
        <v>0</v>
      </c>
      <c r="P255" s="2">
        <v>598</v>
      </c>
      <c r="Q255" s="3">
        <f t="shared" si="6"/>
        <v>22274</v>
      </c>
      <c r="R255" s="3">
        <v>7178</v>
      </c>
      <c r="S255" s="3">
        <v>10134</v>
      </c>
      <c r="T255" s="5">
        <f t="shared" si="7"/>
        <v>4962</v>
      </c>
    </row>
    <row r="256" spans="1:20" ht="18.75" customHeight="1">
      <c r="A256" s="7" t="s">
        <v>20</v>
      </c>
      <c r="B256" s="10">
        <v>45546</v>
      </c>
      <c r="C256" s="2">
        <v>1790</v>
      </c>
      <c r="D256" s="2">
        <v>735</v>
      </c>
      <c r="E256" s="2">
        <v>815</v>
      </c>
      <c r="F256" s="2">
        <v>2790</v>
      </c>
      <c r="G256" s="2">
        <v>1813</v>
      </c>
      <c r="H256" s="2">
        <v>817</v>
      </c>
      <c r="I256" s="2">
        <v>1540</v>
      </c>
      <c r="J256" s="2">
        <v>0</v>
      </c>
      <c r="K256" s="2">
        <v>0</v>
      </c>
      <c r="L256" s="2">
        <v>14003</v>
      </c>
      <c r="M256" s="2">
        <v>4873</v>
      </c>
      <c r="N256" s="2">
        <v>1232</v>
      </c>
      <c r="O256" s="2">
        <v>428</v>
      </c>
      <c r="P256" s="2">
        <v>0</v>
      </c>
      <c r="Q256" s="3">
        <f t="shared" si="6"/>
        <v>30836</v>
      </c>
      <c r="R256" s="3">
        <v>11425</v>
      </c>
      <c r="S256" s="3">
        <v>15328</v>
      </c>
      <c r="T256" s="5">
        <f t="shared" si="7"/>
        <v>4083</v>
      </c>
    </row>
    <row r="257" spans="1:20" ht="18.75" customHeight="1">
      <c r="A257" s="7" t="s">
        <v>21</v>
      </c>
      <c r="B257" s="10">
        <v>45547</v>
      </c>
      <c r="C257" s="2">
        <v>1875</v>
      </c>
      <c r="D257" s="2">
        <v>1290</v>
      </c>
      <c r="E257" s="2">
        <v>0</v>
      </c>
      <c r="F257" s="2">
        <v>2615</v>
      </c>
      <c r="G257" s="2">
        <v>1687</v>
      </c>
      <c r="H257" s="2">
        <v>1090</v>
      </c>
      <c r="I257" s="2">
        <v>2115</v>
      </c>
      <c r="J257" s="2">
        <v>0</v>
      </c>
      <c r="K257" s="2">
        <v>0</v>
      </c>
      <c r="L257" s="2">
        <v>8227</v>
      </c>
      <c r="M257" s="2">
        <v>5868</v>
      </c>
      <c r="N257" s="2">
        <v>524</v>
      </c>
      <c r="O257" s="2">
        <v>300</v>
      </c>
      <c r="P257" s="2">
        <v>1363</v>
      </c>
      <c r="Q257" s="3">
        <f t="shared" si="6"/>
        <v>26954</v>
      </c>
      <c r="R257" s="3">
        <v>10321</v>
      </c>
      <c r="S257" s="3">
        <v>13550</v>
      </c>
      <c r="T257" s="5">
        <f t="shared" si="7"/>
        <v>3083</v>
      </c>
    </row>
    <row r="258" spans="1:20" ht="18.75" customHeight="1">
      <c r="A258" s="7" t="s">
        <v>22</v>
      </c>
      <c r="B258" s="10">
        <v>45548</v>
      </c>
      <c r="C258" s="2">
        <v>1695</v>
      </c>
      <c r="D258" s="2">
        <v>1700</v>
      </c>
      <c r="E258" s="2">
        <v>950</v>
      </c>
      <c r="F258" s="2">
        <v>3200</v>
      </c>
      <c r="G258" s="2">
        <v>1854</v>
      </c>
      <c r="H258" s="2">
        <v>1140</v>
      </c>
      <c r="I258" s="2">
        <v>1565</v>
      </c>
      <c r="J258" s="2">
        <v>0</v>
      </c>
      <c r="K258" s="2">
        <v>0</v>
      </c>
      <c r="L258" s="2">
        <v>8779</v>
      </c>
      <c r="M258" s="2">
        <v>7197</v>
      </c>
      <c r="N258" s="2">
        <v>1632</v>
      </c>
      <c r="O258" s="2">
        <v>355</v>
      </c>
      <c r="P258" s="2">
        <v>0</v>
      </c>
      <c r="Q258" s="3">
        <f t="shared" si="6"/>
        <v>30067</v>
      </c>
      <c r="R258" s="3">
        <v>9065</v>
      </c>
      <c r="S258" s="3">
        <v>18879</v>
      </c>
      <c r="T258" s="5">
        <f t="shared" si="7"/>
        <v>2123</v>
      </c>
    </row>
    <row r="259" spans="1:20" ht="18.75" customHeight="1">
      <c r="A259" s="7" t="s">
        <v>23</v>
      </c>
      <c r="B259" s="10">
        <v>45549</v>
      </c>
      <c r="C259" s="2">
        <v>1985</v>
      </c>
      <c r="D259" s="2">
        <v>1365</v>
      </c>
      <c r="E259" s="2">
        <v>0</v>
      </c>
      <c r="F259" s="2">
        <v>3760</v>
      </c>
      <c r="G259" s="2">
        <v>2233</v>
      </c>
      <c r="H259" s="2">
        <v>470</v>
      </c>
      <c r="I259" s="2">
        <v>1465</v>
      </c>
      <c r="J259" s="2">
        <v>0</v>
      </c>
      <c r="K259" s="2">
        <v>0</v>
      </c>
      <c r="L259" s="2">
        <v>27069</v>
      </c>
      <c r="M259" s="2">
        <v>17000</v>
      </c>
      <c r="N259" s="2">
        <v>306</v>
      </c>
      <c r="O259" s="2">
        <v>1671</v>
      </c>
      <c r="P259" s="2">
        <v>1016</v>
      </c>
      <c r="Q259" s="3">
        <f t="shared" ref="Q259:Q322" si="8">SUM(C259:P259)</f>
        <v>58340</v>
      </c>
      <c r="R259" s="3">
        <v>11670</v>
      </c>
      <c r="S259" s="3">
        <v>35913</v>
      </c>
      <c r="T259" s="5">
        <f t="shared" ref="T259:T322" si="9">Q259-R259-S259</f>
        <v>10757</v>
      </c>
    </row>
    <row r="260" spans="1:20" ht="18.75" customHeight="1">
      <c r="A260" s="7" t="s">
        <v>17</v>
      </c>
      <c r="B260" s="10">
        <v>45550</v>
      </c>
      <c r="C260" s="2">
        <v>2335</v>
      </c>
      <c r="D260" s="2">
        <v>1010</v>
      </c>
      <c r="E260" s="2">
        <v>0</v>
      </c>
      <c r="F260" s="2">
        <v>4280</v>
      </c>
      <c r="G260" s="2">
        <v>1480</v>
      </c>
      <c r="H260" s="2">
        <v>150</v>
      </c>
      <c r="I260" s="2">
        <v>2300</v>
      </c>
      <c r="J260" s="2">
        <v>0</v>
      </c>
      <c r="K260" s="2">
        <v>0</v>
      </c>
      <c r="L260" s="2">
        <v>21864</v>
      </c>
      <c r="M260" s="2">
        <v>19936</v>
      </c>
      <c r="N260" s="2">
        <v>737</v>
      </c>
      <c r="O260" s="2">
        <v>120</v>
      </c>
      <c r="P260" s="2">
        <v>90</v>
      </c>
      <c r="Q260" s="3">
        <f t="shared" si="8"/>
        <v>54302</v>
      </c>
      <c r="R260" s="3">
        <v>11245</v>
      </c>
      <c r="S260" s="3">
        <v>23751</v>
      </c>
      <c r="T260" s="5">
        <f t="shared" si="9"/>
        <v>19306</v>
      </c>
    </row>
    <row r="261" spans="1:20" ht="18.75" customHeight="1">
      <c r="A261" s="7" t="s">
        <v>18</v>
      </c>
      <c r="B261" s="10">
        <v>45551</v>
      </c>
      <c r="C261" s="2">
        <v>4000</v>
      </c>
      <c r="D261" s="2">
        <v>1825</v>
      </c>
      <c r="E261" s="2">
        <v>0</v>
      </c>
      <c r="F261" s="2">
        <v>5465</v>
      </c>
      <c r="G261" s="2">
        <v>1619</v>
      </c>
      <c r="H261" s="2">
        <v>735</v>
      </c>
      <c r="I261" s="2">
        <v>980</v>
      </c>
      <c r="J261" s="2">
        <v>0</v>
      </c>
      <c r="K261" s="2">
        <v>0</v>
      </c>
      <c r="L261" s="2">
        <v>21639</v>
      </c>
      <c r="M261" s="2">
        <v>14150</v>
      </c>
      <c r="N261" s="2">
        <v>840</v>
      </c>
      <c r="O261" s="2">
        <v>0</v>
      </c>
      <c r="P261" s="2">
        <v>1605</v>
      </c>
      <c r="Q261" s="3">
        <f t="shared" si="8"/>
        <v>52858</v>
      </c>
      <c r="R261" s="3">
        <v>9620</v>
      </c>
      <c r="S261" s="3">
        <v>26135</v>
      </c>
      <c r="T261" s="5">
        <f t="shared" si="9"/>
        <v>17103</v>
      </c>
    </row>
    <row r="262" spans="1:20" ht="18.75" customHeight="1">
      <c r="A262" s="7" t="s">
        <v>19</v>
      </c>
      <c r="B262" s="10">
        <v>45552</v>
      </c>
      <c r="C262" s="2">
        <v>1425</v>
      </c>
      <c r="D262" s="2">
        <v>1775</v>
      </c>
      <c r="E262" s="2">
        <v>685</v>
      </c>
      <c r="F262" s="2">
        <v>2170</v>
      </c>
      <c r="G262" s="2">
        <v>2215</v>
      </c>
      <c r="H262" s="2">
        <v>950</v>
      </c>
      <c r="I262" s="2">
        <v>1725</v>
      </c>
      <c r="J262" s="2">
        <v>0</v>
      </c>
      <c r="K262" s="2">
        <v>0</v>
      </c>
      <c r="L262" s="2">
        <v>9222</v>
      </c>
      <c r="M262" s="2">
        <v>3190</v>
      </c>
      <c r="N262" s="2">
        <v>699</v>
      </c>
      <c r="O262" s="2">
        <v>906</v>
      </c>
      <c r="P262" s="2">
        <v>0</v>
      </c>
      <c r="Q262" s="3">
        <f t="shared" si="8"/>
        <v>24962</v>
      </c>
      <c r="R262" s="3">
        <v>7919</v>
      </c>
      <c r="S262" s="3">
        <v>16533</v>
      </c>
      <c r="T262" s="5">
        <f t="shared" si="9"/>
        <v>510</v>
      </c>
    </row>
    <row r="263" spans="1:20" ht="18.75" customHeight="1">
      <c r="A263" s="7" t="s">
        <v>20</v>
      </c>
      <c r="B263" s="10">
        <v>45553</v>
      </c>
      <c r="C263" s="2">
        <v>1795</v>
      </c>
      <c r="D263" s="2">
        <v>1235</v>
      </c>
      <c r="E263" s="2">
        <v>385</v>
      </c>
      <c r="F263" s="2">
        <v>2856</v>
      </c>
      <c r="G263" s="2">
        <v>2680</v>
      </c>
      <c r="H263" s="2">
        <v>815</v>
      </c>
      <c r="I263" s="2">
        <v>1486</v>
      </c>
      <c r="J263" s="2">
        <v>0</v>
      </c>
      <c r="K263" s="2">
        <v>0</v>
      </c>
      <c r="L263" s="2">
        <v>8473</v>
      </c>
      <c r="M263" s="2">
        <v>4820</v>
      </c>
      <c r="N263" s="2">
        <v>3521</v>
      </c>
      <c r="O263" s="2">
        <v>180</v>
      </c>
      <c r="P263" s="2">
        <v>0</v>
      </c>
      <c r="Q263" s="3">
        <f t="shared" si="8"/>
        <v>28246</v>
      </c>
      <c r="R263" s="3">
        <v>9601</v>
      </c>
      <c r="S263" s="3">
        <v>10387</v>
      </c>
      <c r="T263" s="5">
        <f t="shared" si="9"/>
        <v>8258</v>
      </c>
    </row>
    <row r="264" spans="1:20" ht="18.75" customHeight="1">
      <c r="A264" s="7" t="s">
        <v>21</v>
      </c>
      <c r="B264" s="10">
        <v>45554</v>
      </c>
      <c r="C264" s="2">
        <v>2215</v>
      </c>
      <c r="D264" s="2">
        <v>1370</v>
      </c>
      <c r="E264" s="2">
        <v>891</v>
      </c>
      <c r="F264" s="2">
        <v>2540</v>
      </c>
      <c r="G264" s="2">
        <v>1434</v>
      </c>
      <c r="H264" s="2">
        <v>385</v>
      </c>
      <c r="I264" s="2">
        <v>1665</v>
      </c>
      <c r="J264" s="2">
        <v>0</v>
      </c>
      <c r="K264" s="2">
        <v>0</v>
      </c>
      <c r="L264" s="2">
        <v>12092</v>
      </c>
      <c r="M264" s="2">
        <v>7935</v>
      </c>
      <c r="N264" s="2">
        <v>1583</v>
      </c>
      <c r="O264" s="2">
        <v>0</v>
      </c>
      <c r="P264" s="2">
        <v>443</v>
      </c>
      <c r="Q264" s="3">
        <f t="shared" si="8"/>
        <v>32553</v>
      </c>
      <c r="R264" s="3">
        <v>11421</v>
      </c>
      <c r="S264" s="3">
        <v>16196</v>
      </c>
      <c r="T264" s="5">
        <f t="shared" si="9"/>
        <v>4936</v>
      </c>
    </row>
    <row r="265" spans="1:20" ht="18.75" customHeight="1">
      <c r="A265" s="7" t="s">
        <v>22</v>
      </c>
      <c r="B265" s="10">
        <v>45555</v>
      </c>
      <c r="C265" s="2">
        <v>2330</v>
      </c>
      <c r="D265" s="2">
        <v>1480</v>
      </c>
      <c r="E265" s="2">
        <v>775</v>
      </c>
      <c r="F265" s="2">
        <v>3410</v>
      </c>
      <c r="G265" s="2">
        <v>2178</v>
      </c>
      <c r="H265" s="2">
        <v>1015</v>
      </c>
      <c r="I265" s="2">
        <v>1475</v>
      </c>
      <c r="J265" s="2">
        <v>0</v>
      </c>
      <c r="K265" s="2">
        <v>0</v>
      </c>
      <c r="L265" s="2">
        <v>13596</v>
      </c>
      <c r="M265" s="2">
        <v>8536</v>
      </c>
      <c r="N265" s="2">
        <v>2410</v>
      </c>
      <c r="O265" s="2">
        <v>0</v>
      </c>
      <c r="P265" s="2">
        <v>636</v>
      </c>
      <c r="Q265" s="3">
        <f t="shared" si="8"/>
        <v>37841</v>
      </c>
      <c r="R265" s="3">
        <v>9216</v>
      </c>
      <c r="S265" s="3">
        <v>23229</v>
      </c>
      <c r="T265" s="5">
        <f t="shared" si="9"/>
        <v>5396</v>
      </c>
    </row>
    <row r="266" spans="1:20" ht="18.75" customHeight="1">
      <c r="A266" s="7" t="s">
        <v>23</v>
      </c>
      <c r="B266" s="10">
        <v>45556</v>
      </c>
      <c r="C266" s="2">
        <v>2175</v>
      </c>
      <c r="D266" s="2">
        <v>1790</v>
      </c>
      <c r="E266" s="2">
        <v>745</v>
      </c>
      <c r="F266" s="2">
        <v>2860</v>
      </c>
      <c r="G266" s="2">
        <v>2357</v>
      </c>
      <c r="H266" s="2">
        <v>1410</v>
      </c>
      <c r="I266" s="2">
        <v>1655</v>
      </c>
      <c r="J266" s="2">
        <v>0</v>
      </c>
      <c r="K266" s="2">
        <v>0</v>
      </c>
      <c r="L266" s="2">
        <v>12911</v>
      </c>
      <c r="M266" s="2">
        <v>14316</v>
      </c>
      <c r="N266" s="2">
        <v>892</v>
      </c>
      <c r="O266" s="2">
        <v>0</v>
      </c>
      <c r="P266" s="2">
        <v>200</v>
      </c>
      <c r="Q266" s="3">
        <f t="shared" si="8"/>
        <v>41311</v>
      </c>
      <c r="R266" s="3">
        <v>10766</v>
      </c>
      <c r="S266" s="3">
        <v>21519</v>
      </c>
      <c r="T266" s="5">
        <f t="shared" si="9"/>
        <v>9026</v>
      </c>
    </row>
    <row r="267" spans="1:20" ht="18.75" customHeight="1">
      <c r="A267" s="7" t="s">
        <v>17</v>
      </c>
      <c r="B267" s="10">
        <v>45557</v>
      </c>
      <c r="C267" s="2">
        <v>2040</v>
      </c>
      <c r="D267" s="2">
        <v>1380</v>
      </c>
      <c r="E267" s="2">
        <v>495</v>
      </c>
      <c r="F267" s="2">
        <v>2655</v>
      </c>
      <c r="G267" s="2">
        <v>2845</v>
      </c>
      <c r="H267" s="2">
        <v>480</v>
      </c>
      <c r="I267" s="2">
        <v>603</v>
      </c>
      <c r="J267" s="2">
        <v>0</v>
      </c>
      <c r="K267" s="2">
        <v>0</v>
      </c>
      <c r="L267" s="2">
        <v>36243</v>
      </c>
      <c r="M267" s="2">
        <v>12228</v>
      </c>
      <c r="N267" s="2">
        <v>911</v>
      </c>
      <c r="O267" s="2">
        <v>264</v>
      </c>
      <c r="P267" s="2">
        <v>480</v>
      </c>
      <c r="Q267" s="3">
        <f t="shared" si="8"/>
        <v>60624</v>
      </c>
      <c r="R267" s="3">
        <v>10130</v>
      </c>
      <c r="S267" s="3">
        <v>23400</v>
      </c>
      <c r="T267" s="5">
        <f t="shared" si="9"/>
        <v>27094</v>
      </c>
    </row>
    <row r="268" spans="1:20" ht="18.75" customHeight="1">
      <c r="A268" s="7" t="s">
        <v>18</v>
      </c>
      <c r="B268" s="10">
        <v>45558</v>
      </c>
      <c r="C268" s="2">
        <v>2610</v>
      </c>
      <c r="D268" s="2">
        <v>905</v>
      </c>
      <c r="E268" s="2">
        <v>330</v>
      </c>
      <c r="F268" s="2">
        <v>3925</v>
      </c>
      <c r="G268" s="2">
        <v>2561</v>
      </c>
      <c r="H268" s="2">
        <v>710</v>
      </c>
      <c r="I268" s="2">
        <v>1080</v>
      </c>
      <c r="J268" s="2">
        <v>0</v>
      </c>
      <c r="K268" s="2">
        <v>0</v>
      </c>
      <c r="L268" s="2">
        <v>9772</v>
      </c>
      <c r="M268" s="2">
        <v>4538</v>
      </c>
      <c r="N268" s="2">
        <v>1139</v>
      </c>
      <c r="O268" s="2">
        <v>0</v>
      </c>
      <c r="P268" s="2">
        <v>999</v>
      </c>
      <c r="Q268" s="3">
        <f t="shared" si="8"/>
        <v>28569</v>
      </c>
      <c r="R268" s="3">
        <v>8169</v>
      </c>
      <c r="S268" s="3">
        <v>15461</v>
      </c>
      <c r="T268" s="5">
        <f t="shared" si="9"/>
        <v>4939</v>
      </c>
    </row>
    <row r="269" spans="1:20" ht="18.75" customHeight="1">
      <c r="A269" s="7" t="s">
        <v>19</v>
      </c>
      <c r="B269" s="10">
        <v>45559</v>
      </c>
      <c r="C269" s="2">
        <v>1615</v>
      </c>
      <c r="D269" s="2">
        <v>1035</v>
      </c>
      <c r="E269" s="2">
        <v>540</v>
      </c>
      <c r="F269" s="2">
        <v>3065</v>
      </c>
      <c r="G269" s="2">
        <v>2568</v>
      </c>
      <c r="H269" s="2">
        <v>370</v>
      </c>
      <c r="I269" s="2">
        <v>2295</v>
      </c>
      <c r="J269" s="2">
        <v>0</v>
      </c>
      <c r="K269" s="2">
        <v>0</v>
      </c>
      <c r="L269" s="2">
        <v>12019</v>
      </c>
      <c r="M269" s="2">
        <v>4360</v>
      </c>
      <c r="N269" s="2">
        <v>1249</v>
      </c>
      <c r="O269" s="2">
        <v>0</v>
      </c>
      <c r="P269" s="2">
        <v>1149</v>
      </c>
      <c r="Q269" s="3">
        <f t="shared" si="8"/>
        <v>30265</v>
      </c>
      <c r="R269" s="3">
        <v>7507</v>
      </c>
      <c r="S269" s="3">
        <v>17126</v>
      </c>
      <c r="T269" s="5">
        <f t="shared" si="9"/>
        <v>5632</v>
      </c>
    </row>
    <row r="270" spans="1:20" ht="18.75" customHeight="1">
      <c r="A270" s="7" t="s">
        <v>20</v>
      </c>
      <c r="B270" s="10">
        <v>45560</v>
      </c>
      <c r="C270" s="2">
        <v>1665</v>
      </c>
      <c r="D270" s="2">
        <v>520</v>
      </c>
      <c r="E270" s="2">
        <v>475</v>
      </c>
      <c r="F270" s="2">
        <v>3495</v>
      </c>
      <c r="G270" s="2">
        <v>1500</v>
      </c>
      <c r="H270" s="2">
        <v>840</v>
      </c>
      <c r="I270" s="2">
        <v>1305</v>
      </c>
      <c r="J270" s="2">
        <v>0</v>
      </c>
      <c r="K270" s="2">
        <v>0</v>
      </c>
      <c r="L270" s="2">
        <v>8680</v>
      </c>
      <c r="M270" s="2">
        <v>6641</v>
      </c>
      <c r="N270" s="2">
        <v>1946</v>
      </c>
      <c r="O270" s="2">
        <v>165</v>
      </c>
      <c r="P270" s="2">
        <v>250</v>
      </c>
      <c r="Q270" s="3">
        <f t="shared" si="8"/>
        <v>27482</v>
      </c>
      <c r="R270" s="3">
        <v>10905</v>
      </c>
      <c r="S270" s="3">
        <v>10616</v>
      </c>
      <c r="T270" s="5">
        <f t="shared" si="9"/>
        <v>5961</v>
      </c>
    </row>
    <row r="271" spans="1:20" ht="18.75" customHeight="1">
      <c r="A271" s="7" t="s">
        <v>21</v>
      </c>
      <c r="B271" s="10">
        <v>45561</v>
      </c>
      <c r="C271" s="2">
        <v>1485</v>
      </c>
      <c r="D271" s="2">
        <v>620</v>
      </c>
      <c r="E271" s="2">
        <v>1185</v>
      </c>
      <c r="F271" s="2">
        <v>2200</v>
      </c>
      <c r="G271" s="2">
        <v>2415.5</v>
      </c>
      <c r="H271" s="2">
        <v>730</v>
      </c>
      <c r="I271" s="2">
        <v>1695</v>
      </c>
      <c r="J271" s="2">
        <v>0</v>
      </c>
      <c r="K271" s="2">
        <v>0</v>
      </c>
      <c r="L271" s="2">
        <v>8377</v>
      </c>
      <c r="M271" s="2">
        <v>5431</v>
      </c>
      <c r="N271" s="2">
        <v>583</v>
      </c>
      <c r="O271" s="2">
        <v>0</v>
      </c>
      <c r="P271" s="2">
        <v>750</v>
      </c>
      <c r="Q271" s="3">
        <f t="shared" si="8"/>
        <v>25471.5</v>
      </c>
      <c r="R271" s="3">
        <v>8480</v>
      </c>
      <c r="S271" s="3">
        <v>13840</v>
      </c>
      <c r="T271" s="5">
        <f t="shared" si="9"/>
        <v>3151.5</v>
      </c>
    </row>
    <row r="272" spans="1:20" ht="18.75" customHeight="1">
      <c r="A272" s="7" t="s">
        <v>22</v>
      </c>
      <c r="B272" s="10">
        <v>45562</v>
      </c>
      <c r="C272" s="2">
        <v>2800</v>
      </c>
      <c r="D272" s="2">
        <v>2375</v>
      </c>
      <c r="E272" s="2">
        <v>695</v>
      </c>
      <c r="F272" s="2">
        <v>3525</v>
      </c>
      <c r="G272" s="2">
        <v>1870</v>
      </c>
      <c r="H272" s="2">
        <v>1090</v>
      </c>
      <c r="I272" s="2">
        <v>2665</v>
      </c>
      <c r="J272" s="2">
        <v>0</v>
      </c>
      <c r="K272" s="2">
        <v>0</v>
      </c>
      <c r="L272" s="2">
        <v>15496</v>
      </c>
      <c r="M272" s="2">
        <v>5438</v>
      </c>
      <c r="N272" s="2">
        <v>3601</v>
      </c>
      <c r="O272" s="2">
        <v>108</v>
      </c>
      <c r="P272" s="2">
        <v>0</v>
      </c>
      <c r="Q272" s="3">
        <f t="shared" si="8"/>
        <v>39663</v>
      </c>
      <c r="R272" s="3">
        <v>9770</v>
      </c>
      <c r="S272" s="3">
        <v>18641</v>
      </c>
      <c r="T272" s="5">
        <f t="shared" si="9"/>
        <v>11252</v>
      </c>
    </row>
    <row r="273" spans="1:20" ht="18.75" customHeight="1">
      <c r="A273" s="7" t="s">
        <v>23</v>
      </c>
      <c r="B273" s="10">
        <v>45563</v>
      </c>
      <c r="C273" s="2">
        <v>1440</v>
      </c>
      <c r="D273" s="2">
        <v>1275</v>
      </c>
      <c r="E273" s="2">
        <v>1297</v>
      </c>
      <c r="F273" s="2">
        <v>2523</v>
      </c>
      <c r="G273" s="2">
        <v>2851</v>
      </c>
      <c r="H273" s="2">
        <v>1295</v>
      </c>
      <c r="I273" s="2">
        <v>1700</v>
      </c>
      <c r="J273" s="2">
        <v>0</v>
      </c>
      <c r="K273" s="2">
        <v>0</v>
      </c>
      <c r="L273" s="2">
        <v>17179</v>
      </c>
      <c r="M273" s="2">
        <v>12386</v>
      </c>
      <c r="N273" s="2">
        <v>826</v>
      </c>
      <c r="O273" s="2">
        <v>765</v>
      </c>
      <c r="P273" s="2">
        <v>0</v>
      </c>
      <c r="Q273" s="3">
        <f t="shared" si="8"/>
        <v>43537</v>
      </c>
      <c r="R273" s="3">
        <v>9892</v>
      </c>
      <c r="S273" s="3">
        <v>9892</v>
      </c>
      <c r="T273" s="5">
        <f t="shared" si="9"/>
        <v>23753</v>
      </c>
    </row>
    <row r="274" spans="1:20" ht="18.75" customHeight="1">
      <c r="A274" s="7" t="s">
        <v>17</v>
      </c>
      <c r="B274" s="10">
        <v>45564</v>
      </c>
      <c r="C274" s="2">
        <v>2385</v>
      </c>
      <c r="D274" s="2">
        <v>1405</v>
      </c>
      <c r="E274" s="2">
        <v>0</v>
      </c>
      <c r="F274" s="2">
        <v>4415</v>
      </c>
      <c r="G274" s="2">
        <v>2344</v>
      </c>
      <c r="H274" s="2">
        <v>575</v>
      </c>
      <c r="I274" s="2">
        <v>2353</v>
      </c>
      <c r="J274" s="2">
        <v>0</v>
      </c>
      <c r="K274" s="2">
        <v>0</v>
      </c>
      <c r="L274" s="2">
        <v>17054</v>
      </c>
      <c r="M274" s="2">
        <v>14332</v>
      </c>
      <c r="N274" s="2">
        <v>871</v>
      </c>
      <c r="O274" s="2">
        <v>0</v>
      </c>
      <c r="P274" s="2">
        <v>810</v>
      </c>
      <c r="Q274" s="3">
        <f t="shared" si="8"/>
        <v>46544</v>
      </c>
      <c r="R274" s="3">
        <v>9297</v>
      </c>
      <c r="S274" s="3">
        <v>19947</v>
      </c>
      <c r="T274" s="5">
        <f t="shared" si="9"/>
        <v>17300</v>
      </c>
    </row>
    <row r="275" spans="1:20" ht="18.75" customHeight="1">
      <c r="A275" s="7" t="s">
        <v>18</v>
      </c>
      <c r="B275" s="10">
        <v>45565</v>
      </c>
      <c r="C275" s="2">
        <v>1615</v>
      </c>
      <c r="D275" s="2">
        <v>1240</v>
      </c>
      <c r="E275" s="2">
        <v>1255</v>
      </c>
      <c r="F275" s="2">
        <v>3590</v>
      </c>
      <c r="G275" s="2">
        <v>2221</v>
      </c>
      <c r="H275" s="2">
        <v>765</v>
      </c>
      <c r="I275" s="2">
        <v>1450</v>
      </c>
      <c r="J275" s="2">
        <v>0</v>
      </c>
      <c r="K275" s="2">
        <v>0</v>
      </c>
      <c r="L275" s="2">
        <v>11018</v>
      </c>
      <c r="M275" s="2">
        <v>7540</v>
      </c>
      <c r="N275" s="2">
        <v>929</v>
      </c>
      <c r="O275" s="2">
        <v>0</v>
      </c>
      <c r="P275" s="2">
        <v>613</v>
      </c>
      <c r="Q275" s="3">
        <f t="shared" si="8"/>
        <v>32236</v>
      </c>
      <c r="R275" s="3">
        <v>8420</v>
      </c>
      <c r="S275" s="3">
        <v>17036</v>
      </c>
      <c r="T275" s="5">
        <f t="shared" si="9"/>
        <v>6780</v>
      </c>
    </row>
    <row r="276" spans="1:20" ht="18.75" customHeight="1">
      <c r="A276" s="7" t="s">
        <v>19</v>
      </c>
      <c r="B276" s="10">
        <v>45566</v>
      </c>
      <c r="C276" s="2">
        <v>1840</v>
      </c>
      <c r="D276" s="2">
        <v>1365</v>
      </c>
      <c r="E276" s="2">
        <v>230</v>
      </c>
      <c r="F276" s="2">
        <v>4255</v>
      </c>
      <c r="G276" s="2">
        <v>1153</v>
      </c>
      <c r="H276" s="2">
        <v>1050</v>
      </c>
      <c r="I276" s="2">
        <v>1512</v>
      </c>
      <c r="J276" s="2">
        <v>0</v>
      </c>
      <c r="K276" s="2">
        <v>0</v>
      </c>
      <c r="L276" s="2">
        <v>13918</v>
      </c>
      <c r="M276" s="2">
        <v>7734</v>
      </c>
      <c r="N276" s="2">
        <v>896</v>
      </c>
      <c r="O276" s="2">
        <v>0</v>
      </c>
      <c r="P276" s="2">
        <v>1298</v>
      </c>
      <c r="Q276" s="3">
        <f t="shared" si="8"/>
        <v>35251</v>
      </c>
      <c r="R276" s="3">
        <v>15375</v>
      </c>
      <c r="S276" s="3">
        <v>8492</v>
      </c>
      <c r="T276" s="5">
        <f t="shared" si="9"/>
        <v>11384</v>
      </c>
    </row>
    <row r="277" spans="1:20" ht="18.75" customHeight="1">
      <c r="A277" s="7" t="s">
        <v>20</v>
      </c>
      <c r="B277" s="10">
        <v>45567</v>
      </c>
      <c r="C277" s="2">
        <v>2283</v>
      </c>
      <c r="D277" s="2">
        <v>1280</v>
      </c>
      <c r="E277" s="2">
        <v>720</v>
      </c>
      <c r="F277" s="2">
        <v>2330</v>
      </c>
      <c r="G277" s="2">
        <v>1854</v>
      </c>
      <c r="H277" s="2">
        <v>498</v>
      </c>
      <c r="I277" s="2">
        <v>1598</v>
      </c>
      <c r="J277" s="2">
        <v>0</v>
      </c>
      <c r="K277" s="2">
        <v>0</v>
      </c>
      <c r="L277" s="2">
        <v>7652</v>
      </c>
      <c r="M277" s="2">
        <v>3387</v>
      </c>
      <c r="N277" s="2">
        <v>630</v>
      </c>
      <c r="O277" s="2">
        <v>0</v>
      </c>
      <c r="P277" s="2">
        <v>1400</v>
      </c>
      <c r="Q277" s="3">
        <f t="shared" si="8"/>
        <v>23632</v>
      </c>
      <c r="R277" s="3">
        <v>8359</v>
      </c>
      <c r="S277" s="3">
        <v>12922</v>
      </c>
      <c r="T277" s="5">
        <f t="shared" si="9"/>
        <v>2351</v>
      </c>
    </row>
    <row r="278" spans="1:20" ht="18.75" customHeight="1">
      <c r="A278" s="7" t="s">
        <v>21</v>
      </c>
      <c r="B278" s="10">
        <v>45568</v>
      </c>
      <c r="C278" s="2">
        <v>1860</v>
      </c>
      <c r="D278" s="2">
        <v>1325</v>
      </c>
      <c r="E278" s="2">
        <v>505</v>
      </c>
      <c r="F278" s="2">
        <v>3890</v>
      </c>
      <c r="G278" s="2">
        <v>882</v>
      </c>
      <c r="H278" s="2">
        <v>840</v>
      </c>
      <c r="I278" s="2">
        <v>1945</v>
      </c>
      <c r="J278" s="2">
        <v>0</v>
      </c>
      <c r="K278" s="2">
        <v>0</v>
      </c>
      <c r="L278" s="2">
        <v>11614</v>
      </c>
      <c r="M278" s="2">
        <v>4518</v>
      </c>
      <c r="N278" s="2">
        <v>722</v>
      </c>
      <c r="O278" s="2">
        <v>180</v>
      </c>
      <c r="P278" s="2">
        <v>935</v>
      </c>
      <c r="Q278" s="3">
        <f t="shared" si="8"/>
        <v>29216</v>
      </c>
      <c r="R278" s="3">
        <v>8825</v>
      </c>
      <c r="S278" s="3">
        <v>14270</v>
      </c>
      <c r="T278" s="5">
        <f t="shared" si="9"/>
        <v>6121</v>
      </c>
    </row>
    <row r="279" spans="1:20" ht="18.75" customHeight="1">
      <c r="A279" s="7" t="s">
        <v>22</v>
      </c>
      <c r="B279" s="10">
        <v>45569</v>
      </c>
      <c r="C279" s="2">
        <v>2355</v>
      </c>
      <c r="D279" s="2">
        <v>1240</v>
      </c>
      <c r="E279" s="2">
        <v>700</v>
      </c>
      <c r="F279" s="2">
        <v>3280</v>
      </c>
      <c r="G279" s="2">
        <v>1456</v>
      </c>
      <c r="H279" s="2">
        <v>540</v>
      </c>
      <c r="I279" s="2">
        <v>2185</v>
      </c>
      <c r="J279" s="2">
        <v>0</v>
      </c>
      <c r="K279" s="2">
        <v>0</v>
      </c>
      <c r="L279" s="2">
        <v>25560</v>
      </c>
      <c r="M279" s="2">
        <v>4264</v>
      </c>
      <c r="N279" s="2">
        <v>1688</v>
      </c>
      <c r="O279" s="2">
        <v>210</v>
      </c>
      <c r="P279" s="2">
        <v>175</v>
      </c>
      <c r="Q279" s="3">
        <f t="shared" si="8"/>
        <v>43653</v>
      </c>
      <c r="R279" s="3">
        <v>9710</v>
      </c>
      <c r="S279" s="3">
        <v>21965</v>
      </c>
      <c r="T279" s="5">
        <f t="shared" si="9"/>
        <v>11978</v>
      </c>
    </row>
    <row r="280" spans="1:20" ht="18.75" customHeight="1">
      <c r="A280" s="7" t="s">
        <v>23</v>
      </c>
      <c r="B280" s="10">
        <v>45570</v>
      </c>
      <c r="C280" s="2">
        <v>2010</v>
      </c>
      <c r="D280" s="2">
        <v>1705</v>
      </c>
      <c r="E280" s="2">
        <v>860</v>
      </c>
      <c r="F280" s="2">
        <v>3260</v>
      </c>
      <c r="G280" s="2">
        <v>1772</v>
      </c>
      <c r="H280" s="2">
        <v>1305</v>
      </c>
      <c r="I280" s="2">
        <v>1525</v>
      </c>
      <c r="J280" s="2">
        <v>0</v>
      </c>
      <c r="K280" s="2">
        <v>0</v>
      </c>
      <c r="L280" s="2">
        <v>13225</v>
      </c>
      <c r="M280" s="2">
        <v>14036</v>
      </c>
      <c r="N280" s="2">
        <v>2002</v>
      </c>
      <c r="O280" s="2">
        <v>155</v>
      </c>
      <c r="P280" s="2">
        <v>225</v>
      </c>
      <c r="Q280" s="3">
        <f t="shared" si="8"/>
        <v>42080</v>
      </c>
      <c r="R280" s="3">
        <v>15320</v>
      </c>
      <c r="S280" s="3">
        <v>22990</v>
      </c>
      <c r="T280" s="5">
        <f t="shared" si="9"/>
        <v>3770</v>
      </c>
    </row>
    <row r="281" spans="1:20" ht="18.75" customHeight="1">
      <c r="A281" s="7" t="s">
        <v>17</v>
      </c>
      <c r="B281" s="10">
        <v>45571</v>
      </c>
      <c r="C281" s="2">
        <v>1635</v>
      </c>
      <c r="D281" s="2">
        <v>915</v>
      </c>
      <c r="E281" s="2">
        <v>0</v>
      </c>
      <c r="F281" s="2">
        <v>2125</v>
      </c>
      <c r="G281" s="2">
        <v>998</v>
      </c>
      <c r="H281" s="2">
        <v>280</v>
      </c>
      <c r="I281" s="2">
        <v>1015</v>
      </c>
      <c r="J281" s="2">
        <v>0</v>
      </c>
      <c r="K281" s="2">
        <v>0</v>
      </c>
      <c r="L281" s="2">
        <v>15879</v>
      </c>
      <c r="M281" s="2">
        <v>8507</v>
      </c>
      <c r="N281" s="2">
        <v>828</v>
      </c>
      <c r="O281" s="2">
        <v>368</v>
      </c>
      <c r="P281" s="2">
        <v>322</v>
      </c>
      <c r="Q281" s="3">
        <f t="shared" si="8"/>
        <v>32872</v>
      </c>
      <c r="R281" s="3">
        <v>9560</v>
      </c>
      <c r="S281" s="3">
        <v>9904</v>
      </c>
      <c r="T281" s="5">
        <f t="shared" si="9"/>
        <v>13408</v>
      </c>
    </row>
    <row r="282" spans="1:20" ht="18.75" customHeight="1">
      <c r="A282" s="7" t="s">
        <v>18</v>
      </c>
      <c r="B282" s="10">
        <v>45572</v>
      </c>
      <c r="C282" s="2">
        <v>1780</v>
      </c>
      <c r="D282" s="2">
        <v>1325</v>
      </c>
      <c r="E282" s="2">
        <v>620</v>
      </c>
      <c r="F282" s="2">
        <v>2980</v>
      </c>
      <c r="G282" s="2">
        <v>2079</v>
      </c>
      <c r="H282" s="2">
        <v>787</v>
      </c>
      <c r="I282" s="2">
        <v>1863</v>
      </c>
      <c r="J282" s="2">
        <v>0</v>
      </c>
      <c r="K282" s="2">
        <v>0</v>
      </c>
      <c r="L282" s="2">
        <v>9529</v>
      </c>
      <c r="M282" s="2">
        <v>4163</v>
      </c>
      <c r="N282" s="2">
        <v>249</v>
      </c>
      <c r="O282" s="2">
        <v>0</v>
      </c>
      <c r="P282" s="2">
        <v>0</v>
      </c>
      <c r="Q282" s="3">
        <f t="shared" si="8"/>
        <v>25375</v>
      </c>
      <c r="R282" s="3">
        <v>8304</v>
      </c>
      <c r="S282" s="3">
        <v>15870</v>
      </c>
      <c r="T282" s="5">
        <f t="shared" si="9"/>
        <v>1201</v>
      </c>
    </row>
    <row r="283" spans="1:20" ht="18.75" customHeight="1">
      <c r="A283" s="7" t="s">
        <v>19</v>
      </c>
      <c r="B283" s="10">
        <v>45573</v>
      </c>
      <c r="C283" s="2">
        <v>3155</v>
      </c>
      <c r="D283" s="2">
        <v>1650</v>
      </c>
      <c r="E283" s="2">
        <v>0</v>
      </c>
      <c r="F283" s="2">
        <v>3765</v>
      </c>
      <c r="G283" s="2">
        <v>1257</v>
      </c>
      <c r="H283" s="2">
        <v>915</v>
      </c>
      <c r="I283" s="2">
        <v>2075</v>
      </c>
      <c r="J283" s="2">
        <v>0</v>
      </c>
      <c r="K283" s="2">
        <v>0</v>
      </c>
      <c r="L283" s="2">
        <v>6892</v>
      </c>
      <c r="M283" s="2">
        <v>1444</v>
      </c>
      <c r="N283" s="2">
        <v>545</v>
      </c>
      <c r="O283" s="2">
        <v>0</v>
      </c>
      <c r="P283" s="2">
        <v>896</v>
      </c>
      <c r="Q283" s="3">
        <f t="shared" si="8"/>
        <v>22594</v>
      </c>
      <c r="R283" s="3">
        <v>8165</v>
      </c>
      <c r="S283" s="3">
        <v>16342</v>
      </c>
      <c r="T283" s="5">
        <f t="shared" si="9"/>
        <v>-1913</v>
      </c>
    </row>
    <row r="284" spans="1:20" ht="18.75" customHeight="1">
      <c r="A284" s="7" t="s">
        <v>20</v>
      </c>
      <c r="B284" s="10">
        <v>45574</v>
      </c>
      <c r="C284" s="2">
        <v>1275</v>
      </c>
      <c r="D284" s="2">
        <v>1420</v>
      </c>
      <c r="E284" s="2">
        <v>713</v>
      </c>
      <c r="F284" s="2">
        <v>2708</v>
      </c>
      <c r="G284" s="2">
        <v>1260</v>
      </c>
      <c r="H284" s="2">
        <v>1063</v>
      </c>
      <c r="I284" s="2">
        <v>920</v>
      </c>
      <c r="J284" s="2">
        <v>0</v>
      </c>
      <c r="K284" s="2">
        <v>0</v>
      </c>
      <c r="L284" s="2">
        <v>7911</v>
      </c>
      <c r="M284" s="2">
        <v>5837</v>
      </c>
      <c r="N284" s="2">
        <v>1207</v>
      </c>
      <c r="O284" s="2">
        <v>615</v>
      </c>
      <c r="P284" s="2">
        <v>440</v>
      </c>
      <c r="Q284" s="3">
        <f t="shared" si="8"/>
        <v>25369</v>
      </c>
      <c r="R284" s="3">
        <v>11420</v>
      </c>
      <c r="S284" s="3">
        <v>7044</v>
      </c>
      <c r="T284" s="5">
        <f t="shared" si="9"/>
        <v>6905</v>
      </c>
    </row>
    <row r="285" spans="1:20" ht="18.75" customHeight="1">
      <c r="A285" s="7" t="s">
        <v>21</v>
      </c>
      <c r="B285" s="10">
        <v>45575</v>
      </c>
      <c r="C285" s="2">
        <v>1235</v>
      </c>
      <c r="D285" s="2">
        <v>1770</v>
      </c>
      <c r="E285" s="2">
        <v>0</v>
      </c>
      <c r="F285" s="2">
        <v>3445</v>
      </c>
      <c r="G285" s="2">
        <v>1474</v>
      </c>
      <c r="H285" s="2">
        <v>753</v>
      </c>
      <c r="I285" s="2">
        <v>2100</v>
      </c>
      <c r="J285" s="2">
        <v>0</v>
      </c>
      <c r="K285" s="2">
        <v>0</v>
      </c>
      <c r="L285" s="2">
        <v>9800</v>
      </c>
      <c r="M285" s="2">
        <v>6169</v>
      </c>
      <c r="N285" s="2">
        <v>882</v>
      </c>
      <c r="O285" s="2">
        <v>0</v>
      </c>
      <c r="P285" s="2">
        <v>155</v>
      </c>
      <c r="Q285" s="3">
        <f t="shared" si="8"/>
        <v>27783</v>
      </c>
      <c r="R285" s="3">
        <v>7525</v>
      </c>
      <c r="S285" s="3">
        <v>16871</v>
      </c>
      <c r="T285" s="5">
        <f t="shared" si="9"/>
        <v>3387</v>
      </c>
    </row>
    <row r="286" spans="1:20" ht="18.75" customHeight="1">
      <c r="A286" s="7" t="s">
        <v>22</v>
      </c>
      <c r="B286" s="10">
        <v>45576</v>
      </c>
      <c r="C286" s="2">
        <v>3195</v>
      </c>
      <c r="D286" s="2">
        <v>1342.5</v>
      </c>
      <c r="E286" s="2">
        <v>475</v>
      </c>
      <c r="F286" s="2">
        <v>1835</v>
      </c>
      <c r="G286" s="2">
        <v>2024</v>
      </c>
      <c r="H286" s="2">
        <v>870</v>
      </c>
      <c r="I286" s="2">
        <v>1884</v>
      </c>
      <c r="J286" s="2">
        <v>0</v>
      </c>
      <c r="K286" s="2">
        <v>0</v>
      </c>
      <c r="L286" s="2">
        <v>13330</v>
      </c>
      <c r="M286" s="2">
        <v>5712</v>
      </c>
      <c r="N286" s="2">
        <v>1448</v>
      </c>
      <c r="O286" s="2">
        <v>510</v>
      </c>
      <c r="P286" s="2">
        <v>1340</v>
      </c>
      <c r="Q286" s="3">
        <f t="shared" si="8"/>
        <v>33965.5</v>
      </c>
      <c r="R286" s="3">
        <v>11565</v>
      </c>
      <c r="S286" s="3">
        <v>18178</v>
      </c>
      <c r="T286" s="5">
        <f t="shared" si="9"/>
        <v>4222.5</v>
      </c>
    </row>
    <row r="287" spans="1:20" ht="18.75" customHeight="1">
      <c r="A287" s="7" t="s">
        <v>23</v>
      </c>
      <c r="B287" s="10">
        <v>45577</v>
      </c>
      <c r="C287" s="2">
        <v>2540</v>
      </c>
      <c r="D287" s="2">
        <v>2000.5</v>
      </c>
      <c r="E287" s="2">
        <v>0</v>
      </c>
      <c r="F287" s="2">
        <v>3330</v>
      </c>
      <c r="G287" s="2">
        <v>2366</v>
      </c>
      <c r="H287" s="2">
        <v>1645</v>
      </c>
      <c r="I287" s="2">
        <v>2290</v>
      </c>
      <c r="J287" s="2">
        <v>0</v>
      </c>
      <c r="K287" s="2">
        <v>0</v>
      </c>
      <c r="L287" s="2">
        <v>14640</v>
      </c>
      <c r="M287" s="2">
        <v>9875</v>
      </c>
      <c r="N287" s="2">
        <v>1833</v>
      </c>
      <c r="O287" s="2">
        <v>120</v>
      </c>
      <c r="P287" s="2">
        <v>484</v>
      </c>
      <c r="Q287" s="3">
        <f t="shared" si="8"/>
        <v>41123.5</v>
      </c>
      <c r="R287" s="3">
        <v>10312</v>
      </c>
      <c r="S287" s="3">
        <v>23448</v>
      </c>
      <c r="T287" s="5">
        <f t="shared" si="9"/>
        <v>7363.5</v>
      </c>
    </row>
    <row r="288" spans="1:20" ht="18.75" customHeight="1">
      <c r="A288" s="7" t="s">
        <v>17</v>
      </c>
      <c r="B288" s="10">
        <v>45578</v>
      </c>
      <c r="C288" s="2">
        <v>1705</v>
      </c>
      <c r="D288" s="2">
        <v>975</v>
      </c>
      <c r="E288" s="2">
        <v>0</v>
      </c>
      <c r="F288" s="2">
        <v>2515</v>
      </c>
      <c r="G288" s="2">
        <v>1319</v>
      </c>
      <c r="H288" s="2">
        <v>895</v>
      </c>
      <c r="I288" s="2">
        <v>1265</v>
      </c>
      <c r="J288" s="2">
        <v>0</v>
      </c>
      <c r="K288" s="2">
        <v>0</v>
      </c>
      <c r="L288" s="2">
        <v>16122</v>
      </c>
      <c r="M288" s="2">
        <v>15955</v>
      </c>
      <c r="N288" s="2">
        <v>2774</v>
      </c>
      <c r="O288" s="2">
        <v>375</v>
      </c>
      <c r="P288" s="2">
        <v>0</v>
      </c>
      <c r="Q288" s="3">
        <f t="shared" si="8"/>
        <v>43900</v>
      </c>
      <c r="R288" s="3">
        <v>9760</v>
      </c>
      <c r="S288" s="3">
        <v>13532</v>
      </c>
      <c r="T288" s="5">
        <f t="shared" si="9"/>
        <v>20608</v>
      </c>
    </row>
    <row r="289" spans="1:20" ht="18.75" customHeight="1">
      <c r="A289" s="7" t="s">
        <v>18</v>
      </c>
      <c r="B289" s="10">
        <v>45579</v>
      </c>
      <c r="C289" s="2">
        <v>2355</v>
      </c>
      <c r="D289" s="2">
        <v>1190</v>
      </c>
      <c r="E289" s="2">
        <v>985</v>
      </c>
      <c r="F289" s="2">
        <v>3475</v>
      </c>
      <c r="G289" s="2">
        <v>1820</v>
      </c>
      <c r="H289" s="2">
        <v>600</v>
      </c>
      <c r="I289" s="2">
        <v>1915</v>
      </c>
      <c r="J289" s="2">
        <v>0</v>
      </c>
      <c r="K289" s="2">
        <v>0</v>
      </c>
      <c r="L289" s="2">
        <v>8631</v>
      </c>
      <c r="M289" s="2">
        <v>5020</v>
      </c>
      <c r="N289" s="2">
        <v>685</v>
      </c>
      <c r="O289" s="2">
        <v>0</v>
      </c>
      <c r="P289" s="2">
        <v>512</v>
      </c>
      <c r="Q289" s="3">
        <f t="shared" si="8"/>
        <v>27188</v>
      </c>
      <c r="R289" s="3">
        <v>7635</v>
      </c>
      <c r="S289" s="3">
        <v>15951</v>
      </c>
      <c r="T289" s="5">
        <f t="shared" si="9"/>
        <v>3602</v>
      </c>
    </row>
    <row r="290" spans="1:20" ht="18.75" customHeight="1">
      <c r="A290" s="7" t="s">
        <v>19</v>
      </c>
      <c r="B290" s="10">
        <v>45580</v>
      </c>
      <c r="C290" s="2">
        <v>2245</v>
      </c>
      <c r="D290" s="2">
        <v>1300</v>
      </c>
      <c r="E290" s="2">
        <v>655</v>
      </c>
      <c r="F290" s="2">
        <v>2499</v>
      </c>
      <c r="G290" s="2">
        <v>3001</v>
      </c>
      <c r="H290" s="2">
        <v>575</v>
      </c>
      <c r="I290" s="2">
        <v>2130</v>
      </c>
      <c r="J290" s="2">
        <v>0</v>
      </c>
      <c r="K290" s="2">
        <v>0</v>
      </c>
      <c r="L290" s="2">
        <v>9843</v>
      </c>
      <c r="M290" s="2">
        <v>5247</v>
      </c>
      <c r="N290" s="2">
        <v>1286</v>
      </c>
      <c r="O290" s="2">
        <v>0</v>
      </c>
      <c r="P290" s="2">
        <v>170</v>
      </c>
      <c r="Q290" s="3">
        <f t="shared" si="8"/>
        <v>28951</v>
      </c>
      <c r="R290" s="3">
        <v>14013</v>
      </c>
      <c r="S290" s="3">
        <v>13122</v>
      </c>
      <c r="T290" s="5">
        <f t="shared" si="9"/>
        <v>1816</v>
      </c>
    </row>
    <row r="291" spans="1:20" ht="18.75" customHeight="1">
      <c r="A291" s="7" t="s">
        <v>20</v>
      </c>
      <c r="B291" s="10">
        <v>45581</v>
      </c>
      <c r="C291" s="2">
        <v>1985</v>
      </c>
      <c r="D291" s="2">
        <v>1215</v>
      </c>
      <c r="E291" s="2">
        <v>390</v>
      </c>
      <c r="F291" s="2">
        <v>3400</v>
      </c>
      <c r="G291" s="2">
        <v>2495</v>
      </c>
      <c r="H291" s="2">
        <v>565</v>
      </c>
      <c r="I291" s="2">
        <v>2723</v>
      </c>
      <c r="J291" s="2">
        <v>0</v>
      </c>
      <c r="K291" s="2">
        <v>0</v>
      </c>
      <c r="L291" s="2">
        <v>8634</v>
      </c>
      <c r="M291" s="2">
        <v>3166</v>
      </c>
      <c r="N291" s="2">
        <v>1416</v>
      </c>
      <c r="O291" s="2">
        <v>0</v>
      </c>
      <c r="P291" s="2">
        <v>175</v>
      </c>
      <c r="Q291" s="3">
        <f t="shared" si="8"/>
        <v>26164</v>
      </c>
      <c r="R291" s="3">
        <v>8860</v>
      </c>
      <c r="S291" s="3">
        <v>13548</v>
      </c>
      <c r="T291" s="5">
        <f t="shared" si="9"/>
        <v>3756</v>
      </c>
    </row>
    <row r="292" spans="1:20" ht="18.75" customHeight="1">
      <c r="A292" s="7" t="s">
        <v>21</v>
      </c>
      <c r="B292" s="10">
        <v>45582</v>
      </c>
      <c r="C292" s="2">
        <v>1710</v>
      </c>
      <c r="D292" s="2">
        <v>1515</v>
      </c>
      <c r="E292" s="2">
        <v>520</v>
      </c>
      <c r="F292" s="2">
        <v>3240</v>
      </c>
      <c r="G292" s="2">
        <v>1891</v>
      </c>
      <c r="H292" s="2">
        <v>400</v>
      </c>
      <c r="I292" s="2">
        <v>2170</v>
      </c>
      <c r="J292" s="2">
        <v>0</v>
      </c>
      <c r="K292" s="2">
        <v>0</v>
      </c>
      <c r="L292" s="2">
        <v>8445</v>
      </c>
      <c r="M292" s="2">
        <v>4569</v>
      </c>
      <c r="N292" s="2">
        <v>802</v>
      </c>
      <c r="O292" s="2">
        <v>363</v>
      </c>
      <c r="P292" s="2">
        <v>397</v>
      </c>
      <c r="Q292" s="3">
        <f t="shared" si="8"/>
        <v>26022</v>
      </c>
      <c r="R292" s="3">
        <v>9265</v>
      </c>
      <c r="S292" s="3">
        <v>12518</v>
      </c>
      <c r="T292" s="5">
        <f t="shared" si="9"/>
        <v>4239</v>
      </c>
    </row>
    <row r="293" spans="1:20" ht="18.75" customHeight="1">
      <c r="A293" s="7" t="s">
        <v>22</v>
      </c>
      <c r="B293" s="10">
        <v>45583</v>
      </c>
      <c r="C293" s="2">
        <v>3010</v>
      </c>
      <c r="D293" s="2">
        <v>1420</v>
      </c>
      <c r="E293" s="2">
        <v>370</v>
      </c>
      <c r="F293" s="2">
        <v>2680</v>
      </c>
      <c r="G293" s="2">
        <v>2375</v>
      </c>
      <c r="H293" s="2">
        <v>980</v>
      </c>
      <c r="I293" s="2">
        <v>2497</v>
      </c>
      <c r="J293" s="2">
        <v>0</v>
      </c>
      <c r="K293" s="2">
        <v>0</v>
      </c>
      <c r="L293" s="2">
        <v>10401</v>
      </c>
      <c r="M293" s="2">
        <v>3704</v>
      </c>
      <c r="N293" s="2">
        <v>1025</v>
      </c>
      <c r="O293" s="2">
        <v>160</v>
      </c>
      <c r="P293" s="2">
        <v>610</v>
      </c>
      <c r="Q293" s="3">
        <f t="shared" si="8"/>
        <v>29232</v>
      </c>
      <c r="R293" s="3">
        <v>9410</v>
      </c>
      <c r="S293" s="3">
        <v>12904</v>
      </c>
      <c r="T293" s="5">
        <f t="shared" si="9"/>
        <v>6918</v>
      </c>
    </row>
    <row r="294" spans="1:20" ht="18.75" customHeight="1">
      <c r="A294" s="7" t="s">
        <v>23</v>
      </c>
      <c r="B294" s="10">
        <v>45584</v>
      </c>
      <c r="C294" s="2">
        <v>2675</v>
      </c>
      <c r="D294" s="2">
        <v>1590</v>
      </c>
      <c r="E294" s="2">
        <v>250</v>
      </c>
      <c r="F294" s="2">
        <v>2645</v>
      </c>
      <c r="G294" s="2">
        <v>2821</v>
      </c>
      <c r="H294" s="2">
        <v>630</v>
      </c>
      <c r="I294" s="2">
        <v>1080</v>
      </c>
      <c r="J294" s="2">
        <v>0</v>
      </c>
      <c r="K294" s="2">
        <v>0</v>
      </c>
      <c r="L294" s="2">
        <v>8904</v>
      </c>
      <c r="M294" s="2">
        <v>7307</v>
      </c>
      <c r="N294" s="2">
        <v>291</v>
      </c>
      <c r="O294" s="2">
        <v>0</v>
      </c>
      <c r="P294" s="2">
        <v>415</v>
      </c>
      <c r="Q294" s="3">
        <f t="shared" si="8"/>
        <v>28608</v>
      </c>
      <c r="R294" s="3">
        <v>10020</v>
      </c>
      <c r="S294" s="3">
        <v>15136</v>
      </c>
      <c r="T294" s="5">
        <f t="shared" si="9"/>
        <v>3452</v>
      </c>
    </row>
    <row r="295" spans="1:20" ht="18.75" customHeight="1">
      <c r="A295" s="7" t="s">
        <v>17</v>
      </c>
      <c r="B295" s="10">
        <v>45585</v>
      </c>
      <c r="C295" s="2">
        <v>510</v>
      </c>
      <c r="D295" s="2">
        <v>1855</v>
      </c>
      <c r="E295" s="2">
        <v>0</v>
      </c>
      <c r="F295" s="2">
        <v>1910</v>
      </c>
      <c r="G295" s="2">
        <v>2614</v>
      </c>
      <c r="H295" s="2">
        <v>540</v>
      </c>
      <c r="I295" s="2">
        <v>960</v>
      </c>
      <c r="J295" s="2">
        <v>0</v>
      </c>
      <c r="K295" s="2">
        <v>0</v>
      </c>
      <c r="L295" s="2">
        <v>14037</v>
      </c>
      <c r="M295" s="2">
        <v>10969</v>
      </c>
      <c r="N295" s="2">
        <v>1750</v>
      </c>
      <c r="O295" s="2">
        <v>144</v>
      </c>
      <c r="P295" s="2">
        <v>1043</v>
      </c>
      <c r="Q295" s="3">
        <f t="shared" si="8"/>
        <v>36332</v>
      </c>
      <c r="R295" s="3">
        <v>10320</v>
      </c>
      <c r="S295" s="3">
        <v>7509</v>
      </c>
      <c r="T295" s="5">
        <f t="shared" si="9"/>
        <v>18503</v>
      </c>
    </row>
    <row r="296" spans="1:20" ht="18.75" customHeight="1">
      <c r="A296" s="7" t="s">
        <v>18</v>
      </c>
      <c r="B296" s="10">
        <v>45586</v>
      </c>
      <c r="C296" s="2">
        <v>2090</v>
      </c>
      <c r="D296" s="2">
        <v>1400</v>
      </c>
      <c r="E296" s="2">
        <v>275</v>
      </c>
      <c r="F296" s="2">
        <v>2935</v>
      </c>
      <c r="G296" s="2">
        <v>2779</v>
      </c>
      <c r="H296" s="2">
        <v>841</v>
      </c>
      <c r="I296" s="2">
        <v>1245</v>
      </c>
      <c r="J296" s="2">
        <v>0</v>
      </c>
      <c r="K296" s="2">
        <v>0</v>
      </c>
      <c r="L296" s="2">
        <v>6295</v>
      </c>
      <c r="M296" s="2">
        <v>5692</v>
      </c>
      <c r="N296" s="2">
        <v>468</v>
      </c>
      <c r="O296" s="2">
        <v>0</v>
      </c>
      <c r="P296" s="2">
        <v>455</v>
      </c>
      <c r="Q296" s="3">
        <f t="shared" si="8"/>
        <v>24475</v>
      </c>
      <c r="R296" s="3">
        <v>7680</v>
      </c>
      <c r="S296" s="3">
        <v>14307</v>
      </c>
      <c r="T296" s="5">
        <f t="shared" si="9"/>
        <v>2488</v>
      </c>
    </row>
    <row r="297" spans="1:20" ht="18.75" customHeight="1">
      <c r="A297" s="7" t="s">
        <v>19</v>
      </c>
      <c r="B297" s="10">
        <v>45587</v>
      </c>
      <c r="C297" s="2">
        <v>1535</v>
      </c>
      <c r="D297" s="2">
        <v>1255</v>
      </c>
      <c r="E297" s="2">
        <v>90</v>
      </c>
      <c r="F297" s="2">
        <v>2741</v>
      </c>
      <c r="G297" s="2">
        <v>2110</v>
      </c>
      <c r="H297" s="2">
        <v>760</v>
      </c>
      <c r="I297" s="2">
        <v>1140</v>
      </c>
      <c r="J297" s="2">
        <v>0</v>
      </c>
      <c r="K297" s="2">
        <v>0</v>
      </c>
      <c r="L297" s="2">
        <v>7410</v>
      </c>
      <c r="M297" s="2">
        <v>7892</v>
      </c>
      <c r="N297" s="2">
        <v>467</v>
      </c>
      <c r="O297" s="2">
        <v>0</v>
      </c>
      <c r="P297" s="2">
        <v>742</v>
      </c>
      <c r="Q297" s="3">
        <f t="shared" si="8"/>
        <v>26142</v>
      </c>
      <c r="R297" s="3">
        <v>13316</v>
      </c>
      <c r="S297" s="3">
        <v>9057</v>
      </c>
      <c r="T297" s="5">
        <f t="shared" si="9"/>
        <v>3769</v>
      </c>
    </row>
    <row r="298" spans="1:20" ht="18.75" customHeight="1">
      <c r="A298" s="7" t="s">
        <v>20</v>
      </c>
      <c r="B298" s="10">
        <v>45588</v>
      </c>
      <c r="C298" s="2">
        <v>1565</v>
      </c>
      <c r="D298" s="2">
        <v>1235</v>
      </c>
      <c r="E298" s="2">
        <v>695</v>
      </c>
      <c r="F298" s="2">
        <v>2790</v>
      </c>
      <c r="G298" s="2">
        <v>2380</v>
      </c>
      <c r="H298" s="2">
        <v>855</v>
      </c>
      <c r="I298" s="2">
        <v>1425</v>
      </c>
      <c r="J298" s="2">
        <v>0</v>
      </c>
      <c r="K298" s="2">
        <v>0</v>
      </c>
      <c r="L298" s="2">
        <v>8988</v>
      </c>
      <c r="M298" s="2">
        <v>5117</v>
      </c>
      <c r="N298" s="2">
        <v>1024</v>
      </c>
      <c r="O298" s="2">
        <v>0</v>
      </c>
      <c r="P298" s="2">
        <v>0</v>
      </c>
      <c r="Q298" s="3">
        <f t="shared" si="8"/>
        <v>26074</v>
      </c>
      <c r="R298" s="3">
        <v>8945</v>
      </c>
      <c r="S298" s="3">
        <v>10771</v>
      </c>
      <c r="T298" s="5">
        <f t="shared" si="9"/>
        <v>6358</v>
      </c>
    </row>
    <row r="299" spans="1:20" ht="18.75" customHeight="1">
      <c r="A299" s="7" t="s">
        <v>21</v>
      </c>
      <c r="B299" s="10">
        <v>45589</v>
      </c>
      <c r="C299" s="2">
        <v>2220</v>
      </c>
      <c r="D299" s="2">
        <v>1790</v>
      </c>
      <c r="E299" s="2">
        <v>0</v>
      </c>
      <c r="F299" s="2">
        <v>3415</v>
      </c>
      <c r="G299" s="2">
        <v>1545</v>
      </c>
      <c r="H299" s="2">
        <v>1004</v>
      </c>
      <c r="I299" s="2">
        <v>1920</v>
      </c>
      <c r="J299" s="2">
        <v>0</v>
      </c>
      <c r="K299" s="2">
        <v>0</v>
      </c>
      <c r="L299" s="2">
        <v>11584</v>
      </c>
      <c r="M299" s="2">
        <v>4135</v>
      </c>
      <c r="N299" s="2">
        <v>1029</v>
      </c>
      <c r="O299" s="2">
        <v>0</v>
      </c>
      <c r="P299" s="2">
        <v>0</v>
      </c>
      <c r="Q299" s="3">
        <f t="shared" si="8"/>
        <v>28642</v>
      </c>
      <c r="R299" s="3">
        <v>8235</v>
      </c>
      <c r="S299" s="3">
        <v>15998</v>
      </c>
      <c r="T299" s="5">
        <f t="shared" si="9"/>
        <v>4409</v>
      </c>
    </row>
    <row r="300" spans="1:20" ht="18.75" customHeight="1">
      <c r="A300" s="7" t="s">
        <v>22</v>
      </c>
      <c r="B300" s="10">
        <v>45590</v>
      </c>
      <c r="C300" s="2">
        <v>1730</v>
      </c>
      <c r="D300" s="2">
        <v>1120</v>
      </c>
      <c r="E300" s="2">
        <v>1145</v>
      </c>
      <c r="F300" s="2">
        <v>4385</v>
      </c>
      <c r="G300" s="2">
        <v>1561</v>
      </c>
      <c r="H300" s="2">
        <v>825</v>
      </c>
      <c r="I300" s="2">
        <v>1895</v>
      </c>
      <c r="J300" s="2">
        <v>0</v>
      </c>
      <c r="K300" s="2">
        <v>0</v>
      </c>
      <c r="L300" s="2">
        <v>10308</v>
      </c>
      <c r="M300" s="2">
        <v>2597</v>
      </c>
      <c r="N300" s="2">
        <v>927</v>
      </c>
      <c r="O300" s="2">
        <v>150</v>
      </c>
      <c r="P300" s="2">
        <v>235</v>
      </c>
      <c r="Q300" s="3">
        <f t="shared" si="8"/>
        <v>26878</v>
      </c>
      <c r="R300" s="3">
        <v>9480</v>
      </c>
      <c r="S300" s="3">
        <v>10783</v>
      </c>
      <c r="T300" s="5">
        <f t="shared" si="9"/>
        <v>6615</v>
      </c>
    </row>
    <row r="301" spans="1:20" ht="18.75" customHeight="1">
      <c r="A301" s="7" t="s">
        <v>23</v>
      </c>
      <c r="B301" s="10">
        <v>45591</v>
      </c>
      <c r="C301" s="2">
        <v>3190</v>
      </c>
      <c r="D301" s="2">
        <v>1600</v>
      </c>
      <c r="E301" s="2">
        <v>210</v>
      </c>
      <c r="F301" s="2">
        <v>2065</v>
      </c>
      <c r="G301" s="2">
        <v>2281</v>
      </c>
      <c r="H301" s="2">
        <v>760</v>
      </c>
      <c r="I301" s="2">
        <v>1149</v>
      </c>
      <c r="J301" s="2">
        <v>0</v>
      </c>
      <c r="K301" s="2">
        <v>0</v>
      </c>
      <c r="L301" s="2">
        <v>11265</v>
      </c>
      <c r="M301" s="2">
        <v>7643</v>
      </c>
      <c r="N301" s="2">
        <v>1150</v>
      </c>
      <c r="O301" s="2">
        <v>240</v>
      </c>
      <c r="P301" s="2">
        <v>240</v>
      </c>
      <c r="Q301" s="3">
        <f t="shared" si="8"/>
        <v>31793</v>
      </c>
      <c r="R301" s="3">
        <v>9611</v>
      </c>
      <c r="S301" s="3">
        <v>17418</v>
      </c>
      <c r="T301" s="5">
        <f t="shared" si="9"/>
        <v>4764</v>
      </c>
    </row>
    <row r="302" spans="1:20" ht="18.75" customHeight="1">
      <c r="A302" s="7" t="s">
        <v>17</v>
      </c>
      <c r="B302" s="10">
        <v>45592</v>
      </c>
      <c r="C302" s="2">
        <v>2950</v>
      </c>
      <c r="D302" s="2">
        <v>1665</v>
      </c>
      <c r="E302" s="2">
        <v>0</v>
      </c>
      <c r="F302" s="2">
        <v>3614</v>
      </c>
      <c r="G302" s="2">
        <v>2561</v>
      </c>
      <c r="H302" s="2">
        <v>855</v>
      </c>
      <c r="I302" s="2">
        <v>1125</v>
      </c>
      <c r="J302" s="2">
        <v>0</v>
      </c>
      <c r="K302" s="2">
        <v>0</v>
      </c>
      <c r="L302" s="2">
        <v>15290</v>
      </c>
      <c r="M302" s="2">
        <v>10155</v>
      </c>
      <c r="N302" s="2">
        <v>1841</v>
      </c>
      <c r="O302" s="2">
        <v>225</v>
      </c>
      <c r="P302" s="2">
        <v>1296</v>
      </c>
      <c r="Q302" s="3">
        <f t="shared" si="8"/>
        <v>41577</v>
      </c>
      <c r="R302" s="3">
        <v>12546</v>
      </c>
      <c r="S302" s="3">
        <v>10407</v>
      </c>
      <c r="T302" s="5">
        <f t="shared" si="9"/>
        <v>18624</v>
      </c>
    </row>
    <row r="303" spans="1:20" ht="18.75" customHeight="1">
      <c r="A303" s="7" t="s">
        <v>18</v>
      </c>
      <c r="B303" s="10">
        <v>45593</v>
      </c>
      <c r="C303" s="2">
        <v>1720</v>
      </c>
      <c r="D303" s="2">
        <v>1520</v>
      </c>
      <c r="E303" s="2">
        <v>395</v>
      </c>
      <c r="F303" s="2">
        <v>3200</v>
      </c>
      <c r="G303" s="2">
        <v>2077</v>
      </c>
      <c r="H303" s="2">
        <v>920</v>
      </c>
      <c r="I303" s="2">
        <v>1210</v>
      </c>
      <c r="J303" s="2">
        <v>0</v>
      </c>
      <c r="K303" s="2">
        <v>0</v>
      </c>
      <c r="L303" s="2">
        <v>8052</v>
      </c>
      <c r="M303" s="2">
        <v>3837</v>
      </c>
      <c r="N303" s="2">
        <v>355</v>
      </c>
      <c r="O303" s="2">
        <v>0</v>
      </c>
      <c r="P303" s="2">
        <v>245</v>
      </c>
      <c r="Q303" s="3">
        <f t="shared" si="8"/>
        <v>23531</v>
      </c>
      <c r="R303" s="3">
        <v>7751</v>
      </c>
      <c r="S303" s="3">
        <v>15225</v>
      </c>
      <c r="T303" s="5">
        <f t="shared" si="9"/>
        <v>555</v>
      </c>
    </row>
    <row r="304" spans="1:20" ht="18.75" customHeight="1">
      <c r="A304" s="7" t="s">
        <v>19</v>
      </c>
      <c r="B304" s="10">
        <v>45594</v>
      </c>
      <c r="C304" s="2">
        <v>1295</v>
      </c>
      <c r="D304" s="2">
        <v>1470</v>
      </c>
      <c r="E304" s="2">
        <v>470</v>
      </c>
      <c r="F304" s="2">
        <v>2295</v>
      </c>
      <c r="G304" s="2">
        <v>2963</v>
      </c>
      <c r="H304" s="2">
        <v>945</v>
      </c>
      <c r="I304" s="2">
        <v>1780</v>
      </c>
      <c r="J304" s="2">
        <v>0</v>
      </c>
      <c r="K304" s="2">
        <v>0</v>
      </c>
      <c r="L304" s="2">
        <v>6207</v>
      </c>
      <c r="M304" s="2">
        <v>3181</v>
      </c>
      <c r="N304" s="2">
        <v>585</v>
      </c>
      <c r="O304" s="2">
        <v>0</v>
      </c>
      <c r="P304" s="2">
        <v>165</v>
      </c>
      <c r="Q304" s="3">
        <f t="shared" si="8"/>
        <v>21356</v>
      </c>
      <c r="R304" s="3">
        <v>7523</v>
      </c>
      <c r="S304" s="3">
        <v>9153</v>
      </c>
      <c r="T304" s="5">
        <f t="shared" si="9"/>
        <v>4680</v>
      </c>
    </row>
    <row r="305" spans="1:20" ht="18.75" customHeight="1">
      <c r="A305" s="7" t="s">
        <v>20</v>
      </c>
      <c r="B305" s="10">
        <v>45595</v>
      </c>
      <c r="C305" s="2">
        <v>1610</v>
      </c>
      <c r="D305" s="2">
        <v>1060</v>
      </c>
      <c r="E305" s="2">
        <v>640</v>
      </c>
      <c r="F305" s="2">
        <v>2910</v>
      </c>
      <c r="G305" s="2">
        <v>2287</v>
      </c>
      <c r="H305" s="2">
        <v>645</v>
      </c>
      <c r="I305" s="2">
        <v>1580</v>
      </c>
      <c r="J305" s="2">
        <v>0</v>
      </c>
      <c r="K305" s="2">
        <v>0</v>
      </c>
      <c r="L305" s="2">
        <v>6653</v>
      </c>
      <c r="M305" s="2">
        <v>2077</v>
      </c>
      <c r="N305" s="2">
        <v>998</v>
      </c>
      <c r="O305" s="2">
        <v>0</v>
      </c>
      <c r="P305" s="2">
        <v>0</v>
      </c>
      <c r="Q305" s="3">
        <f t="shared" si="8"/>
        <v>20460</v>
      </c>
      <c r="R305" s="3">
        <v>7744</v>
      </c>
      <c r="S305" s="3">
        <v>10145</v>
      </c>
      <c r="T305" s="5">
        <f t="shared" si="9"/>
        <v>2571</v>
      </c>
    </row>
    <row r="306" spans="1:20" ht="18.75" customHeight="1">
      <c r="A306" s="7" t="s">
        <v>21</v>
      </c>
      <c r="B306" s="10">
        <v>45596</v>
      </c>
      <c r="C306" s="2">
        <v>1885</v>
      </c>
      <c r="D306" s="2">
        <v>1210</v>
      </c>
      <c r="E306" s="2">
        <v>570</v>
      </c>
      <c r="F306" s="2">
        <v>3825</v>
      </c>
      <c r="G306" s="2">
        <v>1369</v>
      </c>
      <c r="H306" s="2">
        <v>1355</v>
      </c>
      <c r="I306" s="2">
        <v>1520</v>
      </c>
      <c r="J306" s="2">
        <v>0</v>
      </c>
      <c r="K306" s="2">
        <v>0</v>
      </c>
      <c r="L306" s="2">
        <v>6264</v>
      </c>
      <c r="M306" s="2">
        <v>3919</v>
      </c>
      <c r="N306" s="2">
        <v>472</v>
      </c>
      <c r="O306" s="2">
        <v>165</v>
      </c>
      <c r="P306" s="2">
        <v>0</v>
      </c>
      <c r="Q306" s="3">
        <f t="shared" si="8"/>
        <v>22554</v>
      </c>
      <c r="R306" s="3">
        <v>7280</v>
      </c>
      <c r="S306" s="3">
        <v>9449</v>
      </c>
      <c r="T306" s="5">
        <f t="shared" si="9"/>
        <v>5825</v>
      </c>
    </row>
    <row r="307" spans="1:20" ht="18.75" customHeight="1">
      <c r="A307" s="7" t="s">
        <v>22</v>
      </c>
      <c r="B307" s="10">
        <v>45597</v>
      </c>
      <c r="C307" s="2">
        <v>2590</v>
      </c>
      <c r="D307" s="2">
        <v>1360</v>
      </c>
      <c r="E307" s="2">
        <v>1365</v>
      </c>
      <c r="F307" s="2">
        <v>4204</v>
      </c>
      <c r="G307" s="2">
        <v>1622</v>
      </c>
      <c r="H307" s="2">
        <v>1445</v>
      </c>
      <c r="I307" s="2">
        <v>2430</v>
      </c>
      <c r="J307" s="2">
        <v>0</v>
      </c>
      <c r="K307" s="2">
        <v>0</v>
      </c>
      <c r="L307" s="2">
        <v>14132</v>
      </c>
      <c r="M307" s="2">
        <v>7333</v>
      </c>
      <c r="N307" s="2">
        <v>856</v>
      </c>
      <c r="O307" s="2">
        <v>0</v>
      </c>
      <c r="P307" s="2">
        <v>355</v>
      </c>
      <c r="Q307" s="3">
        <f t="shared" si="8"/>
        <v>37692</v>
      </c>
      <c r="R307" s="3">
        <v>9995</v>
      </c>
      <c r="S307" s="3">
        <v>17215</v>
      </c>
      <c r="T307" s="5">
        <f t="shared" si="9"/>
        <v>10482</v>
      </c>
    </row>
    <row r="308" spans="1:20" ht="18.75" customHeight="1">
      <c r="A308" s="7" t="s">
        <v>23</v>
      </c>
      <c r="B308" s="10">
        <v>45598</v>
      </c>
      <c r="C308" s="2">
        <v>2315</v>
      </c>
      <c r="D308" s="2">
        <v>0</v>
      </c>
      <c r="E308" s="2">
        <v>355</v>
      </c>
      <c r="F308" s="2">
        <v>2625</v>
      </c>
      <c r="G308" s="2">
        <v>2170</v>
      </c>
      <c r="H308" s="2">
        <v>2225</v>
      </c>
      <c r="I308" s="2">
        <v>740</v>
      </c>
      <c r="J308" s="2">
        <v>0</v>
      </c>
      <c r="K308" s="2">
        <v>0</v>
      </c>
      <c r="L308" s="2">
        <v>10098</v>
      </c>
      <c r="M308" s="2">
        <v>7665</v>
      </c>
      <c r="N308" s="2">
        <v>609</v>
      </c>
      <c r="O308" s="2">
        <v>200</v>
      </c>
      <c r="P308" s="2">
        <v>845</v>
      </c>
      <c r="Q308" s="3">
        <f t="shared" si="8"/>
        <v>29847</v>
      </c>
      <c r="R308" s="3">
        <v>8783</v>
      </c>
      <c r="S308" s="3">
        <v>14309</v>
      </c>
      <c r="T308" s="5">
        <f t="shared" si="9"/>
        <v>6755</v>
      </c>
    </row>
    <row r="309" spans="1:20" ht="18.75" customHeight="1">
      <c r="A309" s="7" t="s">
        <v>17</v>
      </c>
      <c r="B309" s="10">
        <v>45599</v>
      </c>
      <c r="C309" s="2">
        <v>1995</v>
      </c>
      <c r="D309" s="2">
        <v>1225</v>
      </c>
      <c r="E309" s="2">
        <v>0</v>
      </c>
      <c r="F309" s="2">
        <v>4045</v>
      </c>
      <c r="G309" s="2">
        <v>1833</v>
      </c>
      <c r="H309" s="2">
        <v>310</v>
      </c>
      <c r="I309" s="2">
        <v>925</v>
      </c>
      <c r="J309" s="2">
        <v>0</v>
      </c>
      <c r="K309" s="2">
        <v>0</v>
      </c>
      <c r="L309" s="2">
        <v>15034</v>
      </c>
      <c r="M309" s="2">
        <v>7441</v>
      </c>
      <c r="N309" s="2">
        <v>1025</v>
      </c>
      <c r="O309" s="2">
        <v>705</v>
      </c>
      <c r="P309" s="2">
        <v>319</v>
      </c>
      <c r="Q309" s="3">
        <f t="shared" si="8"/>
        <v>34857</v>
      </c>
      <c r="R309" s="3">
        <v>11415</v>
      </c>
      <c r="S309" s="3">
        <v>8445</v>
      </c>
      <c r="T309" s="5">
        <f t="shared" si="9"/>
        <v>14997</v>
      </c>
    </row>
    <row r="310" spans="1:20" ht="18.75" customHeight="1">
      <c r="A310" s="7" t="s">
        <v>18</v>
      </c>
      <c r="B310" s="10">
        <v>45600</v>
      </c>
      <c r="C310" s="2">
        <v>1350</v>
      </c>
      <c r="D310" s="2">
        <v>1600</v>
      </c>
      <c r="E310" s="2">
        <v>630</v>
      </c>
      <c r="F310" s="2">
        <v>3135</v>
      </c>
      <c r="G310" s="2">
        <v>1994</v>
      </c>
      <c r="H310" s="2">
        <v>1020</v>
      </c>
      <c r="I310" s="2">
        <v>1974</v>
      </c>
      <c r="J310" s="2">
        <v>0</v>
      </c>
      <c r="K310" s="2">
        <v>0</v>
      </c>
      <c r="L310" s="2">
        <v>12540</v>
      </c>
      <c r="M310" s="2">
        <v>7570</v>
      </c>
      <c r="N310" s="2">
        <v>441</v>
      </c>
      <c r="O310" s="2">
        <v>539</v>
      </c>
      <c r="P310" s="2">
        <v>245</v>
      </c>
      <c r="Q310" s="3">
        <f t="shared" si="8"/>
        <v>33038</v>
      </c>
      <c r="R310" s="3">
        <v>8155</v>
      </c>
      <c r="S310" s="3">
        <v>17116</v>
      </c>
      <c r="T310" s="5">
        <f t="shared" si="9"/>
        <v>7767</v>
      </c>
    </row>
    <row r="311" spans="1:20" ht="18.75" customHeight="1">
      <c r="A311" s="7" t="s">
        <v>19</v>
      </c>
      <c r="B311" s="10">
        <v>45601</v>
      </c>
      <c r="C311" s="2">
        <v>1235</v>
      </c>
      <c r="D311" s="2">
        <v>1355</v>
      </c>
      <c r="E311" s="2">
        <v>0</v>
      </c>
      <c r="F311" s="2">
        <v>3305</v>
      </c>
      <c r="G311" s="2">
        <v>2229</v>
      </c>
      <c r="H311" s="2">
        <v>1544</v>
      </c>
      <c r="I311" s="2">
        <v>1635</v>
      </c>
      <c r="J311" s="2">
        <v>0</v>
      </c>
      <c r="K311" s="2">
        <v>0</v>
      </c>
      <c r="L311" s="2">
        <v>9405</v>
      </c>
      <c r="M311" s="2">
        <v>3667</v>
      </c>
      <c r="N311" s="2">
        <v>617</v>
      </c>
      <c r="O311" s="2">
        <v>175</v>
      </c>
      <c r="P311" s="2">
        <v>160</v>
      </c>
      <c r="Q311" s="3">
        <f t="shared" si="8"/>
        <v>25327</v>
      </c>
      <c r="R311" s="3">
        <v>9171</v>
      </c>
      <c r="S311" s="3">
        <v>10761</v>
      </c>
      <c r="T311" s="5">
        <f t="shared" si="9"/>
        <v>5395</v>
      </c>
    </row>
    <row r="312" spans="1:20" ht="18.75" customHeight="1">
      <c r="A312" s="7" t="s">
        <v>20</v>
      </c>
      <c r="B312" s="10">
        <v>45602</v>
      </c>
      <c r="C312" s="2">
        <v>1200</v>
      </c>
      <c r="D312" s="2">
        <v>1345</v>
      </c>
      <c r="E312" s="2">
        <v>375</v>
      </c>
      <c r="F312" s="2">
        <v>2475</v>
      </c>
      <c r="G312" s="2">
        <v>2085</v>
      </c>
      <c r="H312" s="2">
        <v>1430</v>
      </c>
      <c r="I312" s="2">
        <v>1865</v>
      </c>
      <c r="J312" s="2">
        <v>0</v>
      </c>
      <c r="K312" s="2">
        <v>0</v>
      </c>
      <c r="L312" s="2">
        <v>11043</v>
      </c>
      <c r="M312" s="2">
        <v>5349</v>
      </c>
      <c r="N312" s="2">
        <v>244</v>
      </c>
      <c r="O312" s="2">
        <v>0</v>
      </c>
      <c r="P312" s="2">
        <v>0</v>
      </c>
      <c r="Q312" s="3">
        <f t="shared" si="8"/>
        <v>27411</v>
      </c>
      <c r="R312" s="3">
        <v>8235</v>
      </c>
      <c r="S312" s="3">
        <v>15558</v>
      </c>
      <c r="T312" s="5">
        <f t="shared" si="9"/>
        <v>3618</v>
      </c>
    </row>
    <row r="313" spans="1:20" ht="18.75" customHeight="1">
      <c r="A313" s="7" t="s">
        <v>21</v>
      </c>
      <c r="B313" s="10">
        <v>45603</v>
      </c>
      <c r="C313" s="2">
        <v>1005</v>
      </c>
      <c r="D313" s="2">
        <v>1510</v>
      </c>
      <c r="E313" s="2">
        <v>485</v>
      </c>
      <c r="F313" s="2">
        <v>2480</v>
      </c>
      <c r="G313" s="2">
        <v>2598</v>
      </c>
      <c r="H313" s="2">
        <v>1255</v>
      </c>
      <c r="I313" s="2">
        <v>1455</v>
      </c>
      <c r="J313" s="2">
        <v>0</v>
      </c>
      <c r="K313" s="2">
        <v>0</v>
      </c>
      <c r="L313" s="2">
        <v>6475</v>
      </c>
      <c r="M313" s="2">
        <v>6479</v>
      </c>
      <c r="N313" s="2">
        <v>1446</v>
      </c>
      <c r="O313" s="2">
        <v>255</v>
      </c>
      <c r="P313" s="2">
        <v>745</v>
      </c>
      <c r="Q313" s="3">
        <f t="shared" si="8"/>
        <v>26188</v>
      </c>
      <c r="R313" s="3">
        <v>8590</v>
      </c>
      <c r="S313" s="3">
        <v>12695</v>
      </c>
      <c r="T313" s="5">
        <f t="shared" si="9"/>
        <v>4903</v>
      </c>
    </row>
    <row r="314" spans="1:20" ht="18.75" customHeight="1">
      <c r="A314" s="7" t="s">
        <v>22</v>
      </c>
      <c r="B314" s="10">
        <v>45604</v>
      </c>
      <c r="C314" s="2">
        <v>1440</v>
      </c>
      <c r="D314" s="2">
        <v>1470</v>
      </c>
      <c r="E314" s="2">
        <v>855</v>
      </c>
      <c r="F314" s="2">
        <v>3010</v>
      </c>
      <c r="G314" s="2">
        <v>1886</v>
      </c>
      <c r="H314" s="2">
        <v>725</v>
      </c>
      <c r="I314" s="2">
        <v>2290</v>
      </c>
      <c r="J314" s="2">
        <v>0</v>
      </c>
      <c r="K314" s="2">
        <v>0</v>
      </c>
      <c r="L314" s="2">
        <v>8488</v>
      </c>
      <c r="M314" s="2">
        <v>6770</v>
      </c>
      <c r="N314" s="2">
        <v>860</v>
      </c>
      <c r="O314" s="2">
        <v>315</v>
      </c>
      <c r="P314" s="2">
        <v>298</v>
      </c>
      <c r="Q314" s="3">
        <f t="shared" si="8"/>
        <v>28407</v>
      </c>
      <c r="R314" s="3">
        <v>9006</v>
      </c>
      <c r="S314" s="3">
        <v>15186</v>
      </c>
      <c r="T314" s="5">
        <f t="shared" si="9"/>
        <v>4215</v>
      </c>
    </row>
    <row r="315" spans="1:20" ht="18.75" customHeight="1">
      <c r="A315" s="7" t="s">
        <v>23</v>
      </c>
      <c r="B315" s="10">
        <v>45605</v>
      </c>
      <c r="C315" s="2">
        <v>2140</v>
      </c>
      <c r="D315" s="2">
        <v>1230</v>
      </c>
      <c r="E315" s="2">
        <v>495</v>
      </c>
      <c r="F315" s="2">
        <v>3290</v>
      </c>
      <c r="G315" s="2">
        <v>2231</v>
      </c>
      <c r="H315" s="2">
        <v>1115</v>
      </c>
      <c r="I315" s="2">
        <v>915</v>
      </c>
      <c r="J315" s="2">
        <v>0</v>
      </c>
      <c r="K315" s="2">
        <v>0</v>
      </c>
      <c r="L315" s="2">
        <v>11353</v>
      </c>
      <c r="M315" s="2">
        <v>6952</v>
      </c>
      <c r="N315" s="2">
        <v>2051</v>
      </c>
      <c r="O315" s="2">
        <v>160</v>
      </c>
      <c r="P315" s="2">
        <v>175</v>
      </c>
      <c r="Q315" s="3">
        <f t="shared" si="8"/>
        <v>32107</v>
      </c>
      <c r="R315" s="3">
        <v>8740</v>
      </c>
      <c r="S315" s="3">
        <v>18081</v>
      </c>
      <c r="T315" s="5">
        <f t="shared" si="9"/>
        <v>5286</v>
      </c>
    </row>
    <row r="316" spans="1:20" ht="18.75" customHeight="1">
      <c r="A316" s="7" t="s">
        <v>17</v>
      </c>
      <c r="B316" s="10">
        <v>45606</v>
      </c>
      <c r="C316" s="2">
        <v>3435</v>
      </c>
      <c r="D316" s="2">
        <v>1110</v>
      </c>
      <c r="E316" s="2">
        <v>0</v>
      </c>
      <c r="F316" s="2">
        <v>2810</v>
      </c>
      <c r="G316" s="2">
        <v>2173</v>
      </c>
      <c r="H316" s="2">
        <v>650</v>
      </c>
      <c r="I316" s="2">
        <v>905</v>
      </c>
      <c r="J316" s="2">
        <v>0</v>
      </c>
      <c r="K316" s="2">
        <v>0</v>
      </c>
      <c r="L316" s="2">
        <v>13324</v>
      </c>
      <c r="M316" s="2">
        <v>6837</v>
      </c>
      <c r="N316" s="2">
        <v>1070</v>
      </c>
      <c r="O316" s="2">
        <v>555</v>
      </c>
      <c r="P316" s="2">
        <v>1103</v>
      </c>
      <c r="Q316" s="3">
        <f t="shared" si="8"/>
        <v>33972</v>
      </c>
      <c r="R316" s="3">
        <v>8335</v>
      </c>
      <c r="S316" s="3">
        <v>12015</v>
      </c>
      <c r="T316" s="5">
        <f t="shared" si="9"/>
        <v>13622</v>
      </c>
    </row>
    <row r="317" spans="1:20" ht="18.75" customHeight="1">
      <c r="A317" s="7" t="s">
        <v>18</v>
      </c>
      <c r="B317" s="10">
        <v>45607</v>
      </c>
      <c r="C317" s="2">
        <v>1895</v>
      </c>
      <c r="D317" s="2">
        <v>710</v>
      </c>
      <c r="E317" s="2">
        <v>710</v>
      </c>
      <c r="F317" s="2">
        <v>3155</v>
      </c>
      <c r="G317" s="2">
        <v>2454</v>
      </c>
      <c r="H317" s="2">
        <v>915</v>
      </c>
      <c r="I317" s="2">
        <v>1301</v>
      </c>
      <c r="J317" s="2">
        <v>0</v>
      </c>
      <c r="K317" s="2">
        <v>0</v>
      </c>
      <c r="L317" s="2">
        <v>8754</v>
      </c>
      <c r="M317" s="2">
        <v>4305</v>
      </c>
      <c r="N317" s="2">
        <v>1053</v>
      </c>
      <c r="O317" s="2">
        <v>218</v>
      </c>
      <c r="P317" s="2">
        <v>588</v>
      </c>
      <c r="Q317" s="3">
        <f t="shared" si="8"/>
        <v>26058</v>
      </c>
      <c r="R317" s="3">
        <v>10061</v>
      </c>
      <c r="S317" s="3">
        <v>11338</v>
      </c>
      <c r="T317" s="5">
        <f t="shared" si="9"/>
        <v>4659</v>
      </c>
    </row>
    <row r="318" spans="1:20" ht="18.75" customHeight="1">
      <c r="A318" s="7" t="s">
        <v>19</v>
      </c>
      <c r="B318" s="10">
        <v>45608</v>
      </c>
      <c r="C318" s="2">
        <v>1525</v>
      </c>
      <c r="D318" s="2">
        <v>1220</v>
      </c>
      <c r="E318" s="2">
        <v>465</v>
      </c>
      <c r="F318" s="2">
        <v>2550</v>
      </c>
      <c r="G318" s="2">
        <v>2023</v>
      </c>
      <c r="H318" s="2">
        <v>945</v>
      </c>
      <c r="I318" s="2">
        <v>1660</v>
      </c>
      <c r="J318" s="2">
        <v>0</v>
      </c>
      <c r="K318" s="2">
        <v>0</v>
      </c>
      <c r="L318" s="2">
        <v>8200</v>
      </c>
      <c r="M318" s="2">
        <v>5426</v>
      </c>
      <c r="N318" s="2">
        <v>559</v>
      </c>
      <c r="O318" s="2">
        <v>378</v>
      </c>
      <c r="P318" s="2">
        <v>620</v>
      </c>
      <c r="Q318" s="3">
        <f t="shared" si="8"/>
        <v>25571</v>
      </c>
      <c r="R318" s="3">
        <v>7458</v>
      </c>
      <c r="S318" s="3">
        <v>10517</v>
      </c>
      <c r="T318" s="5">
        <f t="shared" si="9"/>
        <v>7596</v>
      </c>
    </row>
    <row r="319" spans="1:20" ht="18.75" customHeight="1">
      <c r="A319" s="7" t="s">
        <v>20</v>
      </c>
      <c r="B319" s="10">
        <v>45609</v>
      </c>
      <c r="C319" s="2">
        <v>2435</v>
      </c>
      <c r="D319" s="2">
        <v>880</v>
      </c>
      <c r="E319" s="2">
        <v>540</v>
      </c>
      <c r="F319" s="2">
        <v>3350</v>
      </c>
      <c r="G319" s="2">
        <v>2148</v>
      </c>
      <c r="H319" s="2">
        <v>1115</v>
      </c>
      <c r="I319" s="2">
        <v>915</v>
      </c>
      <c r="J319" s="2">
        <v>0</v>
      </c>
      <c r="K319" s="2">
        <v>0</v>
      </c>
      <c r="L319" s="2">
        <v>7326</v>
      </c>
      <c r="M319" s="2">
        <v>6158</v>
      </c>
      <c r="N319" s="2">
        <v>486</v>
      </c>
      <c r="O319" s="2">
        <v>0</v>
      </c>
      <c r="P319" s="2">
        <v>0</v>
      </c>
      <c r="Q319" s="3">
        <f t="shared" si="8"/>
        <v>25353</v>
      </c>
      <c r="R319" s="3">
        <v>7680</v>
      </c>
      <c r="S319" s="3">
        <v>10240</v>
      </c>
      <c r="T319" s="5">
        <f t="shared" si="9"/>
        <v>7433</v>
      </c>
    </row>
    <row r="320" spans="1:20" ht="18.75" customHeight="1">
      <c r="A320" s="7" t="s">
        <v>21</v>
      </c>
      <c r="B320" s="10">
        <v>45610</v>
      </c>
      <c r="C320" s="2">
        <v>1185</v>
      </c>
      <c r="D320" s="2">
        <v>1615</v>
      </c>
      <c r="E320" s="2">
        <v>0</v>
      </c>
      <c r="F320" s="2">
        <v>3205</v>
      </c>
      <c r="G320" s="2">
        <v>2890</v>
      </c>
      <c r="H320" s="2">
        <v>975</v>
      </c>
      <c r="I320" s="2">
        <v>1375</v>
      </c>
      <c r="J320" s="2">
        <v>0</v>
      </c>
      <c r="K320" s="2">
        <v>0</v>
      </c>
      <c r="L320" s="2">
        <v>5838</v>
      </c>
      <c r="M320" s="2">
        <v>7767</v>
      </c>
      <c r="N320" s="2">
        <v>699</v>
      </c>
      <c r="O320" s="2">
        <v>260</v>
      </c>
      <c r="P320" s="2">
        <v>175</v>
      </c>
      <c r="Q320" s="3">
        <f t="shared" si="8"/>
        <v>25984</v>
      </c>
      <c r="R320" s="3">
        <v>8845</v>
      </c>
      <c r="S320" s="3">
        <v>10507</v>
      </c>
      <c r="T320" s="5">
        <f t="shared" si="9"/>
        <v>6632</v>
      </c>
    </row>
    <row r="321" spans="1:20" ht="18.75" customHeight="1">
      <c r="A321" s="7" t="s">
        <v>22</v>
      </c>
      <c r="B321" s="10">
        <v>45611</v>
      </c>
      <c r="C321" s="2">
        <v>3020</v>
      </c>
      <c r="D321" s="2">
        <v>1430</v>
      </c>
      <c r="E321" s="2">
        <v>938.5</v>
      </c>
      <c r="F321" s="2">
        <v>4415</v>
      </c>
      <c r="G321" s="2">
        <v>2606</v>
      </c>
      <c r="H321" s="2">
        <v>1390</v>
      </c>
      <c r="I321" s="2">
        <v>2800</v>
      </c>
      <c r="J321" s="2">
        <v>0</v>
      </c>
      <c r="K321" s="2">
        <v>0</v>
      </c>
      <c r="L321" s="2">
        <v>9355</v>
      </c>
      <c r="M321" s="2">
        <v>6610</v>
      </c>
      <c r="N321" s="2">
        <v>409</v>
      </c>
      <c r="O321" s="2">
        <v>420</v>
      </c>
      <c r="P321" s="2">
        <v>565</v>
      </c>
      <c r="Q321" s="3">
        <f t="shared" si="8"/>
        <v>33958.5</v>
      </c>
      <c r="R321" s="3">
        <v>9105</v>
      </c>
      <c r="S321" s="3">
        <v>20231</v>
      </c>
      <c r="T321" s="5">
        <f t="shared" si="9"/>
        <v>4622.5</v>
      </c>
    </row>
    <row r="322" spans="1:20" ht="18.75" customHeight="1">
      <c r="A322" s="7" t="s">
        <v>23</v>
      </c>
      <c r="B322" s="10">
        <v>45612</v>
      </c>
      <c r="C322" s="2">
        <v>1910</v>
      </c>
      <c r="D322" s="2">
        <v>1205</v>
      </c>
      <c r="E322" s="2">
        <v>565</v>
      </c>
      <c r="F322" s="2">
        <v>3265</v>
      </c>
      <c r="G322" s="2">
        <v>3015</v>
      </c>
      <c r="H322" s="2">
        <v>925</v>
      </c>
      <c r="I322" s="2">
        <v>2600</v>
      </c>
      <c r="J322" s="2">
        <v>0</v>
      </c>
      <c r="K322" s="2">
        <v>0</v>
      </c>
      <c r="L322" s="2">
        <v>14056</v>
      </c>
      <c r="M322" s="2">
        <v>8107</v>
      </c>
      <c r="N322" s="2">
        <v>835</v>
      </c>
      <c r="O322" s="2">
        <v>228</v>
      </c>
      <c r="P322" s="2">
        <v>275</v>
      </c>
      <c r="Q322" s="3">
        <f t="shared" si="8"/>
        <v>36986</v>
      </c>
      <c r="R322" s="3">
        <v>13520</v>
      </c>
      <c r="S322" s="3">
        <v>12680</v>
      </c>
      <c r="T322" s="5">
        <f t="shared" si="9"/>
        <v>10786</v>
      </c>
    </row>
    <row r="323" spans="1:20" ht="18.75" customHeight="1">
      <c r="A323" s="7" t="s">
        <v>17</v>
      </c>
      <c r="B323" s="10">
        <v>45613</v>
      </c>
      <c r="C323" s="2">
        <v>2370</v>
      </c>
      <c r="D323" s="2">
        <v>1535</v>
      </c>
      <c r="E323" s="2">
        <v>0</v>
      </c>
      <c r="F323" s="2">
        <v>2500</v>
      </c>
      <c r="G323" s="2">
        <v>2604</v>
      </c>
      <c r="H323" s="2">
        <v>210</v>
      </c>
      <c r="I323" s="2">
        <v>1475</v>
      </c>
      <c r="J323" s="2">
        <v>0</v>
      </c>
      <c r="K323" s="2">
        <v>0</v>
      </c>
      <c r="L323" s="2">
        <v>15466</v>
      </c>
      <c r="M323" s="2">
        <v>16638</v>
      </c>
      <c r="N323" s="2">
        <v>387</v>
      </c>
      <c r="O323" s="2">
        <v>0</v>
      </c>
      <c r="P323" s="2">
        <v>1387</v>
      </c>
      <c r="Q323" s="3">
        <f t="shared" ref="Q323:Q367" si="10">SUM(C323:P323)</f>
        <v>44572</v>
      </c>
      <c r="R323" s="3">
        <v>12680</v>
      </c>
      <c r="S323" s="3">
        <v>12781</v>
      </c>
      <c r="T323" s="5">
        <f t="shared" ref="T323:T367" si="11">Q323-R323-S323</f>
        <v>19111</v>
      </c>
    </row>
    <row r="324" spans="1:20" ht="18.75" customHeight="1">
      <c r="A324" s="7" t="s">
        <v>18</v>
      </c>
      <c r="B324" s="10">
        <v>45614</v>
      </c>
      <c r="C324" s="2">
        <v>4420</v>
      </c>
      <c r="D324" s="2">
        <v>1595</v>
      </c>
      <c r="E324" s="2">
        <v>800</v>
      </c>
      <c r="F324" s="2">
        <v>4420</v>
      </c>
      <c r="G324" s="2">
        <v>2106</v>
      </c>
      <c r="H324" s="2">
        <v>1465</v>
      </c>
      <c r="I324" s="2">
        <v>2560</v>
      </c>
      <c r="J324" s="2">
        <v>0</v>
      </c>
      <c r="K324" s="2">
        <v>0</v>
      </c>
      <c r="L324" s="2">
        <v>18105</v>
      </c>
      <c r="M324" s="2">
        <v>14044</v>
      </c>
      <c r="N324" s="2">
        <v>1159</v>
      </c>
      <c r="O324" s="2">
        <v>433</v>
      </c>
      <c r="P324" s="2">
        <v>0</v>
      </c>
      <c r="Q324" s="3">
        <f t="shared" si="10"/>
        <v>51107</v>
      </c>
      <c r="R324" s="3">
        <v>12373</v>
      </c>
      <c r="S324" s="3">
        <v>25160</v>
      </c>
      <c r="T324" s="5">
        <f t="shared" si="11"/>
        <v>13574</v>
      </c>
    </row>
    <row r="325" spans="1:20" ht="18.75" customHeight="1">
      <c r="A325" s="7" t="s">
        <v>19</v>
      </c>
      <c r="B325" s="10">
        <v>45615</v>
      </c>
      <c r="C325" s="2">
        <v>1420</v>
      </c>
      <c r="D325" s="2">
        <v>820</v>
      </c>
      <c r="E325" s="2">
        <v>880</v>
      </c>
      <c r="F325" s="2">
        <v>2290</v>
      </c>
      <c r="G325" s="2">
        <v>2550</v>
      </c>
      <c r="H325" s="2">
        <v>1215</v>
      </c>
      <c r="I325" s="2">
        <v>1800</v>
      </c>
      <c r="J325" s="2">
        <v>0</v>
      </c>
      <c r="K325" s="2">
        <v>0</v>
      </c>
      <c r="L325" s="2">
        <v>7715</v>
      </c>
      <c r="M325" s="2">
        <v>4880</v>
      </c>
      <c r="N325" s="2">
        <v>65</v>
      </c>
      <c r="O325" s="2">
        <v>0</v>
      </c>
      <c r="P325" s="2">
        <v>807</v>
      </c>
      <c r="Q325" s="3">
        <f t="shared" si="10"/>
        <v>24442</v>
      </c>
      <c r="R325" s="3">
        <v>8035</v>
      </c>
      <c r="S325" s="3">
        <v>7405</v>
      </c>
      <c r="T325" s="5">
        <f t="shared" si="11"/>
        <v>9002</v>
      </c>
    </row>
    <row r="326" spans="1:20" ht="18.75" customHeight="1">
      <c r="A326" s="7" t="s">
        <v>20</v>
      </c>
      <c r="B326" s="10">
        <v>45616</v>
      </c>
      <c r="C326" s="2">
        <v>995</v>
      </c>
      <c r="D326" s="2">
        <v>1510</v>
      </c>
      <c r="E326" s="2">
        <v>210</v>
      </c>
      <c r="F326" s="2">
        <v>3445</v>
      </c>
      <c r="G326" s="2">
        <v>1950</v>
      </c>
      <c r="H326" s="2">
        <v>590</v>
      </c>
      <c r="I326" s="2">
        <v>1980</v>
      </c>
      <c r="J326" s="2">
        <v>0</v>
      </c>
      <c r="K326" s="2">
        <v>0</v>
      </c>
      <c r="L326" s="2">
        <v>12299</v>
      </c>
      <c r="M326" s="2">
        <v>5325</v>
      </c>
      <c r="N326" s="2">
        <v>2717</v>
      </c>
      <c r="O326" s="2">
        <v>530</v>
      </c>
      <c r="P326" s="2">
        <v>416</v>
      </c>
      <c r="Q326" s="3">
        <f t="shared" si="10"/>
        <v>31967</v>
      </c>
      <c r="R326" s="3">
        <v>7795</v>
      </c>
      <c r="S326" s="3">
        <v>13056</v>
      </c>
      <c r="T326" s="5">
        <f t="shared" si="11"/>
        <v>11116</v>
      </c>
    </row>
    <row r="327" spans="1:20" ht="18.75" customHeight="1">
      <c r="A327" s="7" t="s">
        <v>21</v>
      </c>
      <c r="B327" s="10">
        <v>45617</v>
      </c>
      <c r="C327" s="2">
        <v>2030</v>
      </c>
      <c r="D327" s="2">
        <v>1690</v>
      </c>
      <c r="E327" s="2">
        <v>265</v>
      </c>
      <c r="F327" s="2">
        <v>3145</v>
      </c>
      <c r="G327" s="2">
        <v>2905</v>
      </c>
      <c r="H327" s="2">
        <v>585</v>
      </c>
      <c r="I327" s="2">
        <v>2960</v>
      </c>
      <c r="J327" s="2">
        <v>0</v>
      </c>
      <c r="K327" s="2">
        <v>0</v>
      </c>
      <c r="L327" s="2">
        <v>10513</v>
      </c>
      <c r="M327" s="2">
        <v>7087</v>
      </c>
      <c r="N327" s="2">
        <v>1154</v>
      </c>
      <c r="O327" s="2">
        <v>572</v>
      </c>
      <c r="P327" s="2">
        <v>335</v>
      </c>
      <c r="Q327" s="3">
        <f t="shared" si="10"/>
        <v>33241</v>
      </c>
      <c r="R327" s="3">
        <v>8197</v>
      </c>
      <c r="S327" s="3">
        <v>16383</v>
      </c>
      <c r="T327" s="5">
        <f t="shared" si="11"/>
        <v>8661</v>
      </c>
    </row>
    <row r="328" spans="1:20" ht="18.75" customHeight="1">
      <c r="A328" s="7" t="s">
        <v>22</v>
      </c>
      <c r="B328" s="10">
        <v>45618</v>
      </c>
      <c r="C328" s="2">
        <v>1380</v>
      </c>
      <c r="D328" s="2">
        <v>1570</v>
      </c>
      <c r="E328" s="2">
        <v>580</v>
      </c>
      <c r="F328" s="2">
        <v>3270</v>
      </c>
      <c r="G328" s="2">
        <v>1659</v>
      </c>
      <c r="H328" s="2">
        <v>1005</v>
      </c>
      <c r="I328" s="2">
        <v>1670</v>
      </c>
      <c r="J328" s="2">
        <v>0</v>
      </c>
      <c r="K328" s="2">
        <v>0</v>
      </c>
      <c r="L328" s="2">
        <v>8632</v>
      </c>
      <c r="M328" s="2">
        <v>7481</v>
      </c>
      <c r="N328" s="2">
        <v>374</v>
      </c>
      <c r="O328" s="2">
        <v>0</v>
      </c>
      <c r="P328" s="2">
        <v>430</v>
      </c>
      <c r="Q328" s="3">
        <f t="shared" si="10"/>
        <v>28051</v>
      </c>
      <c r="R328" s="3">
        <v>8747</v>
      </c>
      <c r="S328" s="3">
        <v>11744</v>
      </c>
      <c r="T328" s="5">
        <f t="shared" si="11"/>
        <v>7560</v>
      </c>
    </row>
    <row r="329" spans="1:20" ht="18.75" customHeight="1">
      <c r="A329" s="7" t="s">
        <v>23</v>
      </c>
      <c r="B329" s="10">
        <v>45619</v>
      </c>
      <c r="C329" s="2">
        <v>1510</v>
      </c>
      <c r="D329" s="2">
        <v>1466</v>
      </c>
      <c r="E329" s="2">
        <v>825</v>
      </c>
      <c r="F329" s="2">
        <v>2715</v>
      </c>
      <c r="G329" s="2">
        <v>2404</v>
      </c>
      <c r="H329" s="2">
        <v>546</v>
      </c>
      <c r="I329" s="2">
        <v>1590</v>
      </c>
      <c r="J329" s="2">
        <v>0</v>
      </c>
      <c r="K329" s="2">
        <v>0</v>
      </c>
      <c r="L329" s="2">
        <v>11530</v>
      </c>
      <c r="M329" s="2">
        <v>7959</v>
      </c>
      <c r="N329" s="2">
        <v>570</v>
      </c>
      <c r="O329" s="2">
        <v>235</v>
      </c>
      <c r="P329" s="2">
        <v>0</v>
      </c>
      <c r="Q329" s="3">
        <f t="shared" si="10"/>
        <v>31350</v>
      </c>
      <c r="R329" s="3">
        <v>9155</v>
      </c>
      <c r="S329" s="3">
        <v>13863</v>
      </c>
      <c r="T329" s="5">
        <f t="shared" si="11"/>
        <v>8332</v>
      </c>
    </row>
    <row r="330" spans="1:20" ht="18.75" customHeight="1">
      <c r="A330" s="7" t="s">
        <v>17</v>
      </c>
      <c r="B330" s="10">
        <v>45620</v>
      </c>
      <c r="C330" s="2">
        <v>1935</v>
      </c>
      <c r="D330" s="2">
        <v>1770</v>
      </c>
      <c r="E330" s="2">
        <v>0</v>
      </c>
      <c r="F330" s="2">
        <v>3285</v>
      </c>
      <c r="G330" s="2">
        <v>1806</v>
      </c>
      <c r="H330" s="2">
        <v>990</v>
      </c>
      <c r="I330" s="2">
        <v>1890</v>
      </c>
      <c r="J330" s="2">
        <v>0</v>
      </c>
      <c r="K330" s="2">
        <v>0</v>
      </c>
      <c r="L330" s="2">
        <v>20201</v>
      </c>
      <c r="M330" s="2">
        <v>7812</v>
      </c>
      <c r="N330" s="2">
        <v>1009</v>
      </c>
      <c r="O330" s="2">
        <v>180</v>
      </c>
      <c r="P330" s="2">
        <v>0</v>
      </c>
      <c r="Q330" s="3">
        <f t="shared" si="10"/>
        <v>40878</v>
      </c>
      <c r="R330" s="3">
        <v>8721</v>
      </c>
      <c r="S330" s="3">
        <v>12480</v>
      </c>
      <c r="T330" s="5">
        <f t="shared" si="11"/>
        <v>19677</v>
      </c>
    </row>
    <row r="331" spans="1:20" ht="18.75" customHeight="1">
      <c r="A331" s="7" t="s">
        <v>18</v>
      </c>
      <c r="B331" s="10">
        <v>45621</v>
      </c>
      <c r="C331" s="2">
        <v>2255</v>
      </c>
      <c r="D331" s="2">
        <v>1205</v>
      </c>
      <c r="E331" s="2">
        <v>990</v>
      </c>
      <c r="F331" s="2">
        <v>3470</v>
      </c>
      <c r="G331" s="2">
        <v>1851</v>
      </c>
      <c r="H331" s="2">
        <v>995</v>
      </c>
      <c r="I331" s="2">
        <v>2020</v>
      </c>
      <c r="J331" s="2">
        <v>0</v>
      </c>
      <c r="K331" s="2">
        <v>0</v>
      </c>
      <c r="L331" s="2">
        <v>8713</v>
      </c>
      <c r="M331" s="2">
        <v>2737</v>
      </c>
      <c r="N331" s="2">
        <v>893</v>
      </c>
      <c r="O331" s="2">
        <v>315</v>
      </c>
      <c r="P331" s="2">
        <v>0</v>
      </c>
      <c r="Q331" s="3">
        <f t="shared" si="10"/>
        <v>25444</v>
      </c>
      <c r="R331" s="3">
        <v>7935</v>
      </c>
      <c r="S331" s="3">
        <v>11358</v>
      </c>
      <c r="T331" s="5">
        <f t="shared" si="11"/>
        <v>6151</v>
      </c>
    </row>
    <row r="332" spans="1:20" ht="18.75" customHeight="1">
      <c r="A332" s="7" t="s">
        <v>19</v>
      </c>
      <c r="B332" s="10">
        <v>45622</v>
      </c>
      <c r="C332" s="2">
        <v>1230</v>
      </c>
      <c r="D332" s="2">
        <v>1135</v>
      </c>
      <c r="E332" s="2">
        <v>310</v>
      </c>
      <c r="F332" s="2">
        <v>3310</v>
      </c>
      <c r="G332" s="2">
        <v>2110</v>
      </c>
      <c r="H332" s="2">
        <v>1065</v>
      </c>
      <c r="I332" s="2">
        <v>917</v>
      </c>
      <c r="J332" s="2">
        <v>0</v>
      </c>
      <c r="K332" s="2">
        <v>0</v>
      </c>
      <c r="L332" s="2">
        <v>9204</v>
      </c>
      <c r="M332" s="2">
        <v>4532</v>
      </c>
      <c r="N332" s="2">
        <v>999</v>
      </c>
      <c r="O332" s="2">
        <v>0</v>
      </c>
      <c r="P332" s="2">
        <v>830</v>
      </c>
      <c r="Q332" s="3">
        <f t="shared" si="10"/>
        <v>25642</v>
      </c>
      <c r="R332" s="3">
        <v>7739</v>
      </c>
      <c r="S332" s="3">
        <v>15997</v>
      </c>
      <c r="T332" s="5">
        <f t="shared" si="11"/>
        <v>1906</v>
      </c>
    </row>
    <row r="333" spans="1:20" ht="18.75" customHeight="1">
      <c r="A333" s="7" t="s">
        <v>20</v>
      </c>
      <c r="B333" s="10">
        <v>45623</v>
      </c>
      <c r="C333" s="2">
        <v>1680</v>
      </c>
      <c r="D333" s="2">
        <v>1170</v>
      </c>
      <c r="E333" s="2">
        <v>437.5</v>
      </c>
      <c r="F333" s="2">
        <v>2625</v>
      </c>
      <c r="G333" s="2">
        <v>2110</v>
      </c>
      <c r="H333" s="2">
        <v>630</v>
      </c>
      <c r="I333" s="2">
        <v>2224</v>
      </c>
      <c r="J333" s="2">
        <v>0</v>
      </c>
      <c r="K333" s="2">
        <v>0</v>
      </c>
      <c r="L333" s="2">
        <v>7315</v>
      </c>
      <c r="M333" s="2">
        <v>7176</v>
      </c>
      <c r="N333" s="2">
        <v>193</v>
      </c>
      <c r="O333" s="2">
        <v>0</v>
      </c>
      <c r="P333" s="2">
        <v>975</v>
      </c>
      <c r="Q333" s="3">
        <f t="shared" si="10"/>
        <v>26535.5</v>
      </c>
      <c r="R333" s="3">
        <v>12201</v>
      </c>
      <c r="S333" s="3">
        <v>9469</v>
      </c>
      <c r="T333" s="5">
        <f t="shared" si="11"/>
        <v>4865.5</v>
      </c>
    </row>
    <row r="334" spans="1:20" ht="18.75" customHeight="1">
      <c r="A334" s="7" t="s">
        <v>21</v>
      </c>
      <c r="B334" s="10">
        <v>45624</v>
      </c>
      <c r="C334" s="2">
        <v>2440</v>
      </c>
      <c r="D334" s="2">
        <v>745</v>
      </c>
      <c r="E334" s="2">
        <v>715</v>
      </c>
      <c r="F334" s="2">
        <v>3065</v>
      </c>
      <c r="G334" s="2">
        <v>1884</v>
      </c>
      <c r="H334" s="2">
        <v>1535</v>
      </c>
      <c r="I334" s="2">
        <v>1750</v>
      </c>
      <c r="J334" s="2">
        <v>0</v>
      </c>
      <c r="K334" s="2">
        <v>0</v>
      </c>
      <c r="L334" s="2">
        <v>8189</v>
      </c>
      <c r="M334" s="2">
        <v>3094</v>
      </c>
      <c r="N334" s="2">
        <v>551</v>
      </c>
      <c r="O334" s="2">
        <v>0</v>
      </c>
      <c r="P334" s="2">
        <v>176</v>
      </c>
      <c r="Q334" s="3">
        <f t="shared" si="10"/>
        <v>24144</v>
      </c>
      <c r="R334" s="3">
        <v>8892</v>
      </c>
      <c r="S334" s="3">
        <v>10874</v>
      </c>
      <c r="T334" s="5">
        <f t="shared" si="11"/>
        <v>4378</v>
      </c>
    </row>
    <row r="335" spans="1:20" ht="18.75" customHeight="1">
      <c r="A335" s="7" t="s">
        <v>22</v>
      </c>
      <c r="B335" s="10">
        <v>45625</v>
      </c>
      <c r="C335" s="2">
        <v>1800</v>
      </c>
      <c r="D335" s="2">
        <v>2140</v>
      </c>
      <c r="E335" s="2">
        <v>875</v>
      </c>
      <c r="F335" s="2">
        <v>2940</v>
      </c>
      <c r="G335" s="2">
        <v>2700</v>
      </c>
      <c r="H335" s="2">
        <v>870</v>
      </c>
      <c r="I335" s="2">
        <v>2307</v>
      </c>
      <c r="J335" s="2">
        <v>0</v>
      </c>
      <c r="K335" s="2">
        <v>0</v>
      </c>
      <c r="L335" s="2">
        <v>13072</v>
      </c>
      <c r="M335" s="2">
        <v>6740</v>
      </c>
      <c r="N335" s="2">
        <v>1101</v>
      </c>
      <c r="O335" s="2">
        <v>0</v>
      </c>
      <c r="P335" s="2">
        <v>315</v>
      </c>
      <c r="Q335" s="3">
        <f t="shared" si="10"/>
        <v>34860</v>
      </c>
      <c r="R335" s="3">
        <v>9090</v>
      </c>
      <c r="S335" s="3">
        <v>13033</v>
      </c>
      <c r="T335" s="5">
        <f t="shared" si="11"/>
        <v>12737</v>
      </c>
    </row>
    <row r="336" spans="1:20" ht="18.75" customHeight="1">
      <c r="A336" s="7" t="s">
        <v>23</v>
      </c>
      <c r="B336" s="10">
        <v>45626</v>
      </c>
      <c r="C336" s="2">
        <v>1935</v>
      </c>
      <c r="D336" s="2">
        <v>830</v>
      </c>
      <c r="E336" s="2">
        <v>420</v>
      </c>
      <c r="F336" s="2">
        <v>4075</v>
      </c>
      <c r="G336" s="2">
        <v>2057</v>
      </c>
      <c r="H336" s="2">
        <v>1390</v>
      </c>
      <c r="I336" s="2">
        <v>1700</v>
      </c>
      <c r="J336" s="2">
        <v>0</v>
      </c>
      <c r="K336" s="2">
        <v>0</v>
      </c>
      <c r="L336" s="2">
        <v>13878</v>
      </c>
      <c r="M336" s="2">
        <v>6829</v>
      </c>
      <c r="N336" s="2">
        <v>409</v>
      </c>
      <c r="O336" s="2">
        <v>0</v>
      </c>
      <c r="P336" s="2">
        <v>380</v>
      </c>
      <c r="Q336" s="3">
        <f t="shared" si="10"/>
        <v>33903</v>
      </c>
      <c r="R336" s="3">
        <v>12190</v>
      </c>
      <c r="S336" s="3">
        <v>13324</v>
      </c>
      <c r="T336" s="5">
        <f t="shared" si="11"/>
        <v>8389</v>
      </c>
    </row>
    <row r="337" spans="1:20" ht="18.75" customHeight="1">
      <c r="A337" s="7" t="s">
        <v>17</v>
      </c>
      <c r="B337" s="10">
        <v>45627</v>
      </c>
      <c r="C337" s="2">
        <v>1915</v>
      </c>
      <c r="D337" s="2">
        <v>1325</v>
      </c>
      <c r="E337" s="2">
        <v>0</v>
      </c>
      <c r="F337" s="2">
        <v>2135</v>
      </c>
      <c r="G337" s="2">
        <v>3294</v>
      </c>
      <c r="H337" s="2">
        <v>730</v>
      </c>
      <c r="I337" s="2">
        <v>1430</v>
      </c>
      <c r="J337" s="2">
        <v>2115</v>
      </c>
      <c r="K337" s="2">
        <v>0</v>
      </c>
      <c r="L337" s="2">
        <v>16823</v>
      </c>
      <c r="M337" s="2">
        <v>7571</v>
      </c>
      <c r="N337" s="2">
        <v>1083</v>
      </c>
      <c r="O337" s="2">
        <v>373</v>
      </c>
      <c r="P337" s="2">
        <v>228</v>
      </c>
      <c r="Q337" s="3">
        <f t="shared" si="10"/>
        <v>39022</v>
      </c>
      <c r="R337" s="3">
        <v>8936</v>
      </c>
      <c r="S337" s="3">
        <v>18371</v>
      </c>
      <c r="T337" s="5">
        <f t="shared" si="11"/>
        <v>11715</v>
      </c>
    </row>
    <row r="338" spans="1:20" ht="18.75" customHeight="1">
      <c r="A338" s="7" t="s">
        <v>18</v>
      </c>
      <c r="B338" s="10">
        <v>45628</v>
      </c>
      <c r="C338" s="2">
        <v>1695</v>
      </c>
      <c r="D338" s="2">
        <v>1035</v>
      </c>
      <c r="E338" s="2">
        <v>155</v>
      </c>
      <c r="F338" s="2">
        <v>2465</v>
      </c>
      <c r="G338" s="2">
        <v>2090</v>
      </c>
      <c r="H338" s="2">
        <v>1125</v>
      </c>
      <c r="I338" s="2">
        <v>1660</v>
      </c>
      <c r="J338" s="2">
        <v>0</v>
      </c>
      <c r="K338" s="2">
        <v>0</v>
      </c>
      <c r="L338" s="2">
        <v>6205</v>
      </c>
      <c r="M338" s="2">
        <v>4393</v>
      </c>
      <c r="N338" s="2">
        <v>1206</v>
      </c>
      <c r="O338" s="2">
        <v>0</v>
      </c>
      <c r="P338" s="2">
        <v>220</v>
      </c>
      <c r="Q338" s="3">
        <f t="shared" si="10"/>
        <v>22249</v>
      </c>
      <c r="R338" s="3">
        <v>7295</v>
      </c>
      <c r="S338" s="3">
        <v>14751</v>
      </c>
      <c r="T338" s="5">
        <f t="shared" si="11"/>
        <v>203</v>
      </c>
    </row>
    <row r="339" spans="1:20" ht="18.75" customHeight="1">
      <c r="A339" s="7" t="s">
        <v>19</v>
      </c>
      <c r="B339" s="10">
        <v>45629</v>
      </c>
      <c r="C339" s="2">
        <v>1125</v>
      </c>
      <c r="D339" s="2">
        <v>830</v>
      </c>
      <c r="E339" s="2">
        <v>615</v>
      </c>
      <c r="F339" s="2">
        <v>2330</v>
      </c>
      <c r="G339" s="2">
        <v>1842</v>
      </c>
      <c r="H339" s="2">
        <v>785</v>
      </c>
      <c r="I339" s="2">
        <v>1580</v>
      </c>
      <c r="J339" s="2">
        <v>0</v>
      </c>
      <c r="K339" s="2">
        <v>0</v>
      </c>
      <c r="L339" s="2">
        <v>10075</v>
      </c>
      <c r="M339" s="2">
        <v>2583</v>
      </c>
      <c r="N339" s="2">
        <v>471</v>
      </c>
      <c r="O339" s="2">
        <v>285</v>
      </c>
      <c r="P339" s="2">
        <v>441</v>
      </c>
      <c r="Q339" s="3">
        <f t="shared" si="10"/>
        <v>22962</v>
      </c>
      <c r="R339" s="3">
        <v>6887</v>
      </c>
      <c r="S339" s="3">
        <v>12635</v>
      </c>
      <c r="T339" s="5">
        <f t="shared" si="11"/>
        <v>3440</v>
      </c>
    </row>
    <row r="340" spans="1:20" ht="18.75" customHeight="1">
      <c r="A340" s="7" t="s">
        <v>20</v>
      </c>
      <c r="B340" s="10">
        <v>45630</v>
      </c>
      <c r="C340" s="2">
        <v>2270</v>
      </c>
      <c r="D340" s="2">
        <v>1785</v>
      </c>
      <c r="E340" s="2">
        <v>710</v>
      </c>
      <c r="F340" s="2">
        <v>3550</v>
      </c>
      <c r="G340" s="2">
        <v>2299</v>
      </c>
      <c r="H340" s="2">
        <v>1350</v>
      </c>
      <c r="I340" s="2">
        <v>1570</v>
      </c>
      <c r="J340" s="2">
        <v>0</v>
      </c>
      <c r="K340" s="2">
        <v>0</v>
      </c>
      <c r="L340" s="2">
        <v>9345</v>
      </c>
      <c r="M340" s="2">
        <v>5638</v>
      </c>
      <c r="N340" s="2">
        <v>368</v>
      </c>
      <c r="O340" s="2">
        <v>510</v>
      </c>
      <c r="P340" s="2">
        <v>432</v>
      </c>
      <c r="Q340" s="3">
        <f t="shared" si="10"/>
        <v>29827</v>
      </c>
      <c r="R340" s="3">
        <v>12115</v>
      </c>
      <c r="S340" s="3">
        <v>8701</v>
      </c>
      <c r="T340" s="5">
        <f t="shared" si="11"/>
        <v>9011</v>
      </c>
    </row>
    <row r="341" spans="1:20" ht="18.75" customHeight="1">
      <c r="A341" s="7" t="s">
        <v>21</v>
      </c>
      <c r="B341" s="10">
        <v>45631</v>
      </c>
      <c r="C341" s="2">
        <v>1515</v>
      </c>
      <c r="D341" s="2">
        <v>1491</v>
      </c>
      <c r="E341" s="2">
        <v>585</v>
      </c>
      <c r="F341" s="2">
        <v>2820</v>
      </c>
      <c r="G341" s="2">
        <v>2188</v>
      </c>
      <c r="H341" s="2">
        <v>520</v>
      </c>
      <c r="I341" s="2">
        <v>1995</v>
      </c>
      <c r="J341" s="2">
        <v>0</v>
      </c>
      <c r="K341" s="2">
        <v>0</v>
      </c>
      <c r="L341" s="2">
        <v>8878</v>
      </c>
      <c r="M341" s="2">
        <v>6567</v>
      </c>
      <c r="N341" s="2">
        <v>135</v>
      </c>
      <c r="O341" s="2">
        <v>0</v>
      </c>
      <c r="P341" s="2">
        <v>0</v>
      </c>
      <c r="Q341" s="3">
        <f t="shared" si="10"/>
        <v>26694</v>
      </c>
      <c r="R341" s="3">
        <v>8026</v>
      </c>
      <c r="S341" s="3">
        <v>11298</v>
      </c>
      <c r="T341" s="5">
        <f t="shared" si="11"/>
        <v>7370</v>
      </c>
    </row>
    <row r="342" spans="1:20" ht="18.75" customHeight="1">
      <c r="A342" s="7" t="s">
        <v>22</v>
      </c>
      <c r="B342" s="10">
        <v>45632</v>
      </c>
      <c r="C342" s="2">
        <v>2220</v>
      </c>
      <c r="D342" s="2">
        <v>4510</v>
      </c>
      <c r="E342" s="2">
        <v>560</v>
      </c>
      <c r="F342" s="2">
        <v>1070</v>
      </c>
      <c r="G342" s="2">
        <v>2621</v>
      </c>
      <c r="H342" s="2">
        <v>615</v>
      </c>
      <c r="I342" s="2">
        <v>1825</v>
      </c>
      <c r="J342" s="2">
        <v>0</v>
      </c>
      <c r="K342" s="2">
        <v>0</v>
      </c>
      <c r="L342" s="2">
        <v>12177</v>
      </c>
      <c r="M342" s="2">
        <v>3891</v>
      </c>
      <c r="N342" s="2">
        <v>1206</v>
      </c>
      <c r="O342" s="2">
        <v>0</v>
      </c>
      <c r="P342" s="2">
        <v>0</v>
      </c>
      <c r="Q342" s="3">
        <f t="shared" si="10"/>
        <v>30695</v>
      </c>
      <c r="R342" s="3">
        <v>8333</v>
      </c>
      <c r="S342" s="3">
        <v>16234</v>
      </c>
      <c r="T342" s="5">
        <f t="shared" si="11"/>
        <v>6128</v>
      </c>
    </row>
    <row r="343" spans="1:20" ht="18.75" customHeight="1">
      <c r="A343" s="7" t="s">
        <v>23</v>
      </c>
      <c r="B343" s="10">
        <v>45633</v>
      </c>
      <c r="C343" s="2">
        <v>2445</v>
      </c>
      <c r="D343" s="2">
        <v>1600</v>
      </c>
      <c r="E343" s="2">
        <v>345</v>
      </c>
      <c r="F343" s="2">
        <v>4085</v>
      </c>
      <c r="G343" s="2">
        <v>2265</v>
      </c>
      <c r="H343" s="2">
        <v>943</v>
      </c>
      <c r="I343" s="2">
        <v>2325</v>
      </c>
      <c r="J343" s="2">
        <v>0</v>
      </c>
      <c r="K343" s="2">
        <v>0</v>
      </c>
      <c r="L343" s="2">
        <v>11572</v>
      </c>
      <c r="M343" s="2">
        <v>4041</v>
      </c>
      <c r="N343" s="2">
        <v>1077</v>
      </c>
      <c r="O343" s="2">
        <v>598</v>
      </c>
      <c r="P343" s="2">
        <v>723</v>
      </c>
      <c r="Q343" s="3">
        <f t="shared" si="10"/>
        <v>32019</v>
      </c>
      <c r="R343" s="3">
        <v>7852</v>
      </c>
      <c r="S343" s="3">
        <v>16304</v>
      </c>
      <c r="T343" s="5">
        <f t="shared" si="11"/>
        <v>7863</v>
      </c>
    </row>
    <row r="344" spans="1:20" ht="18.75" customHeight="1">
      <c r="A344" s="7" t="s">
        <v>17</v>
      </c>
      <c r="B344" s="10">
        <v>45634</v>
      </c>
      <c r="C344" s="2">
        <v>3585</v>
      </c>
      <c r="D344" s="2">
        <v>2885</v>
      </c>
      <c r="E344" s="2">
        <v>0</v>
      </c>
      <c r="F344" s="2">
        <v>2995</v>
      </c>
      <c r="G344" s="2">
        <v>3507</v>
      </c>
      <c r="H344" s="2">
        <v>430</v>
      </c>
      <c r="I344" s="2">
        <v>1193</v>
      </c>
      <c r="J344" s="2">
        <v>0</v>
      </c>
      <c r="K344" s="2">
        <v>0</v>
      </c>
      <c r="L344" s="2">
        <v>17448</v>
      </c>
      <c r="M344" s="2">
        <v>13051</v>
      </c>
      <c r="N344" s="2">
        <v>899</v>
      </c>
      <c r="O344" s="2">
        <v>260</v>
      </c>
      <c r="P344" s="2">
        <v>470</v>
      </c>
      <c r="Q344" s="3">
        <f t="shared" si="10"/>
        <v>46723</v>
      </c>
      <c r="R344" s="3">
        <v>9478</v>
      </c>
      <c r="S344" s="3">
        <v>12127</v>
      </c>
      <c r="T344" s="5">
        <f t="shared" si="11"/>
        <v>25118</v>
      </c>
    </row>
    <row r="345" spans="1:20" ht="18.75" customHeight="1">
      <c r="A345" s="7" t="s">
        <v>18</v>
      </c>
      <c r="B345" s="10">
        <v>45635</v>
      </c>
      <c r="C345" s="2">
        <v>1685</v>
      </c>
      <c r="D345" s="2">
        <v>1400</v>
      </c>
      <c r="E345" s="2">
        <v>530</v>
      </c>
      <c r="F345" s="2">
        <v>3580</v>
      </c>
      <c r="G345" s="2">
        <v>2450</v>
      </c>
      <c r="H345" s="2">
        <v>1130</v>
      </c>
      <c r="I345" s="2">
        <v>965</v>
      </c>
      <c r="J345" s="2">
        <v>0</v>
      </c>
      <c r="K345" s="2">
        <v>0</v>
      </c>
      <c r="L345" s="2">
        <v>14755</v>
      </c>
      <c r="M345" s="2">
        <v>4734</v>
      </c>
      <c r="N345" s="2">
        <v>361</v>
      </c>
      <c r="O345" s="2">
        <v>305</v>
      </c>
      <c r="P345" s="2">
        <v>1135</v>
      </c>
      <c r="Q345" s="3">
        <f t="shared" si="10"/>
        <v>33030</v>
      </c>
      <c r="R345" s="3">
        <v>8567</v>
      </c>
      <c r="S345" s="3">
        <v>13474</v>
      </c>
      <c r="T345" s="5">
        <f t="shared" si="11"/>
        <v>10989</v>
      </c>
    </row>
    <row r="346" spans="1:20" ht="18.75" customHeight="1">
      <c r="A346" s="7" t="s">
        <v>19</v>
      </c>
      <c r="B346" s="10">
        <v>45636</v>
      </c>
      <c r="C346" s="2">
        <v>2180</v>
      </c>
      <c r="D346" s="2">
        <v>1160</v>
      </c>
      <c r="E346" s="2">
        <v>275</v>
      </c>
      <c r="F346" s="2">
        <v>3485</v>
      </c>
      <c r="G346" s="2">
        <v>3832</v>
      </c>
      <c r="H346" s="2">
        <v>785</v>
      </c>
      <c r="I346" s="2">
        <v>1535</v>
      </c>
      <c r="J346" s="2">
        <v>0</v>
      </c>
      <c r="K346" s="2">
        <v>0</v>
      </c>
      <c r="L346" s="2">
        <v>9199</v>
      </c>
      <c r="M346" s="2">
        <v>6105</v>
      </c>
      <c r="N346" s="2">
        <v>2507</v>
      </c>
      <c r="O346" s="2">
        <v>585</v>
      </c>
      <c r="P346" s="2">
        <v>0</v>
      </c>
      <c r="Q346" s="3">
        <f t="shared" si="10"/>
        <v>31648</v>
      </c>
      <c r="R346" s="3">
        <v>7732</v>
      </c>
      <c r="S346" s="3">
        <v>14409</v>
      </c>
      <c r="T346" s="5">
        <f t="shared" si="11"/>
        <v>9507</v>
      </c>
    </row>
    <row r="347" spans="1:20" ht="18.75" customHeight="1">
      <c r="A347" s="7" t="s">
        <v>20</v>
      </c>
      <c r="B347" s="10">
        <v>45637</v>
      </c>
      <c r="C347" s="2">
        <v>1640</v>
      </c>
      <c r="D347" s="2">
        <v>0</v>
      </c>
      <c r="E347" s="2">
        <v>0</v>
      </c>
      <c r="F347" s="2">
        <v>5825</v>
      </c>
      <c r="G347" s="2">
        <v>2884</v>
      </c>
      <c r="H347" s="2">
        <v>0</v>
      </c>
      <c r="I347" s="2">
        <v>3205</v>
      </c>
      <c r="J347" s="2">
        <v>0</v>
      </c>
      <c r="K347" s="2">
        <v>0</v>
      </c>
      <c r="L347" s="2">
        <v>15905</v>
      </c>
      <c r="M347" s="2">
        <v>9642</v>
      </c>
      <c r="N347" s="2">
        <v>935</v>
      </c>
      <c r="O347" s="2">
        <v>920</v>
      </c>
      <c r="P347" s="2">
        <v>0</v>
      </c>
      <c r="Q347" s="3">
        <f t="shared" si="10"/>
        <v>40956</v>
      </c>
      <c r="R347" s="3">
        <v>12454</v>
      </c>
      <c r="S347" s="3">
        <v>15802</v>
      </c>
      <c r="T347" s="5">
        <f t="shared" si="11"/>
        <v>12700</v>
      </c>
    </row>
    <row r="348" spans="1:20" ht="18.75" customHeight="1">
      <c r="A348" s="7" t="s">
        <v>21</v>
      </c>
      <c r="B348" s="10">
        <v>45638</v>
      </c>
      <c r="C348" s="2">
        <v>1765</v>
      </c>
      <c r="D348" s="2">
        <v>1310</v>
      </c>
      <c r="E348" s="2">
        <v>495</v>
      </c>
      <c r="F348" s="2">
        <v>2920</v>
      </c>
      <c r="G348" s="2">
        <v>3400</v>
      </c>
      <c r="H348" s="2">
        <v>805</v>
      </c>
      <c r="I348" s="2">
        <v>1920</v>
      </c>
      <c r="J348" s="2">
        <v>0</v>
      </c>
      <c r="K348" s="2">
        <v>0</v>
      </c>
      <c r="L348" s="2">
        <v>8860</v>
      </c>
      <c r="M348" s="2">
        <v>4096</v>
      </c>
      <c r="N348" s="2">
        <v>720</v>
      </c>
      <c r="O348" s="2">
        <v>0</v>
      </c>
      <c r="P348" s="2">
        <v>180</v>
      </c>
      <c r="Q348" s="3">
        <f t="shared" si="10"/>
        <v>26471</v>
      </c>
      <c r="R348" s="3">
        <v>8228</v>
      </c>
      <c r="S348" s="3">
        <v>14865</v>
      </c>
      <c r="T348" s="5">
        <f t="shared" si="11"/>
        <v>3378</v>
      </c>
    </row>
    <row r="349" spans="1:20" ht="18.75" customHeight="1">
      <c r="A349" s="7" t="s">
        <v>22</v>
      </c>
      <c r="B349" s="10">
        <v>45639</v>
      </c>
      <c r="C349" s="2">
        <v>2240</v>
      </c>
      <c r="D349" s="2">
        <v>2870</v>
      </c>
      <c r="E349" s="2">
        <v>1085</v>
      </c>
      <c r="F349" s="2">
        <v>3925</v>
      </c>
      <c r="G349" s="2">
        <v>963</v>
      </c>
      <c r="H349" s="2">
        <v>1255</v>
      </c>
      <c r="I349" s="2">
        <v>3083</v>
      </c>
      <c r="J349" s="2">
        <v>0</v>
      </c>
      <c r="K349" s="2">
        <v>0</v>
      </c>
      <c r="L349" s="2">
        <v>12526</v>
      </c>
      <c r="M349" s="2">
        <v>9956</v>
      </c>
      <c r="N349" s="2">
        <v>722</v>
      </c>
      <c r="O349" s="2">
        <v>0</v>
      </c>
      <c r="P349" s="2">
        <v>0</v>
      </c>
      <c r="Q349" s="3">
        <f t="shared" si="10"/>
        <v>38625</v>
      </c>
      <c r="R349" s="3">
        <v>9237</v>
      </c>
      <c r="S349" s="3">
        <v>19823</v>
      </c>
      <c r="T349" s="5">
        <f t="shared" si="11"/>
        <v>9565</v>
      </c>
    </row>
    <row r="350" spans="1:20" ht="18.75" customHeight="1">
      <c r="A350" s="7" t="s">
        <v>23</v>
      </c>
      <c r="B350" s="10">
        <v>45640</v>
      </c>
      <c r="C350" s="2">
        <v>1965</v>
      </c>
      <c r="D350" s="2">
        <v>1470</v>
      </c>
      <c r="E350" s="2">
        <v>275</v>
      </c>
      <c r="F350" s="2">
        <v>3395</v>
      </c>
      <c r="G350" s="2">
        <v>2112</v>
      </c>
      <c r="H350" s="2">
        <v>725</v>
      </c>
      <c r="I350" s="2">
        <v>1290</v>
      </c>
      <c r="J350" s="2">
        <v>0</v>
      </c>
      <c r="K350" s="2">
        <v>0</v>
      </c>
      <c r="L350" s="2">
        <v>14571</v>
      </c>
      <c r="M350" s="2">
        <v>3936</v>
      </c>
      <c r="N350" s="2">
        <v>2444</v>
      </c>
      <c r="O350" s="2">
        <v>397</v>
      </c>
      <c r="P350" s="2">
        <v>965</v>
      </c>
      <c r="Q350" s="3">
        <f t="shared" si="10"/>
        <v>33545</v>
      </c>
      <c r="R350" s="3">
        <v>9554</v>
      </c>
      <c r="S350" s="3">
        <v>17193</v>
      </c>
      <c r="T350" s="5">
        <f t="shared" si="11"/>
        <v>6798</v>
      </c>
    </row>
    <row r="351" spans="1:20" ht="18.75" customHeight="1">
      <c r="A351" s="7" t="s">
        <v>17</v>
      </c>
      <c r="B351" s="10">
        <v>45641</v>
      </c>
      <c r="C351" s="2">
        <v>1450</v>
      </c>
      <c r="D351" s="2">
        <v>2050</v>
      </c>
      <c r="E351" s="2">
        <v>0</v>
      </c>
      <c r="F351" s="2">
        <v>3560</v>
      </c>
      <c r="G351" s="2">
        <v>2496</v>
      </c>
      <c r="H351" s="2">
        <v>545</v>
      </c>
      <c r="I351" s="2">
        <v>1128</v>
      </c>
      <c r="J351" s="2">
        <v>0</v>
      </c>
      <c r="K351" s="2">
        <v>0</v>
      </c>
      <c r="L351" s="2">
        <v>17645</v>
      </c>
      <c r="M351" s="2">
        <v>9775</v>
      </c>
      <c r="N351" s="2">
        <v>327</v>
      </c>
      <c r="O351" s="2">
        <v>319</v>
      </c>
      <c r="P351" s="2">
        <v>706</v>
      </c>
      <c r="Q351" s="3">
        <f t="shared" si="10"/>
        <v>40001</v>
      </c>
      <c r="R351" s="3">
        <v>9318</v>
      </c>
      <c r="S351" s="3">
        <v>14686</v>
      </c>
      <c r="T351" s="5">
        <f t="shared" si="11"/>
        <v>15997</v>
      </c>
    </row>
    <row r="352" spans="1:20" ht="18.75" customHeight="1">
      <c r="A352" s="7" t="s">
        <v>18</v>
      </c>
      <c r="B352" s="10">
        <v>45642</v>
      </c>
      <c r="C352" s="2">
        <v>1810</v>
      </c>
      <c r="D352" s="2">
        <v>1400</v>
      </c>
      <c r="E352" s="2">
        <v>320</v>
      </c>
      <c r="F352" s="2">
        <v>2710</v>
      </c>
      <c r="G352" s="2">
        <v>2146</v>
      </c>
      <c r="H352" s="2">
        <v>1090</v>
      </c>
      <c r="I352" s="2">
        <v>2860</v>
      </c>
      <c r="J352" s="2">
        <v>0</v>
      </c>
      <c r="K352" s="2">
        <v>0</v>
      </c>
      <c r="L352" s="2">
        <v>14990</v>
      </c>
      <c r="M352" s="2">
        <v>5688</v>
      </c>
      <c r="N352" s="2">
        <v>1311</v>
      </c>
      <c r="O352" s="2">
        <v>185</v>
      </c>
      <c r="P352" s="2">
        <v>240</v>
      </c>
      <c r="Q352" s="3">
        <f t="shared" si="10"/>
        <v>34750</v>
      </c>
      <c r="R352" s="3">
        <v>11516</v>
      </c>
      <c r="S352" s="3">
        <v>14191</v>
      </c>
      <c r="T352" s="5">
        <f t="shared" si="11"/>
        <v>9043</v>
      </c>
    </row>
    <row r="353" spans="1:20" ht="18.75" customHeight="1">
      <c r="A353" s="7" t="s">
        <v>19</v>
      </c>
      <c r="B353" s="10">
        <v>45643</v>
      </c>
      <c r="C353" s="2">
        <v>1290</v>
      </c>
      <c r="D353" s="2">
        <v>1035</v>
      </c>
      <c r="E353" s="2">
        <v>840</v>
      </c>
      <c r="F353" s="2">
        <v>4645</v>
      </c>
      <c r="G353" s="2">
        <v>2621</v>
      </c>
      <c r="H353" s="2">
        <v>1295</v>
      </c>
      <c r="I353" s="2">
        <v>2930</v>
      </c>
      <c r="J353" s="2">
        <v>0</v>
      </c>
      <c r="K353" s="2">
        <v>0</v>
      </c>
      <c r="L353" s="2">
        <v>10549</v>
      </c>
      <c r="M353" s="2">
        <v>8539</v>
      </c>
      <c r="N353" s="2">
        <v>0</v>
      </c>
      <c r="O353" s="2">
        <v>0</v>
      </c>
      <c r="P353" s="2">
        <v>0</v>
      </c>
      <c r="Q353" s="3">
        <f t="shared" si="10"/>
        <v>33744</v>
      </c>
      <c r="R353" s="3">
        <v>11186</v>
      </c>
      <c r="S353" s="3">
        <v>18394</v>
      </c>
      <c r="T353" s="5">
        <f t="shared" si="11"/>
        <v>4164</v>
      </c>
    </row>
    <row r="354" spans="1:20" ht="18.75" customHeight="1">
      <c r="A354" s="7" t="s">
        <v>20</v>
      </c>
      <c r="B354" s="10">
        <v>45644</v>
      </c>
      <c r="C354" s="2">
        <v>2045</v>
      </c>
      <c r="D354" s="2">
        <v>1020</v>
      </c>
      <c r="E354" s="2">
        <v>175</v>
      </c>
      <c r="F354" s="2">
        <v>3335</v>
      </c>
      <c r="G354" s="2">
        <v>2001</v>
      </c>
      <c r="H354" s="2">
        <v>1800</v>
      </c>
      <c r="I354" s="2">
        <v>1610</v>
      </c>
      <c r="J354" s="2">
        <v>0</v>
      </c>
      <c r="K354" s="2">
        <v>0</v>
      </c>
      <c r="L354" s="2">
        <v>8313</v>
      </c>
      <c r="M354" s="2">
        <v>7831</v>
      </c>
      <c r="N354" s="2">
        <v>1010</v>
      </c>
      <c r="O354" s="2">
        <v>255</v>
      </c>
      <c r="P354" s="2">
        <v>480</v>
      </c>
      <c r="Q354" s="3">
        <f t="shared" si="10"/>
        <v>29875</v>
      </c>
      <c r="R354" s="3">
        <v>7534</v>
      </c>
      <c r="S354" s="3">
        <v>10684</v>
      </c>
      <c r="T354" s="5">
        <f t="shared" si="11"/>
        <v>11657</v>
      </c>
    </row>
    <row r="355" spans="1:20" ht="18.75" customHeight="1">
      <c r="A355" s="7" t="s">
        <v>21</v>
      </c>
      <c r="B355" s="10">
        <v>45645</v>
      </c>
      <c r="C355" s="2">
        <v>1215</v>
      </c>
      <c r="D355" s="2">
        <v>1385</v>
      </c>
      <c r="E355" s="2">
        <v>340</v>
      </c>
      <c r="F355" s="2">
        <v>3025</v>
      </c>
      <c r="G355" s="2">
        <v>2620</v>
      </c>
      <c r="H355" s="2">
        <v>1025</v>
      </c>
      <c r="I355" s="2">
        <v>2390</v>
      </c>
      <c r="J355" s="2">
        <v>0</v>
      </c>
      <c r="K355" s="2">
        <v>0</v>
      </c>
      <c r="L355" s="2">
        <v>8340</v>
      </c>
      <c r="M355" s="2">
        <v>8132</v>
      </c>
      <c r="N355" s="2">
        <v>2396</v>
      </c>
      <c r="O355" s="2">
        <v>253</v>
      </c>
      <c r="P355" s="2">
        <v>228</v>
      </c>
      <c r="Q355" s="3">
        <f t="shared" si="10"/>
        <v>31349</v>
      </c>
      <c r="R355" s="3">
        <v>9201</v>
      </c>
      <c r="S355" s="3">
        <v>16442</v>
      </c>
      <c r="T355" s="5">
        <f t="shared" si="11"/>
        <v>5706</v>
      </c>
    </row>
    <row r="356" spans="1:20" ht="18.75" customHeight="1">
      <c r="A356" s="7" t="s">
        <v>22</v>
      </c>
      <c r="B356" s="10">
        <v>45646</v>
      </c>
      <c r="C356" s="2">
        <v>3050</v>
      </c>
      <c r="D356" s="2">
        <v>1660</v>
      </c>
      <c r="E356" s="2">
        <v>0</v>
      </c>
      <c r="F356" s="2">
        <v>4235</v>
      </c>
      <c r="G356" s="2">
        <v>3151</v>
      </c>
      <c r="H356" s="2">
        <v>1770</v>
      </c>
      <c r="I356" s="2">
        <v>3165</v>
      </c>
      <c r="J356" s="2">
        <v>0</v>
      </c>
      <c r="K356" s="2">
        <v>0</v>
      </c>
      <c r="L356" s="2">
        <v>13500</v>
      </c>
      <c r="M356" s="2">
        <v>6636</v>
      </c>
      <c r="N356" s="2">
        <v>1461</v>
      </c>
      <c r="O356" s="2">
        <v>388</v>
      </c>
      <c r="P356" s="2">
        <v>1361</v>
      </c>
      <c r="Q356" s="3">
        <f t="shared" si="10"/>
        <v>40377</v>
      </c>
      <c r="R356" s="3">
        <v>8235</v>
      </c>
      <c r="S356" s="3">
        <v>18792</v>
      </c>
      <c r="T356" s="5">
        <f t="shared" si="11"/>
        <v>13350</v>
      </c>
    </row>
    <row r="357" spans="1:20" ht="18.75" customHeight="1">
      <c r="A357" s="7" t="s">
        <v>23</v>
      </c>
      <c r="B357" s="10">
        <v>45647</v>
      </c>
      <c r="C357" s="2">
        <v>1845</v>
      </c>
      <c r="D357" s="2">
        <v>1505</v>
      </c>
      <c r="E357" s="2">
        <v>0</v>
      </c>
      <c r="F357" s="2">
        <v>3605</v>
      </c>
      <c r="G357" s="2">
        <v>3000</v>
      </c>
      <c r="H357" s="2">
        <v>1260</v>
      </c>
      <c r="I357" s="2">
        <v>1362</v>
      </c>
      <c r="J357" s="2">
        <v>0</v>
      </c>
      <c r="K357" s="2">
        <v>0</v>
      </c>
      <c r="L357" s="2">
        <v>11636</v>
      </c>
      <c r="M357" s="2">
        <v>13026</v>
      </c>
      <c r="N357" s="2">
        <v>0</v>
      </c>
      <c r="O357" s="2">
        <v>0</v>
      </c>
      <c r="P357" s="2">
        <v>873</v>
      </c>
      <c r="Q357" s="3">
        <f t="shared" si="10"/>
        <v>38112</v>
      </c>
      <c r="R357" s="3">
        <v>9230</v>
      </c>
      <c r="S357" s="3">
        <v>17913</v>
      </c>
      <c r="T357" s="5">
        <f t="shared" si="11"/>
        <v>10969</v>
      </c>
    </row>
    <row r="358" spans="1:20" ht="18.75" customHeight="1">
      <c r="A358" s="7" t="s">
        <v>17</v>
      </c>
      <c r="B358" s="10">
        <v>45648</v>
      </c>
      <c r="C358" s="2">
        <v>1540</v>
      </c>
      <c r="D358" s="2">
        <v>2270</v>
      </c>
      <c r="E358" s="2">
        <v>295</v>
      </c>
      <c r="F358" s="2">
        <v>2050</v>
      </c>
      <c r="G358" s="2">
        <v>2942</v>
      </c>
      <c r="H358" s="2">
        <v>375</v>
      </c>
      <c r="I358" s="2">
        <v>2228</v>
      </c>
      <c r="J358" s="2">
        <v>0</v>
      </c>
      <c r="K358" s="2">
        <v>0</v>
      </c>
      <c r="L358" s="2">
        <v>13922</v>
      </c>
      <c r="M358" s="2">
        <v>13961</v>
      </c>
      <c r="N358" s="2">
        <v>455</v>
      </c>
      <c r="O358" s="2">
        <v>0</v>
      </c>
      <c r="P358" s="2">
        <v>425</v>
      </c>
      <c r="Q358" s="3">
        <f t="shared" si="10"/>
        <v>40463</v>
      </c>
      <c r="R358" s="3">
        <v>9960</v>
      </c>
      <c r="S358" s="3">
        <v>15665</v>
      </c>
      <c r="T358" s="5">
        <f t="shared" si="11"/>
        <v>14838</v>
      </c>
    </row>
    <row r="359" spans="1:20" ht="18.75" customHeight="1">
      <c r="A359" s="7" t="s">
        <v>18</v>
      </c>
      <c r="B359" s="10">
        <v>45649</v>
      </c>
      <c r="C359" s="2">
        <v>2195</v>
      </c>
      <c r="D359" s="2">
        <v>1705</v>
      </c>
      <c r="E359" s="2">
        <v>420</v>
      </c>
      <c r="F359" s="2">
        <v>4265</v>
      </c>
      <c r="G359" s="2">
        <v>2874</v>
      </c>
      <c r="H359" s="2">
        <v>900</v>
      </c>
      <c r="I359" s="2">
        <v>1610</v>
      </c>
      <c r="J359" s="2">
        <v>0</v>
      </c>
      <c r="K359" s="2">
        <v>0</v>
      </c>
      <c r="L359" s="2">
        <v>17629</v>
      </c>
      <c r="M359" s="2">
        <v>8983</v>
      </c>
      <c r="N359" s="2">
        <v>974</v>
      </c>
      <c r="O359" s="2">
        <v>105</v>
      </c>
      <c r="P359" s="2">
        <v>0</v>
      </c>
      <c r="Q359" s="3">
        <f t="shared" si="10"/>
        <v>41660</v>
      </c>
      <c r="R359" s="3">
        <v>7587</v>
      </c>
      <c r="S359" s="3">
        <v>22592</v>
      </c>
      <c r="T359" s="5">
        <f t="shared" si="11"/>
        <v>11481</v>
      </c>
    </row>
    <row r="360" spans="1:20" ht="18.75" customHeight="1">
      <c r="A360" s="7" t="s">
        <v>19</v>
      </c>
      <c r="B360" s="10">
        <v>45650</v>
      </c>
      <c r="C360" s="2">
        <v>2035</v>
      </c>
      <c r="D360" s="2">
        <v>1445</v>
      </c>
      <c r="E360" s="2">
        <v>785</v>
      </c>
      <c r="F360" s="2">
        <v>2950</v>
      </c>
      <c r="G360" s="2">
        <v>3005</v>
      </c>
      <c r="H360" s="2">
        <v>1155</v>
      </c>
      <c r="I360" s="2">
        <v>2290</v>
      </c>
      <c r="J360" s="2">
        <v>0</v>
      </c>
      <c r="K360" s="2">
        <v>0</v>
      </c>
      <c r="L360" s="2">
        <v>15343</v>
      </c>
      <c r="M360" s="2">
        <v>8346</v>
      </c>
      <c r="N360" s="2">
        <v>316</v>
      </c>
      <c r="O360" s="2">
        <v>0</v>
      </c>
      <c r="P360" s="2">
        <v>0</v>
      </c>
      <c r="Q360" s="3">
        <f t="shared" si="10"/>
        <v>37670</v>
      </c>
      <c r="R360" s="3">
        <v>10380</v>
      </c>
      <c r="S360" s="3">
        <v>12888</v>
      </c>
      <c r="T360" s="5">
        <f t="shared" si="11"/>
        <v>14402</v>
      </c>
    </row>
    <row r="361" spans="1:20" ht="18.75" customHeight="1">
      <c r="A361" s="7" t="s">
        <v>20</v>
      </c>
      <c r="B361" s="10">
        <v>45651</v>
      </c>
      <c r="C361" s="2">
        <v>0</v>
      </c>
      <c r="D361" s="2">
        <v>0</v>
      </c>
      <c r="E361" s="2">
        <v>0</v>
      </c>
      <c r="F361" s="2">
        <v>0</v>
      </c>
      <c r="G361" s="2">
        <v>0</v>
      </c>
      <c r="H361" s="2">
        <v>0</v>
      </c>
      <c r="I361" s="2">
        <v>0</v>
      </c>
      <c r="J361" s="2">
        <v>0</v>
      </c>
      <c r="K361" s="2">
        <v>0</v>
      </c>
      <c r="L361" s="2">
        <v>0</v>
      </c>
      <c r="M361" s="2">
        <v>0</v>
      </c>
      <c r="N361" s="2">
        <v>0</v>
      </c>
      <c r="O361" s="2">
        <v>0</v>
      </c>
      <c r="P361" s="2">
        <v>0</v>
      </c>
      <c r="Q361" s="3">
        <f t="shared" si="10"/>
        <v>0</v>
      </c>
      <c r="R361" s="3">
        <v>0</v>
      </c>
      <c r="S361" s="3">
        <v>0</v>
      </c>
      <c r="T361" s="5">
        <f t="shared" si="11"/>
        <v>0</v>
      </c>
    </row>
    <row r="362" spans="1:20" ht="18.75" customHeight="1">
      <c r="A362" s="7" t="s">
        <v>21</v>
      </c>
      <c r="B362" s="10">
        <v>45652</v>
      </c>
      <c r="C362" s="2">
        <v>2515</v>
      </c>
      <c r="D362" s="2">
        <v>2425</v>
      </c>
      <c r="E362" s="2">
        <v>575</v>
      </c>
      <c r="F362" s="2">
        <v>6160</v>
      </c>
      <c r="G362" s="2">
        <v>2913</v>
      </c>
      <c r="H362" s="2">
        <v>1010</v>
      </c>
      <c r="I362" s="2">
        <v>2150</v>
      </c>
      <c r="J362" s="2">
        <v>0</v>
      </c>
      <c r="K362" s="2">
        <v>0</v>
      </c>
      <c r="L362" s="2">
        <v>16795</v>
      </c>
      <c r="M362" s="2">
        <v>7544</v>
      </c>
      <c r="N362" s="2">
        <v>1427</v>
      </c>
      <c r="O362" s="2">
        <v>0</v>
      </c>
      <c r="P362" s="2">
        <v>350</v>
      </c>
      <c r="Q362" s="3">
        <f t="shared" si="10"/>
        <v>43864</v>
      </c>
      <c r="R362" s="3">
        <v>11490</v>
      </c>
      <c r="S362" s="3">
        <v>21515</v>
      </c>
      <c r="T362" s="5">
        <f t="shared" si="11"/>
        <v>10859</v>
      </c>
    </row>
    <row r="363" spans="1:20" ht="18.75" customHeight="1">
      <c r="A363" s="7" t="s">
        <v>22</v>
      </c>
      <c r="B363" s="10">
        <v>45653</v>
      </c>
      <c r="C363" s="2">
        <v>1949</v>
      </c>
      <c r="D363" s="2">
        <v>2015</v>
      </c>
      <c r="E363" s="2">
        <v>705</v>
      </c>
      <c r="F363" s="2">
        <v>3350</v>
      </c>
      <c r="G363" s="2">
        <v>2708</v>
      </c>
      <c r="H363" s="2">
        <v>1535</v>
      </c>
      <c r="I363" s="2">
        <v>1980</v>
      </c>
      <c r="J363" s="2">
        <v>0</v>
      </c>
      <c r="K363" s="2">
        <v>0</v>
      </c>
      <c r="L363" s="2">
        <v>18475</v>
      </c>
      <c r="M363" s="2">
        <v>10111</v>
      </c>
      <c r="N363" s="2">
        <v>1215</v>
      </c>
      <c r="O363" s="2">
        <v>1079</v>
      </c>
      <c r="P363" s="2">
        <v>993</v>
      </c>
      <c r="Q363" s="3">
        <f t="shared" si="10"/>
        <v>46115</v>
      </c>
      <c r="R363" s="3">
        <v>13510</v>
      </c>
      <c r="S363" s="3">
        <v>19156</v>
      </c>
      <c r="T363" s="5">
        <f t="shared" si="11"/>
        <v>13449</v>
      </c>
    </row>
    <row r="364" spans="1:20" ht="18.75" customHeight="1">
      <c r="A364" s="7" t="s">
        <v>23</v>
      </c>
      <c r="B364" s="10">
        <v>45654</v>
      </c>
      <c r="C364" s="2">
        <v>3665</v>
      </c>
      <c r="D364" s="2">
        <v>3080</v>
      </c>
      <c r="E364" s="2">
        <v>1235</v>
      </c>
      <c r="F364" s="2">
        <v>5805</v>
      </c>
      <c r="G364" s="2">
        <v>2871</v>
      </c>
      <c r="H364" s="2">
        <v>1085</v>
      </c>
      <c r="I364" s="2">
        <v>1950</v>
      </c>
      <c r="J364" s="2">
        <v>0</v>
      </c>
      <c r="K364" s="2">
        <v>0</v>
      </c>
      <c r="L364" s="2">
        <v>21949</v>
      </c>
      <c r="M364" s="2">
        <v>12450</v>
      </c>
      <c r="N364" s="2">
        <v>451</v>
      </c>
      <c r="O364" s="2">
        <v>240</v>
      </c>
      <c r="P364" s="2">
        <v>160</v>
      </c>
      <c r="Q364" s="3">
        <f t="shared" si="10"/>
        <v>54941</v>
      </c>
      <c r="R364" s="3">
        <v>11408</v>
      </c>
      <c r="S364" s="3">
        <v>25564</v>
      </c>
      <c r="T364" s="5">
        <f t="shared" si="11"/>
        <v>17969</v>
      </c>
    </row>
    <row r="365" spans="1:20" ht="18.75" customHeight="1">
      <c r="A365" s="7" t="s">
        <v>17</v>
      </c>
      <c r="B365" s="10">
        <v>45655</v>
      </c>
      <c r="C365" s="2">
        <v>1300</v>
      </c>
      <c r="D365" s="2">
        <v>1230</v>
      </c>
      <c r="E365" s="2">
        <v>475</v>
      </c>
      <c r="F365" s="2">
        <v>4750</v>
      </c>
      <c r="G365" s="2">
        <v>3329</v>
      </c>
      <c r="H365" s="2">
        <v>650</v>
      </c>
      <c r="I365" s="2">
        <v>872</v>
      </c>
      <c r="J365" s="2">
        <v>0</v>
      </c>
      <c r="K365" s="2">
        <v>0</v>
      </c>
      <c r="L365" s="2">
        <v>28194</v>
      </c>
      <c r="M365" s="2">
        <v>11962</v>
      </c>
      <c r="N365" s="2">
        <v>1304</v>
      </c>
      <c r="O365" s="2">
        <v>0</v>
      </c>
      <c r="P365" s="2">
        <v>685</v>
      </c>
      <c r="Q365" s="3">
        <f t="shared" si="10"/>
        <v>54751</v>
      </c>
      <c r="R365" s="3">
        <v>9990</v>
      </c>
      <c r="S365" s="3">
        <v>18105</v>
      </c>
      <c r="T365" s="5">
        <f t="shared" si="11"/>
        <v>26656</v>
      </c>
    </row>
    <row r="366" spans="1:20" ht="18.75" customHeight="1">
      <c r="A366" s="7" t="s">
        <v>18</v>
      </c>
      <c r="B366" s="10">
        <v>45656</v>
      </c>
      <c r="C366" s="2">
        <v>2455</v>
      </c>
      <c r="D366" s="2">
        <v>2450</v>
      </c>
      <c r="E366" s="2">
        <v>0</v>
      </c>
      <c r="F366" s="2">
        <v>6650</v>
      </c>
      <c r="G366" s="2">
        <v>1477</v>
      </c>
      <c r="H366" s="2">
        <v>1095</v>
      </c>
      <c r="I366" s="2">
        <v>2190</v>
      </c>
      <c r="J366" s="2">
        <v>0</v>
      </c>
      <c r="K366" s="2">
        <v>0</v>
      </c>
      <c r="L366" s="2">
        <v>22380</v>
      </c>
      <c r="M366" s="2">
        <v>14920</v>
      </c>
      <c r="N366" s="2">
        <v>1031</v>
      </c>
      <c r="O366" s="2">
        <v>380</v>
      </c>
      <c r="P366" s="2">
        <v>430</v>
      </c>
      <c r="Q366" s="3">
        <f t="shared" si="10"/>
        <v>55458</v>
      </c>
      <c r="R366" s="3">
        <v>10420</v>
      </c>
      <c r="S366" s="3">
        <v>22102</v>
      </c>
      <c r="T366" s="5">
        <f t="shared" si="11"/>
        <v>22936</v>
      </c>
    </row>
    <row r="367" spans="1:20" ht="18.75" customHeight="1">
      <c r="A367" s="7" t="s">
        <v>19</v>
      </c>
      <c r="B367" s="10">
        <v>45657</v>
      </c>
      <c r="C367" s="2">
        <v>2730</v>
      </c>
      <c r="D367" s="2">
        <v>2165</v>
      </c>
      <c r="E367" s="2">
        <v>0</v>
      </c>
      <c r="F367" s="2">
        <v>6140</v>
      </c>
      <c r="G367" s="2">
        <v>2694</v>
      </c>
      <c r="H367" s="2">
        <v>1255</v>
      </c>
      <c r="I367" s="2">
        <v>1625</v>
      </c>
      <c r="J367" s="2">
        <v>0</v>
      </c>
      <c r="K367" s="2">
        <v>0</v>
      </c>
      <c r="L367" s="2">
        <v>19821</v>
      </c>
      <c r="M367" s="2">
        <v>7055</v>
      </c>
      <c r="N367" s="2">
        <v>1409</v>
      </c>
      <c r="O367" s="2">
        <v>425</v>
      </c>
      <c r="P367" s="2">
        <v>210</v>
      </c>
      <c r="Q367" s="3">
        <f t="shared" si="10"/>
        <v>45529</v>
      </c>
      <c r="R367" s="3">
        <v>11670</v>
      </c>
      <c r="S367" s="3">
        <v>20073</v>
      </c>
      <c r="T367" s="5">
        <f t="shared" si="11"/>
        <v>13786</v>
      </c>
    </row>
  </sheetData>
  <conditionalFormatting sqref="T2:T367">
    <cfRule type="cellIs" dxfId="3" priority="43" operator="lessThan">
      <formula>0</formula>
    </cfRule>
  </conditionalFormatting>
  <pageMargins left="0.7" right="0.7" top="0.75" bottom="0.75" header="0.3" footer="0.3"/>
  <pageSetup paperSize="9" orientation="portrait" horizontalDpi="360" verticalDpi="36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S366"/>
  <sheetViews>
    <sheetView topLeftCell="B1" zoomScale="50" zoomScaleNormal="50" workbookViewId="0">
      <pane ySplit="1" topLeftCell="A341" activePane="bottomLeft" state="frozen"/>
      <selection pane="bottomLeft" activeCell="S1" sqref="S1:S366"/>
    </sheetView>
  </sheetViews>
  <sheetFormatPr defaultColWidth="11.5703125" defaultRowHeight="15"/>
  <cols>
    <col min="1" max="1" width="12.85546875" customWidth="1"/>
    <col min="2" max="2" width="16.42578125" style="11" customWidth="1"/>
    <col min="3" max="3" width="20.140625" customWidth="1"/>
    <col min="4" max="4" width="31.28515625" customWidth="1"/>
    <col min="5" max="6" width="21.140625" customWidth="1"/>
    <col min="7" max="7" width="21.85546875" customWidth="1"/>
    <col min="8" max="8" width="16.5703125" customWidth="1"/>
    <col min="9" max="15" width="18.28515625" customWidth="1"/>
    <col min="16" max="16" width="24.140625" customWidth="1"/>
    <col min="17" max="17" width="18.42578125" customWidth="1"/>
    <col min="18" max="18" width="22.140625" customWidth="1"/>
    <col min="19" max="19" width="24.28515625" bestFit="1" customWidth="1"/>
    <col min="20" max="20" width="14.5703125" bestFit="1" customWidth="1"/>
    <col min="21" max="21" width="13.28515625" bestFit="1" customWidth="1"/>
    <col min="22" max="22" width="14.5703125" bestFit="1" customWidth="1"/>
    <col min="23" max="23" width="21.85546875" customWidth="1"/>
    <col min="27" max="30" width="14.5703125" bestFit="1" customWidth="1"/>
    <col min="32" max="32" width="20.5703125" customWidth="1"/>
    <col min="33" max="35" width="14.7109375" bestFit="1" customWidth="1"/>
    <col min="36" max="36" width="17.28515625" customWidth="1"/>
    <col min="37" max="37" width="14.42578125" customWidth="1"/>
    <col min="42" max="45" width="15.140625" bestFit="1" customWidth="1"/>
  </cols>
  <sheetData>
    <row r="1" spans="1:19" ht="18.75" customHeight="1">
      <c r="A1" s="1"/>
      <c r="B1" s="9" t="s">
        <v>0</v>
      </c>
      <c r="C1" s="15" t="s">
        <v>39</v>
      </c>
      <c r="D1" s="15" t="s">
        <v>31</v>
      </c>
      <c r="E1" s="15" t="s">
        <v>40</v>
      </c>
      <c r="F1" s="15" t="s">
        <v>41</v>
      </c>
      <c r="G1" s="15" t="s">
        <v>26</v>
      </c>
      <c r="H1" s="15" t="s">
        <v>4</v>
      </c>
      <c r="I1" s="15" t="s">
        <v>45</v>
      </c>
      <c r="J1" s="15" t="s">
        <v>55</v>
      </c>
      <c r="K1" s="15" t="s">
        <v>10</v>
      </c>
      <c r="L1" s="15" t="s">
        <v>46</v>
      </c>
      <c r="M1" s="22" t="s">
        <v>47</v>
      </c>
      <c r="N1" s="22" t="s">
        <v>53</v>
      </c>
      <c r="O1" s="22" t="s">
        <v>54</v>
      </c>
      <c r="P1" s="16" t="s">
        <v>12</v>
      </c>
      <c r="Q1" s="17" t="s">
        <v>13</v>
      </c>
      <c r="R1" s="17" t="s">
        <v>51</v>
      </c>
      <c r="S1" s="17" t="s">
        <v>15</v>
      </c>
    </row>
    <row r="2" spans="1:19" ht="18.75" customHeight="1">
      <c r="A2" s="4" t="s">
        <v>20</v>
      </c>
      <c r="B2" s="10">
        <v>45658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3">
        <v>0</v>
      </c>
      <c r="Q2" s="3">
        <v>0</v>
      </c>
      <c r="R2" s="3">
        <v>0</v>
      </c>
      <c r="S2" s="5">
        <v>0</v>
      </c>
    </row>
    <row r="3" spans="1:19" ht="18.75" customHeight="1">
      <c r="A3" s="4" t="s">
        <v>21</v>
      </c>
      <c r="B3" s="10">
        <v>45659</v>
      </c>
      <c r="C3" s="2">
        <v>3150</v>
      </c>
      <c r="D3" s="2">
        <v>3580</v>
      </c>
      <c r="E3" s="2">
        <v>0</v>
      </c>
      <c r="F3" s="2">
        <v>11245</v>
      </c>
      <c r="G3" s="2">
        <v>2306</v>
      </c>
      <c r="H3" s="2">
        <v>1750</v>
      </c>
      <c r="I3" s="2">
        <v>2260</v>
      </c>
      <c r="J3" s="2">
        <v>0</v>
      </c>
      <c r="K3" s="2">
        <v>16170</v>
      </c>
      <c r="L3" s="2">
        <v>10275</v>
      </c>
      <c r="M3" s="2">
        <v>859</v>
      </c>
      <c r="N3" s="2">
        <v>229</v>
      </c>
      <c r="O3" s="2">
        <v>0</v>
      </c>
      <c r="P3" s="3">
        <f t="shared" ref="P3:P66" si="0">SUM(C3:O3)</f>
        <v>51824</v>
      </c>
      <c r="Q3" s="3">
        <v>13973</v>
      </c>
      <c r="R3" s="3">
        <v>21528</v>
      </c>
      <c r="S3" s="5">
        <f t="shared" ref="S3:S66" si="1">P3-Q3-R3</f>
        <v>16323</v>
      </c>
    </row>
    <row r="4" spans="1:19" ht="18.75" customHeight="1">
      <c r="A4" s="4" t="s">
        <v>22</v>
      </c>
      <c r="B4" s="10">
        <v>45660</v>
      </c>
      <c r="C4" s="2">
        <v>1540</v>
      </c>
      <c r="D4" s="2">
        <v>1745</v>
      </c>
      <c r="E4" s="2">
        <v>755</v>
      </c>
      <c r="F4" s="2">
        <v>10155</v>
      </c>
      <c r="G4" s="2">
        <v>3599</v>
      </c>
      <c r="H4" s="2">
        <v>800</v>
      </c>
      <c r="I4" s="2">
        <v>2015</v>
      </c>
      <c r="J4" s="2">
        <v>0</v>
      </c>
      <c r="K4" s="2">
        <v>14350</v>
      </c>
      <c r="L4" s="2">
        <v>12351</v>
      </c>
      <c r="M4" s="2">
        <v>1211</v>
      </c>
      <c r="N4" s="2">
        <v>170</v>
      </c>
      <c r="O4" s="2">
        <v>0</v>
      </c>
      <c r="P4" s="3">
        <f t="shared" si="0"/>
        <v>48691</v>
      </c>
      <c r="Q4" s="3">
        <v>10681</v>
      </c>
      <c r="R4" s="3">
        <v>17200</v>
      </c>
      <c r="S4" s="5">
        <f t="shared" si="1"/>
        <v>20810</v>
      </c>
    </row>
    <row r="5" spans="1:19" ht="18.75" customHeight="1">
      <c r="A5" s="4" t="s">
        <v>23</v>
      </c>
      <c r="B5" s="10">
        <v>45661</v>
      </c>
      <c r="C5" s="2">
        <v>3570</v>
      </c>
      <c r="D5" s="2">
        <v>3625</v>
      </c>
      <c r="E5" s="2">
        <v>0</v>
      </c>
      <c r="F5" s="2">
        <v>9220</v>
      </c>
      <c r="G5" s="2">
        <v>3000</v>
      </c>
      <c r="H5" s="2">
        <v>1325</v>
      </c>
      <c r="I5" s="2">
        <v>2455</v>
      </c>
      <c r="J5" s="2">
        <v>0</v>
      </c>
      <c r="K5" s="2">
        <v>12725</v>
      </c>
      <c r="L5" s="2">
        <v>13243</v>
      </c>
      <c r="M5" s="2">
        <v>449</v>
      </c>
      <c r="N5" s="2">
        <v>305</v>
      </c>
      <c r="O5" s="2">
        <v>0</v>
      </c>
      <c r="P5" s="3">
        <f t="shared" si="0"/>
        <v>49917</v>
      </c>
      <c r="Q5" s="3">
        <v>9678</v>
      </c>
      <c r="R5" s="3">
        <v>25618</v>
      </c>
      <c r="S5" s="5">
        <f t="shared" si="1"/>
        <v>14621</v>
      </c>
    </row>
    <row r="6" spans="1:19" ht="18.75" customHeight="1">
      <c r="A6" s="4" t="s">
        <v>17</v>
      </c>
      <c r="B6" s="10">
        <v>45662</v>
      </c>
      <c r="C6" s="2">
        <v>1215</v>
      </c>
      <c r="D6" s="2">
        <v>3671</v>
      </c>
      <c r="E6" s="2">
        <v>0</v>
      </c>
      <c r="F6" s="2">
        <v>8795</v>
      </c>
      <c r="G6" s="2">
        <v>2234</v>
      </c>
      <c r="H6" s="2">
        <v>785</v>
      </c>
      <c r="I6" s="2">
        <v>1365</v>
      </c>
      <c r="J6" s="2">
        <v>0</v>
      </c>
      <c r="K6" s="2">
        <v>20274</v>
      </c>
      <c r="L6" s="2">
        <v>11691</v>
      </c>
      <c r="M6" s="2">
        <v>585</v>
      </c>
      <c r="N6" s="2">
        <v>840</v>
      </c>
      <c r="O6" s="2">
        <v>32</v>
      </c>
      <c r="P6" s="3">
        <f t="shared" si="0"/>
        <v>51487</v>
      </c>
      <c r="Q6" s="3">
        <v>9825</v>
      </c>
      <c r="R6" s="3">
        <v>17840</v>
      </c>
      <c r="S6" s="5">
        <f t="shared" si="1"/>
        <v>23822</v>
      </c>
    </row>
    <row r="7" spans="1:19" ht="18.75" customHeight="1">
      <c r="A7" s="4" t="s">
        <v>18</v>
      </c>
      <c r="B7" s="10">
        <v>45663</v>
      </c>
      <c r="C7" s="2">
        <v>859</v>
      </c>
      <c r="D7" s="2">
        <v>1295</v>
      </c>
      <c r="E7" s="2">
        <v>0</v>
      </c>
      <c r="F7" s="2">
        <v>5550</v>
      </c>
      <c r="G7" s="2">
        <v>1850</v>
      </c>
      <c r="H7" s="2">
        <v>1243</v>
      </c>
      <c r="I7" s="2">
        <v>2460</v>
      </c>
      <c r="J7" s="2">
        <v>0</v>
      </c>
      <c r="K7" s="2">
        <v>15574</v>
      </c>
      <c r="L7" s="2">
        <v>6967</v>
      </c>
      <c r="M7" s="2">
        <v>539</v>
      </c>
      <c r="N7" s="2">
        <v>216</v>
      </c>
      <c r="O7" s="2">
        <v>0</v>
      </c>
      <c r="P7" s="3">
        <f t="shared" si="0"/>
        <v>36553</v>
      </c>
      <c r="Q7" s="3">
        <v>8502</v>
      </c>
      <c r="R7" s="3">
        <v>22138</v>
      </c>
      <c r="S7" s="5">
        <f t="shared" si="1"/>
        <v>5913</v>
      </c>
    </row>
    <row r="8" spans="1:19" ht="18.75" customHeight="1">
      <c r="A8" s="4" t="s">
        <v>19</v>
      </c>
      <c r="B8" s="10">
        <v>45664</v>
      </c>
      <c r="C8" s="2">
        <v>1540</v>
      </c>
      <c r="D8" s="2">
        <v>920</v>
      </c>
      <c r="E8" s="2">
        <v>0</v>
      </c>
      <c r="F8" s="2">
        <v>5765</v>
      </c>
      <c r="G8" s="2">
        <v>1370</v>
      </c>
      <c r="H8" s="2">
        <v>1685</v>
      </c>
      <c r="I8" s="2">
        <v>2018</v>
      </c>
      <c r="J8" s="2">
        <v>0</v>
      </c>
      <c r="K8" s="2">
        <v>10201</v>
      </c>
      <c r="L8" s="2">
        <v>4191</v>
      </c>
      <c r="M8" s="2">
        <v>1389</v>
      </c>
      <c r="N8" s="2">
        <v>0</v>
      </c>
      <c r="O8" s="2">
        <v>0</v>
      </c>
      <c r="P8" s="3">
        <f t="shared" si="0"/>
        <v>29079</v>
      </c>
      <c r="Q8" s="3">
        <v>7671</v>
      </c>
      <c r="R8" s="3">
        <v>11051</v>
      </c>
      <c r="S8" s="5">
        <f t="shared" si="1"/>
        <v>10357</v>
      </c>
    </row>
    <row r="9" spans="1:19" ht="18.75" customHeight="1">
      <c r="A9" s="4" t="s">
        <v>20</v>
      </c>
      <c r="B9" s="10">
        <v>45665</v>
      </c>
      <c r="C9" s="2">
        <v>1380</v>
      </c>
      <c r="D9" s="2">
        <v>1250</v>
      </c>
      <c r="E9" s="2">
        <v>250</v>
      </c>
      <c r="F9" s="2">
        <v>3300</v>
      </c>
      <c r="G9" s="2">
        <v>2385</v>
      </c>
      <c r="H9" s="2">
        <v>445</v>
      </c>
      <c r="I9" s="2">
        <v>1200</v>
      </c>
      <c r="J9" s="2">
        <v>0</v>
      </c>
      <c r="K9" s="2">
        <v>10730</v>
      </c>
      <c r="L9" s="2">
        <v>7909</v>
      </c>
      <c r="M9" s="2">
        <v>934</v>
      </c>
      <c r="N9" s="2">
        <v>0</v>
      </c>
      <c r="O9" s="2">
        <v>0</v>
      </c>
      <c r="P9" s="3">
        <f t="shared" si="0"/>
        <v>29783</v>
      </c>
      <c r="Q9" s="3">
        <v>11706</v>
      </c>
      <c r="R9" s="3">
        <v>13323</v>
      </c>
      <c r="S9" s="5">
        <f t="shared" si="1"/>
        <v>4754</v>
      </c>
    </row>
    <row r="10" spans="1:19" ht="18.75" customHeight="1">
      <c r="A10" s="4" t="s">
        <v>21</v>
      </c>
      <c r="B10" s="10">
        <v>45666</v>
      </c>
      <c r="C10" s="2">
        <v>890</v>
      </c>
      <c r="D10" s="2">
        <v>950</v>
      </c>
      <c r="E10" s="2">
        <v>250</v>
      </c>
      <c r="F10" s="2">
        <v>2875</v>
      </c>
      <c r="G10" s="2">
        <v>2102</v>
      </c>
      <c r="H10" s="2">
        <v>665</v>
      </c>
      <c r="I10" s="2">
        <v>1695</v>
      </c>
      <c r="J10" s="2">
        <v>0</v>
      </c>
      <c r="K10" s="2">
        <v>9211</v>
      </c>
      <c r="L10" s="2">
        <v>4376</v>
      </c>
      <c r="M10" s="2">
        <v>832</v>
      </c>
      <c r="N10" s="2">
        <v>0</v>
      </c>
      <c r="O10" s="2">
        <v>0</v>
      </c>
      <c r="P10" s="3">
        <f t="shared" si="0"/>
        <v>23846</v>
      </c>
      <c r="Q10" s="3">
        <v>8128</v>
      </c>
      <c r="R10" s="3">
        <v>11495</v>
      </c>
      <c r="S10" s="5">
        <f t="shared" si="1"/>
        <v>4223</v>
      </c>
    </row>
    <row r="11" spans="1:19" ht="18.75" customHeight="1">
      <c r="A11" s="4" t="s">
        <v>22</v>
      </c>
      <c r="B11" s="10">
        <v>45667</v>
      </c>
      <c r="C11" s="2">
        <v>4205</v>
      </c>
      <c r="D11" s="2">
        <v>1900</v>
      </c>
      <c r="E11" s="2">
        <v>0</v>
      </c>
      <c r="F11" s="2">
        <v>5675</v>
      </c>
      <c r="G11" s="2">
        <v>1340</v>
      </c>
      <c r="H11" s="2">
        <v>548</v>
      </c>
      <c r="I11" s="2">
        <v>2682</v>
      </c>
      <c r="J11" s="2">
        <v>0</v>
      </c>
      <c r="K11" s="2">
        <v>9189</v>
      </c>
      <c r="L11" s="2">
        <v>6664</v>
      </c>
      <c r="M11" s="2">
        <v>1936</v>
      </c>
      <c r="N11" s="2">
        <v>0</v>
      </c>
      <c r="O11" s="2">
        <v>0</v>
      </c>
      <c r="P11" s="3">
        <f t="shared" si="0"/>
        <v>34139</v>
      </c>
      <c r="Q11" s="3">
        <v>8680</v>
      </c>
      <c r="R11" s="3">
        <v>18420</v>
      </c>
      <c r="S11" s="5">
        <f t="shared" si="1"/>
        <v>7039</v>
      </c>
    </row>
    <row r="12" spans="1:19" ht="18.75" customHeight="1">
      <c r="A12" s="4" t="s">
        <v>23</v>
      </c>
      <c r="B12" s="10">
        <v>45668</v>
      </c>
      <c r="C12" s="2">
        <v>1670</v>
      </c>
      <c r="D12" s="2">
        <v>1075</v>
      </c>
      <c r="E12" s="2">
        <v>275</v>
      </c>
      <c r="F12" s="2">
        <v>3455</v>
      </c>
      <c r="G12" s="2">
        <v>1981</v>
      </c>
      <c r="H12" s="2">
        <v>1110</v>
      </c>
      <c r="I12" s="2">
        <v>760</v>
      </c>
      <c r="J12" s="2">
        <v>0</v>
      </c>
      <c r="K12" s="2">
        <v>8313</v>
      </c>
      <c r="L12" s="2">
        <v>10554</v>
      </c>
      <c r="M12" s="2">
        <v>930</v>
      </c>
      <c r="N12" s="2">
        <v>465</v>
      </c>
      <c r="O12" s="2">
        <v>0</v>
      </c>
      <c r="P12" s="3">
        <f t="shared" si="0"/>
        <v>30588</v>
      </c>
      <c r="Q12" s="3">
        <v>9895</v>
      </c>
      <c r="R12" s="3">
        <v>18318</v>
      </c>
      <c r="S12" s="5">
        <f t="shared" si="1"/>
        <v>2375</v>
      </c>
    </row>
    <row r="13" spans="1:19" ht="18.75" customHeight="1">
      <c r="A13" s="4" t="s">
        <v>17</v>
      </c>
      <c r="B13" s="10">
        <v>45669</v>
      </c>
      <c r="C13" s="2">
        <v>1995</v>
      </c>
      <c r="D13" s="2">
        <v>900</v>
      </c>
      <c r="E13" s="2">
        <v>0</v>
      </c>
      <c r="F13" s="2">
        <v>1870</v>
      </c>
      <c r="G13" s="2">
        <v>1284</v>
      </c>
      <c r="H13" s="2">
        <v>500</v>
      </c>
      <c r="I13" s="2">
        <v>1183</v>
      </c>
      <c r="J13" s="2">
        <v>0</v>
      </c>
      <c r="K13" s="2">
        <v>13174</v>
      </c>
      <c r="L13" s="2">
        <v>8698</v>
      </c>
      <c r="M13" s="2">
        <v>393</v>
      </c>
      <c r="N13" s="2">
        <v>748</v>
      </c>
      <c r="O13" s="2">
        <v>1071</v>
      </c>
      <c r="P13" s="3">
        <f t="shared" si="0"/>
        <v>31816</v>
      </c>
      <c r="Q13" s="3">
        <v>8710</v>
      </c>
      <c r="R13" s="3">
        <v>8697</v>
      </c>
      <c r="S13" s="5">
        <f t="shared" si="1"/>
        <v>14409</v>
      </c>
    </row>
    <row r="14" spans="1:19" ht="18.75" customHeight="1">
      <c r="A14" s="4" t="s">
        <v>18</v>
      </c>
      <c r="B14" s="10">
        <v>45670</v>
      </c>
      <c r="C14" s="2">
        <v>1670</v>
      </c>
      <c r="D14" s="2">
        <v>1135</v>
      </c>
      <c r="E14" s="2">
        <v>0</v>
      </c>
      <c r="F14" s="2">
        <v>3355</v>
      </c>
      <c r="G14" s="2">
        <v>1185</v>
      </c>
      <c r="H14" s="2">
        <v>490</v>
      </c>
      <c r="I14" s="2">
        <v>1325</v>
      </c>
      <c r="J14" s="2">
        <v>0</v>
      </c>
      <c r="K14" s="2">
        <v>8376</v>
      </c>
      <c r="L14" s="2">
        <v>3741</v>
      </c>
      <c r="M14" s="2">
        <v>2058</v>
      </c>
      <c r="N14" s="2">
        <v>550</v>
      </c>
      <c r="O14" s="2">
        <v>0</v>
      </c>
      <c r="P14" s="3">
        <f t="shared" si="0"/>
        <v>23885</v>
      </c>
      <c r="Q14" s="3">
        <v>7760</v>
      </c>
      <c r="R14" s="3">
        <v>14049</v>
      </c>
      <c r="S14" s="5">
        <f t="shared" si="1"/>
        <v>2076</v>
      </c>
    </row>
    <row r="15" spans="1:19" ht="18.75" customHeight="1">
      <c r="A15" s="4" t="s">
        <v>19</v>
      </c>
      <c r="B15" s="10">
        <v>45671</v>
      </c>
      <c r="C15" s="2">
        <v>1350</v>
      </c>
      <c r="D15" s="2">
        <v>790</v>
      </c>
      <c r="E15" s="2">
        <v>210</v>
      </c>
      <c r="F15" s="2">
        <v>2630</v>
      </c>
      <c r="G15" s="2">
        <v>1741</v>
      </c>
      <c r="H15" s="2">
        <v>410</v>
      </c>
      <c r="I15" s="2">
        <v>1835</v>
      </c>
      <c r="J15" s="2">
        <v>0</v>
      </c>
      <c r="K15" s="2">
        <v>7192</v>
      </c>
      <c r="L15" s="2">
        <v>3328</v>
      </c>
      <c r="M15" s="2">
        <v>1013</v>
      </c>
      <c r="N15" s="2">
        <v>0</v>
      </c>
      <c r="O15" s="2">
        <v>0</v>
      </c>
      <c r="P15" s="3">
        <f t="shared" si="0"/>
        <v>20499</v>
      </c>
      <c r="Q15" s="3">
        <v>8200</v>
      </c>
      <c r="R15" s="3">
        <v>7589</v>
      </c>
      <c r="S15" s="5">
        <f t="shared" si="1"/>
        <v>4710</v>
      </c>
    </row>
    <row r="16" spans="1:19" ht="18.75" customHeight="1">
      <c r="A16" s="4" t="s">
        <v>20</v>
      </c>
      <c r="B16" s="10">
        <v>45672</v>
      </c>
      <c r="C16" s="2">
        <v>1080</v>
      </c>
      <c r="D16" s="2">
        <v>1380</v>
      </c>
      <c r="E16" s="2">
        <v>0</v>
      </c>
      <c r="F16" s="2">
        <v>3025</v>
      </c>
      <c r="G16" s="2">
        <v>1273</v>
      </c>
      <c r="H16" s="2">
        <v>680</v>
      </c>
      <c r="I16" s="2">
        <v>1700</v>
      </c>
      <c r="J16" s="2">
        <v>0</v>
      </c>
      <c r="K16" s="2">
        <v>9968</v>
      </c>
      <c r="L16" s="2">
        <v>7013</v>
      </c>
      <c r="M16" s="2">
        <v>1063</v>
      </c>
      <c r="N16" s="2">
        <v>240</v>
      </c>
      <c r="O16" s="2">
        <v>0</v>
      </c>
      <c r="P16" s="3">
        <f t="shared" si="0"/>
        <v>27422</v>
      </c>
      <c r="Q16" s="3">
        <v>8125</v>
      </c>
      <c r="R16" s="3">
        <v>11500</v>
      </c>
      <c r="S16" s="5">
        <f t="shared" si="1"/>
        <v>7797</v>
      </c>
    </row>
    <row r="17" spans="1:19" ht="18.75" customHeight="1">
      <c r="A17" s="4" t="s">
        <v>21</v>
      </c>
      <c r="B17" s="10">
        <v>45673</v>
      </c>
      <c r="C17" s="2">
        <v>1840</v>
      </c>
      <c r="D17" s="2">
        <v>1625</v>
      </c>
      <c r="E17" s="2">
        <v>0</v>
      </c>
      <c r="F17" s="2">
        <v>2630</v>
      </c>
      <c r="G17" s="2">
        <v>1570</v>
      </c>
      <c r="H17" s="2">
        <v>870</v>
      </c>
      <c r="I17" s="2">
        <v>1592</v>
      </c>
      <c r="J17" s="2">
        <v>0</v>
      </c>
      <c r="K17" s="2">
        <v>8177</v>
      </c>
      <c r="L17" s="2">
        <v>5530</v>
      </c>
      <c r="M17" s="2">
        <v>968</v>
      </c>
      <c r="N17" s="2">
        <v>208</v>
      </c>
      <c r="O17" s="2">
        <v>0</v>
      </c>
      <c r="P17" s="3">
        <f t="shared" si="0"/>
        <v>25010</v>
      </c>
      <c r="Q17" s="3">
        <v>7338</v>
      </c>
      <c r="R17" s="3">
        <v>9606</v>
      </c>
      <c r="S17" s="5">
        <f t="shared" si="1"/>
        <v>8066</v>
      </c>
    </row>
    <row r="18" spans="1:19" ht="18.75" customHeight="1">
      <c r="A18" s="4" t="s">
        <v>22</v>
      </c>
      <c r="B18" s="10">
        <v>45674</v>
      </c>
      <c r="C18" s="2">
        <v>1245</v>
      </c>
      <c r="D18" s="2">
        <v>2160</v>
      </c>
      <c r="E18" s="2">
        <v>0</v>
      </c>
      <c r="F18" s="2">
        <v>2780</v>
      </c>
      <c r="G18" s="2">
        <v>3245</v>
      </c>
      <c r="H18" s="2">
        <v>651</v>
      </c>
      <c r="I18" s="2">
        <v>1715</v>
      </c>
      <c r="J18" s="2">
        <v>0</v>
      </c>
      <c r="K18" s="2">
        <v>9444</v>
      </c>
      <c r="L18" s="2">
        <v>7558</v>
      </c>
      <c r="M18" s="2">
        <v>382</v>
      </c>
      <c r="N18" s="2">
        <v>0</v>
      </c>
      <c r="O18" s="2">
        <v>0</v>
      </c>
      <c r="P18" s="3">
        <f t="shared" si="0"/>
        <v>29180</v>
      </c>
      <c r="Q18" s="3">
        <v>9030</v>
      </c>
      <c r="R18" s="3">
        <v>14183</v>
      </c>
      <c r="S18" s="5">
        <f t="shared" si="1"/>
        <v>5967</v>
      </c>
    </row>
    <row r="19" spans="1:19" ht="18.75" customHeight="1">
      <c r="A19" s="4" t="s">
        <v>23</v>
      </c>
      <c r="B19" s="10">
        <v>45675</v>
      </c>
      <c r="C19" s="2">
        <v>1645</v>
      </c>
      <c r="D19" s="2">
        <v>1459</v>
      </c>
      <c r="E19" s="2">
        <v>0</v>
      </c>
      <c r="F19" s="2">
        <v>3385</v>
      </c>
      <c r="G19" s="2">
        <v>3135</v>
      </c>
      <c r="H19" s="2">
        <v>1205</v>
      </c>
      <c r="I19" s="2">
        <v>2120</v>
      </c>
      <c r="J19" s="2">
        <v>0</v>
      </c>
      <c r="K19" s="2">
        <v>12605</v>
      </c>
      <c r="L19" s="2">
        <v>7101</v>
      </c>
      <c r="M19" s="2">
        <v>402</v>
      </c>
      <c r="N19" s="2">
        <v>353</v>
      </c>
      <c r="O19" s="2">
        <v>0</v>
      </c>
      <c r="P19" s="3">
        <f t="shared" si="0"/>
        <v>33410</v>
      </c>
      <c r="Q19" s="3">
        <v>8788</v>
      </c>
      <c r="R19" s="3">
        <v>14146</v>
      </c>
      <c r="S19" s="5">
        <f t="shared" si="1"/>
        <v>10476</v>
      </c>
    </row>
    <row r="20" spans="1:19" ht="18.75" customHeight="1">
      <c r="A20" s="4" t="s">
        <v>17</v>
      </c>
      <c r="B20" s="10">
        <v>45676</v>
      </c>
      <c r="C20" s="2">
        <v>1310</v>
      </c>
      <c r="D20" s="2">
        <v>985</v>
      </c>
      <c r="E20" s="2">
        <v>0</v>
      </c>
      <c r="F20" s="2">
        <v>2440</v>
      </c>
      <c r="G20" s="2">
        <v>1911</v>
      </c>
      <c r="H20" s="2">
        <v>685</v>
      </c>
      <c r="I20" s="2">
        <v>1110</v>
      </c>
      <c r="J20" s="2">
        <v>0</v>
      </c>
      <c r="K20" s="2">
        <v>20115</v>
      </c>
      <c r="L20" s="2">
        <v>7293</v>
      </c>
      <c r="M20" s="2">
        <v>211</v>
      </c>
      <c r="N20" s="2">
        <v>0</v>
      </c>
      <c r="O20" s="2">
        <v>2599</v>
      </c>
      <c r="P20" s="3">
        <f t="shared" si="0"/>
        <v>38659</v>
      </c>
      <c r="Q20" s="3">
        <v>9221</v>
      </c>
      <c r="R20" s="3">
        <v>9902</v>
      </c>
      <c r="S20" s="5">
        <f t="shared" si="1"/>
        <v>19536</v>
      </c>
    </row>
    <row r="21" spans="1:19" ht="18.75" customHeight="1">
      <c r="A21" s="4" t="s">
        <v>18</v>
      </c>
      <c r="B21" s="10">
        <v>45677</v>
      </c>
      <c r="C21" s="2">
        <v>1920</v>
      </c>
      <c r="D21" s="2">
        <v>1700</v>
      </c>
      <c r="E21" s="2">
        <v>0</v>
      </c>
      <c r="F21" s="2">
        <v>3375</v>
      </c>
      <c r="G21" s="2">
        <v>2403</v>
      </c>
      <c r="H21" s="2">
        <v>600</v>
      </c>
      <c r="I21" s="2">
        <v>1585</v>
      </c>
      <c r="J21" s="2">
        <v>0</v>
      </c>
      <c r="K21" s="2">
        <v>11009</v>
      </c>
      <c r="L21" s="2">
        <v>5808</v>
      </c>
      <c r="M21" s="2">
        <v>0</v>
      </c>
      <c r="N21" s="2">
        <v>526</v>
      </c>
      <c r="O21" s="2">
        <v>0</v>
      </c>
      <c r="P21" s="3">
        <f t="shared" si="0"/>
        <v>28926</v>
      </c>
      <c r="Q21" s="3">
        <v>7658</v>
      </c>
      <c r="R21" s="3">
        <v>18547</v>
      </c>
      <c r="S21" s="5">
        <f t="shared" si="1"/>
        <v>2721</v>
      </c>
    </row>
    <row r="22" spans="1:19" ht="18.75" customHeight="1">
      <c r="A22" s="4" t="s">
        <v>19</v>
      </c>
      <c r="B22" s="10">
        <v>45678</v>
      </c>
      <c r="C22" s="2">
        <v>450</v>
      </c>
      <c r="D22" s="2">
        <v>1389</v>
      </c>
      <c r="E22" s="2">
        <v>0</v>
      </c>
      <c r="F22" s="2">
        <v>3280</v>
      </c>
      <c r="G22" s="2">
        <v>2021</v>
      </c>
      <c r="H22" s="2">
        <v>0</v>
      </c>
      <c r="I22" s="2">
        <v>1155</v>
      </c>
      <c r="J22" s="2">
        <v>0</v>
      </c>
      <c r="K22" s="2">
        <v>10817</v>
      </c>
      <c r="L22" s="2">
        <v>5158</v>
      </c>
      <c r="M22" s="2">
        <v>1278</v>
      </c>
      <c r="N22" s="2">
        <v>0</v>
      </c>
      <c r="O22" s="2">
        <v>0</v>
      </c>
      <c r="P22" s="3">
        <f t="shared" si="0"/>
        <v>25548</v>
      </c>
      <c r="Q22" s="3">
        <v>10435</v>
      </c>
      <c r="R22" s="3">
        <v>11546</v>
      </c>
      <c r="S22" s="5">
        <f t="shared" si="1"/>
        <v>3567</v>
      </c>
    </row>
    <row r="23" spans="1:19" ht="18.75" customHeight="1">
      <c r="A23" s="4" t="s">
        <v>20</v>
      </c>
      <c r="B23" s="10">
        <v>45679</v>
      </c>
      <c r="C23" s="2">
        <v>3240</v>
      </c>
      <c r="D23" s="2">
        <v>985</v>
      </c>
      <c r="E23" s="2">
        <v>0</v>
      </c>
      <c r="F23" s="2">
        <v>2305</v>
      </c>
      <c r="G23" s="2">
        <v>2981</v>
      </c>
      <c r="H23" s="2">
        <v>1105</v>
      </c>
      <c r="I23" s="2">
        <v>1545</v>
      </c>
      <c r="J23" s="2">
        <v>0</v>
      </c>
      <c r="K23" s="2">
        <v>10244</v>
      </c>
      <c r="L23" s="2">
        <v>6320</v>
      </c>
      <c r="M23" s="2">
        <v>273</v>
      </c>
      <c r="N23" s="2">
        <v>0</v>
      </c>
      <c r="O23" s="2">
        <v>0</v>
      </c>
      <c r="P23" s="3">
        <f t="shared" si="0"/>
        <v>28998</v>
      </c>
      <c r="Q23" s="3">
        <v>11143</v>
      </c>
      <c r="R23" s="3">
        <v>9968</v>
      </c>
      <c r="S23" s="5">
        <f t="shared" si="1"/>
        <v>7887</v>
      </c>
    </row>
    <row r="24" spans="1:19" ht="18.75" customHeight="1">
      <c r="A24" s="4" t="s">
        <v>21</v>
      </c>
      <c r="B24" s="10">
        <v>45680</v>
      </c>
      <c r="C24" s="2">
        <v>1920</v>
      </c>
      <c r="D24" s="2">
        <v>810</v>
      </c>
      <c r="E24" s="2">
        <v>715</v>
      </c>
      <c r="F24" s="2">
        <v>2690</v>
      </c>
      <c r="G24" s="2">
        <v>2889</v>
      </c>
      <c r="H24" s="2">
        <v>580</v>
      </c>
      <c r="I24" s="2">
        <v>1570</v>
      </c>
      <c r="J24" s="2">
        <v>0</v>
      </c>
      <c r="K24" s="2">
        <v>10163</v>
      </c>
      <c r="L24" s="2">
        <v>4288</v>
      </c>
      <c r="M24" s="2">
        <v>649</v>
      </c>
      <c r="N24" s="2">
        <v>0</v>
      </c>
      <c r="O24" s="2">
        <v>0</v>
      </c>
      <c r="P24" s="3">
        <f t="shared" si="0"/>
        <v>26274</v>
      </c>
      <c r="Q24" s="3">
        <v>9295</v>
      </c>
      <c r="R24" s="3">
        <v>16324</v>
      </c>
      <c r="S24" s="5">
        <f t="shared" si="1"/>
        <v>655</v>
      </c>
    </row>
    <row r="25" spans="1:19" ht="18.75" customHeight="1">
      <c r="A25" s="4" t="s">
        <v>22</v>
      </c>
      <c r="B25" s="10">
        <v>45681</v>
      </c>
      <c r="C25" s="2">
        <v>1205</v>
      </c>
      <c r="D25" s="2">
        <v>2275</v>
      </c>
      <c r="E25" s="2">
        <v>0</v>
      </c>
      <c r="F25" s="2">
        <v>2031</v>
      </c>
      <c r="G25" s="2">
        <v>3375</v>
      </c>
      <c r="H25" s="2">
        <v>895</v>
      </c>
      <c r="I25" s="2">
        <v>1680</v>
      </c>
      <c r="J25" s="2">
        <v>0</v>
      </c>
      <c r="K25" s="2">
        <v>10537</v>
      </c>
      <c r="L25" s="2">
        <v>6994</v>
      </c>
      <c r="M25" s="2">
        <v>524</v>
      </c>
      <c r="N25" s="2">
        <v>125</v>
      </c>
      <c r="O25" s="2">
        <v>0</v>
      </c>
      <c r="P25" s="3">
        <f t="shared" si="0"/>
        <v>29641</v>
      </c>
      <c r="Q25" s="3">
        <v>9310</v>
      </c>
      <c r="R25" s="3">
        <v>15940</v>
      </c>
      <c r="S25" s="5">
        <f t="shared" si="1"/>
        <v>4391</v>
      </c>
    </row>
    <row r="26" spans="1:19" ht="18.75" customHeight="1">
      <c r="A26" s="4" t="s">
        <v>23</v>
      </c>
      <c r="B26" s="10">
        <v>45682</v>
      </c>
      <c r="C26" s="2">
        <v>3000</v>
      </c>
      <c r="D26" s="2">
        <v>1085</v>
      </c>
      <c r="E26" s="2">
        <v>640</v>
      </c>
      <c r="F26" s="2">
        <v>2105</v>
      </c>
      <c r="G26" s="2">
        <v>2431</v>
      </c>
      <c r="H26" s="2">
        <v>1835</v>
      </c>
      <c r="I26" s="2">
        <v>1018</v>
      </c>
      <c r="J26" s="2">
        <v>0</v>
      </c>
      <c r="K26" s="2">
        <v>8187</v>
      </c>
      <c r="L26" s="2">
        <v>5654</v>
      </c>
      <c r="M26" s="2">
        <v>383</v>
      </c>
      <c r="N26" s="2">
        <v>0</v>
      </c>
      <c r="O26" s="2">
        <v>0</v>
      </c>
      <c r="P26" s="3">
        <f t="shared" si="0"/>
        <v>26338</v>
      </c>
      <c r="Q26" s="3">
        <v>9935</v>
      </c>
      <c r="R26" s="3">
        <v>12629</v>
      </c>
      <c r="S26" s="5">
        <f t="shared" si="1"/>
        <v>3774</v>
      </c>
    </row>
    <row r="27" spans="1:19" ht="18.75" customHeight="1">
      <c r="A27" s="4" t="s">
        <v>17</v>
      </c>
      <c r="B27" s="10">
        <v>45683</v>
      </c>
      <c r="C27" s="2">
        <v>1245</v>
      </c>
      <c r="D27" s="2">
        <v>1110</v>
      </c>
      <c r="E27" s="2">
        <v>0</v>
      </c>
      <c r="F27" s="2">
        <v>1340</v>
      </c>
      <c r="G27" s="2">
        <v>1680</v>
      </c>
      <c r="H27" s="2">
        <v>420</v>
      </c>
      <c r="I27" s="2">
        <v>445</v>
      </c>
      <c r="J27" s="2">
        <v>0</v>
      </c>
      <c r="K27" s="2">
        <v>16867</v>
      </c>
      <c r="L27" s="2">
        <v>10605</v>
      </c>
      <c r="M27" s="2">
        <v>373</v>
      </c>
      <c r="N27" s="2">
        <v>939</v>
      </c>
      <c r="O27" s="2">
        <v>1650</v>
      </c>
      <c r="P27" s="3">
        <f t="shared" si="0"/>
        <v>36674</v>
      </c>
      <c r="Q27" s="3">
        <v>11110</v>
      </c>
      <c r="R27" s="3">
        <v>11965</v>
      </c>
      <c r="S27" s="5">
        <f t="shared" si="1"/>
        <v>13599</v>
      </c>
    </row>
    <row r="28" spans="1:19" ht="18.75" customHeight="1">
      <c r="A28" s="4" t="s">
        <v>18</v>
      </c>
      <c r="B28" s="10">
        <v>45684</v>
      </c>
      <c r="C28" s="2">
        <v>1860</v>
      </c>
      <c r="D28" s="2">
        <v>1170</v>
      </c>
      <c r="E28" s="2">
        <v>350</v>
      </c>
      <c r="F28" s="2">
        <v>2505</v>
      </c>
      <c r="G28" s="2">
        <v>2531</v>
      </c>
      <c r="H28" s="2">
        <v>1275</v>
      </c>
      <c r="I28" s="2">
        <v>1393</v>
      </c>
      <c r="J28" s="2">
        <v>0</v>
      </c>
      <c r="K28" s="2">
        <v>8111</v>
      </c>
      <c r="L28" s="2">
        <v>4768</v>
      </c>
      <c r="M28" s="2">
        <v>315</v>
      </c>
      <c r="N28" s="2">
        <v>0</v>
      </c>
      <c r="O28" s="2">
        <v>0</v>
      </c>
      <c r="P28" s="3">
        <f t="shared" si="0"/>
        <v>24278</v>
      </c>
      <c r="Q28" s="3">
        <v>8630</v>
      </c>
      <c r="R28" s="3">
        <v>15902</v>
      </c>
      <c r="S28" s="5">
        <f t="shared" si="1"/>
        <v>-254</v>
      </c>
    </row>
    <row r="29" spans="1:19" ht="18.75" customHeight="1">
      <c r="A29" s="4" t="s">
        <v>19</v>
      </c>
      <c r="B29" s="10">
        <v>45685</v>
      </c>
      <c r="C29" s="2">
        <v>1070</v>
      </c>
      <c r="D29" s="2">
        <v>1005</v>
      </c>
      <c r="E29" s="2">
        <v>0</v>
      </c>
      <c r="F29" s="2">
        <v>2405</v>
      </c>
      <c r="G29" s="2">
        <v>2117</v>
      </c>
      <c r="H29" s="2">
        <v>590</v>
      </c>
      <c r="I29" s="2">
        <v>1153</v>
      </c>
      <c r="J29" s="2">
        <v>0</v>
      </c>
      <c r="K29" s="2">
        <v>9602</v>
      </c>
      <c r="L29" s="2">
        <v>5243</v>
      </c>
      <c r="M29" s="2">
        <v>87</v>
      </c>
      <c r="N29" s="2">
        <v>0</v>
      </c>
      <c r="O29" s="2">
        <v>0</v>
      </c>
      <c r="P29" s="3">
        <f t="shared" si="0"/>
        <v>23272</v>
      </c>
      <c r="Q29" s="3">
        <v>9048</v>
      </c>
      <c r="R29" s="3">
        <v>13421</v>
      </c>
      <c r="S29" s="5">
        <f t="shared" si="1"/>
        <v>803</v>
      </c>
    </row>
    <row r="30" spans="1:19" ht="18.75" customHeight="1">
      <c r="A30" s="4" t="s">
        <v>20</v>
      </c>
      <c r="B30" s="10">
        <v>45686</v>
      </c>
      <c r="C30" s="2">
        <v>1485</v>
      </c>
      <c r="D30" s="2">
        <v>1310</v>
      </c>
      <c r="E30" s="2">
        <v>0</v>
      </c>
      <c r="F30" s="2">
        <v>2635</v>
      </c>
      <c r="G30" s="2">
        <v>2560</v>
      </c>
      <c r="H30" s="2">
        <v>820</v>
      </c>
      <c r="I30" s="2">
        <v>1600</v>
      </c>
      <c r="J30" s="2">
        <v>0</v>
      </c>
      <c r="K30" s="2">
        <v>10947</v>
      </c>
      <c r="L30" s="2">
        <v>6469</v>
      </c>
      <c r="M30" s="2">
        <v>155</v>
      </c>
      <c r="N30" s="2">
        <v>0</v>
      </c>
      <c r="O30" s="2">
        <v>0</v>
      </c>
      <c r="P30" s="3">
        <f t="shared" si="0"/>
        <v>27981</v>
      </c>
      <c r="Q30" s="3">
        <v>10971</v>
      </c>
      <c r="R30" s="3">
        <v>13209</v>
      </c>
      <c r="S30" s="5">
        <f t="shared" si="1"/>
        <v>3801</v>
      </c>
    </row>
    <row r="31" spans="1:19" ht="18.75" customHeight="1">
      <c r="A31" s="4" t="s">
        <v>21</v>
      </c>
      <c r="B31" s="10">
        <v>45687</v>
      </c>
      <c r="C31" s="2">
        <v>1300</v>
      </c>
      <c r="D31" s="2">
        <v>1135</v>
      </c>
      <c r="E31" s="2">
        <v>0</v>
      </c>
      <c r="F31" s="2">
        <v>3045</v>
      </c>
      <c r="G31" s="2">
        <v>890</v>
      </c>
      <c r="H31" s="2">
        <v>1135</v>
      </c>
      <c r="I31" s="2">
        <v>1163</v>
      </c>
      <c r="J31" s="2">
        <v>0</v>
      </c>
      <c r="K31" s="2">
        <v>11691</v>
      </c>
      <c r="L31" s="2">
        <v>6216</v>
      </c>
      <c r="M31" s="2">
        <v>789</v>
      </c>
      <c r="N31" s="2">
        <v>155</v>
      </c>
      <c r="O31" s="2">
        <v>0</v>
      </c>
      <c r="P31" s="3">
        <f t="shared" si="0"/>
        <v>27519</v>
      </c>
      <c r="Q31" s="3">
        <v>8880</v>
      </c>
      <c r="R31" s="3">
        <v>13361</v>
      </c>
      <c r="S31" s="5">
        <f t="shared" si="1"/>
        <v>5278</v>
      </c>
    </row>
    <row r="32" spans="1:19" ht="18.75" customHeight="1">
      <c r="A32" s="4" t="s">
        <v>22</v>
      </c>
      <c r="B32" s="10">
        <v>45688</v>
      </c>
      <c r="C32" s="2">
        <v>1220</v>
      </c>
      <c r="D32" s="2">
        <v>1825</v>
      </c>
      <c r="E32" s="2">
        <v>0</v>
      </c>
      <c r="F32" s="2">
        <v>3605</v>
      </c>
      <c r="G32" s="2">
        <v>1908</v>
      </c>
      <c r="H32" s="2">
        <v>1175</v>
      </c>
      <c r="I32" s="2">
        <v>2110</v>
      </c>
      <c r="J32" s="2">
        <v>0</v>
      </c>
      <c r="K32" s="2">
        <v>13211</v>
      </c>
      <c r="L32" s="2">
        <v>8063</v>
      </c>
      <c r="M32" s="2">
        <v>2089</v>
      </c>
      <c r="N32" s="2">
        <v>0</v>
      </c>
      <c r="O32" s="2">
        <v>0</v>
      </c>
      <c r="P32" s="3">
        <f t="shared" si="0"/>
        <v>35206</v>
      </c>
      <c r="Q32" s="3">
        <v>12498</v>
      </c>
      <c r="R32" s="3">
        <v>13738</v>
      </c>
      <c r="S32" s="5">
        <f t="shared" si="1"/>
        <v>8970</v>
      </c>
    </row>
    <row r="33" spans="1:19" ht="18.75" customHeight="1">
      <c r="A33" s="4" t="s">
        <v>23</v>
      </c>
      <c r="B33" s="10">
        <v>45689</v>
      </c>
      <c r="C33" s="2">
        <v>2195</v>
      </c>
      <c r="D33" s="2">
        <v>1325</v>
      </c>
      <c r="E33" s="2">
        <v>515</v>
      </c>
      <c r="F33" s="2">
        <v>3025</v>
      </c>
      <c r="G33" s="2">
        <v>1518</v>
      </c>
      <c r="H33" s="2">
        <v>510</v>
      </c>
      <c r="I33" s="2">
        <v>1125</v>
      </c>
      <c r="J33" s="2">
        <v>0</v>
      </c>
      <c r="K33" s="2">
        <v>15240</v>
      </c>
      <c r="L33" s="2">
        <v>8611</v>
      </c>
      <c r="M33" s="2">
        <v>593</v>
      </c>
      <c r="N33" s="2">
        <v>0</v>
      </c>
      <c r="O33" s="2">
        <v>0</v>
      </c>
      <c r="P33" s="3">
        <f t="shared" si="0"/>
        <v>34657</v>
      </c>
      <c r="Q33" s="3">
        <v>9669</v>
      </c>
      <c r="R33" s="3">
        <v>17680</v>
      </c>
      <c r="S33" s="5">
        <f t="shared" si="1"/>
        <v>7308</v>
      </c>
    </row>
    <row r="34" spans="1:19" ht="18.75" customHeight="1">
      <c r="A34" s="4" t="s">
        <v>17</v>
      </c>
      <c r="B34" s="10">
        <v>45690</v>
      </c>
      <c r="C34" s="2">
        <v>1730</v>
      </c>
      <c r="D34" s="2">
        <v>1265</v>
      </c>
      <c r="E34" s="2">
        <v>625</v>
      </c>
      <c r="F34" s="2">
        <v>3375</v>
      </c>
      <c r="G34" s="2">
        <v>1504</v>
      </c>
      <c r="H34" s="2">
        <v>465</v>
      </c>
      <c r="I34" s="2">
        <v>1595</v>
      </c>
      <c r="J34" s="2">
        <v>0</v>
      </c>
      <c r="K34" s="2">
        <v>15987</v>
      </c>
      <c r="L34" s="2">
        <v>14258</v>
      </c>
      <c r="M34" s="2">
        <v>1181</v>
      </c>
      <c r="N34" s="2">
        <v>0</v>
      </c>
      <c r="O34" s="2">
        <v>718</v>
      </c>
      <c r="P34" s="3">
        <f t="shared" si="0"/>
        <v>42703</v>
      </c>
      <c r="Q34" s="3">
        <v>8615</v>
      </c>
      <c r="R34" s="3">
        <v>18001</v>
      </c>
      <c r="S34" s="5">
        <f t="shared" si="1"/>
        <v>16087</v>
      </c>
    </row>
    <row r="35" spans="1:19" ht="18.75" customHeight="1">
      <c r="A35" s="4" t="s">
        <v>18</v>
      </c>
      <c r="B35" s="10">
        <v>45691</v>
      </c>
      <c r="C35" s="2">
        <v>1090</v>
      </c>
      <c r="D35" s="2">
        <v>1070</v>
      </c>
      <c r="E35" s="2">
        <v>330</v>
      </c>
      <c r="F35" s="2">
        <v>3230</v>
      </c>
      <c r="G35" s="2">
        <v>1092</v>
      </c>
      <c r="H35" s="2">
        <v>485</v>
      </c>
      <c r="I35" s="2">
        <v>1450</v>
      </c>
      <c r="J35" s="2">
        <v>0</v>
      </c>
      <c r="K35" s="2">
        <v>9025</v>
      </c>
      <c r="L35" s="2">
        <v>8780</v>
      </c>
      <c r="M35" s="2">
        <v>2224</v>
      </c>
      <c r="N35" s="2">
        <v>310</v>
      </c>
      <c r="O35" s="2">
        <v>0</v>
      </c>
      <c r="P35" s="3">
        <f t="shared" si="0"/>
        <v>29086</v>
      </c>
      <c r="Q35" s="3">
        <v>7245</v>
      </c>
      <c r="R35" s="3">
        <v>13938</v>
      </c>
      <c r="S35" s="5">
        <f t="shared" si="1"/>
        <v>7903</v>
      </c>
    </row>
    <row r="36" spans="1:19" ht="18.75" customHeight="1">
      <c r="A36" s="4" t="s">
        <v>19</v>
      </c>
      <c r="B36" s="10">
        <v>45692</v>
      </c>
      <c r="C36" s="2">
        <v>3340</v>
      </c>
      <c r="D36" s="2">
        <v>1775</v>
      </c>
      <c r="E36" s="2">
        <v>0</v>
      </c>
      <c r="F36" s="2">
        <v>2154</v>
      </c>
      <c r="G36" s="2">
        <v>1991</v>
      </c>
      <c r="H36" s="2">
        <v>915</v>
      </c>
      <c r="I36" s="2">
        <v>1350</v>
      </c>
      <c r="J36" s="2">
        <v>0</v>
      </c>
      <c r="K36" s="2">
        <v>11017</v>
      </c>
      <c r="L36" s="2">
        <v>4117</v>
      </c>
      <c r="M36" s="2">
        <v>714</v>
      </c>
      <c r="N36" s="2">
        <v>375</v>
      </c>
      <c r="O36" s="2">
        <v>0</v>
      </c>
      <c r="P36" s="3">
        <f t="shared" si="0"/>
        <v>27748</v>
      </c>
      <c r="Q36" s="3">
        <v>8467</v>
      </c>
      <c r="R36" s="3">
        <v>14355</v>
      </c>
      <c r="S36" s="5">
        <f t="shared" si="1"/>
        <v>4926</v>
      </c>
    </row>
    <row r="37" spans="1:19" ht="18.75" customHeight="1">
      <c r="A37" s="4" t="s">
        <v>20</v>
      </c>
      <c r="B37" s="10">
        <v>45693</v>
      </c>
      <c r="C37" s="2">
        <v>1640</v>
      </c>
      <c r="D37" s="2">
        <v>1160</v>
      </c>
      <c r="E37" s="2">
        <v>100</v>
      </c>
      <c r="F37" s="2">
        <v>2625</v>
      </c>
      <c r="G37" s="2">
        <v>2384</v>
      </c>
      <c r="H37" s="2">
        <v>645</v>
      </c>
      <c r="I37" s="2">
        <v>1625</v>
      </c>
      <c r="J37" s="2">
        <v>0</v>
      </c>
      <c r="K37" s="2">
        <v>6792</v>
      </c>
      <c r="L37" s="2">
        <v>5847</v>
      </c>
      <c r="M37" s="2">
        <v>423</v>
      </c>
      <c r="N37" s="2">
        <v>0</v>
      </c>
      <c r="O37" s="2">
        <v>0</v>
      </c>
      <c r="P37" s="3">
        <f t="shared" si="0"/>
        <v>23241</v>
      </c>
      <c r="Q37" s="3">
        <v>7547</v>
      </c>
      <c r="R37" s="3">
        <v>10805</v>
      </c>
      <c r="S37" s="5">
        <f t="shared" si="1"/>
        <v>4889</v>
      </c>
    </row>
    <row r="38" spans="1:19" ht="18.75" customHeight="1">
      <c r="A38" s="4" t="s">
        <v>21</v>
      </c>
      <c r="B38" s="10">
        <v>45694</v>
      </c>
      <c r="C38" s="2">
        <v>1433</v>
      </c>
      <c r="D38" s="2">
        <v>1430</v>
      </c>
      <c r="E38" s="2">
        <v>0</v>
      </c>
      <c r="F38" s="2">
        <v>3055</v>
      </c>
      <c r="G38" s="2">
        <v>1785</v>
      </c>
      <c r="H38" s="2">
        <v>1200</v>
      </c>
      <c r="I38" s="2">
        <v>2003</v>
      </c>
      <c r="J38" s="2">
        <v>0</v>
      </c>
      <c r="K38" s="2">
        <v>5179</v>
      </c>
      <c r="L38" s="2">
        <v>6096</v>
      </c>
      <c r="M38" s="2">
        <v>828</v>
      </c>
      <c r="N38" s="2">
        <v>0</v>
      </c>
      <c r="O38" s="2">
        <v>0</v>
      </c>
      <c r="P38" s="3">
        <f t="shared" si="0"/>
        <v>23009</v>
      </c>
      <c r="Q38" s="3">
        <v>8097</v>
      </c>
      <c r="R38" s="3">
        <v>14033</v>
      </c>
      <c r="S38" s="5">
        <f t="shared" si="1"/>
        <v>879</v>
      </c>
    </row>
    <row r="39" spans="1:19" ht="18.75" customHeight="1">
      <c r="A39" s="4" t="s">
        <v>22</v>
      </c>
      <c r="B39" s="10">
        <v>45695</v>
      </c>
      <c r="C39" s="2">
        <v>1415</v>
      </c>
      <c r="D39" s="2">
        <v>1245</v>
      </c>
      <c r="E39" s="2">
        <v>0</v>
      </c>
      <c r="F39" s="2">
        <v>3075</v>
      </c>
      <c r="G39" s="2">
        <v>2090</v>
      </c>
      <c r="H39" s="2">
        <v>760</v>
      </c>
      <c r="I39" s="2">
        <v>880</v>
      </c>
      <c r="J39" s="2">
        <v>0</v>
      </c>
      <c r="K39" s="2">
        <v>7568</v>
      </c>
      <c r="L39" s="2">
        <v>7023</v>
      </c>
      <c r="M39" s="2">
        <v>811</v>
      </c>
      <c r="N39" s="2">
        <v>350</v>
      </c>
      <c r="O39" s="2">
        <v>0</v>
      </c>
      <c r="P39" s="3">
        <f t="shared" si="0"/>
        <v>25217</v>
      </c>
      <c r="Q39" s="3">
        <v>8395</v>
      </c>
      <c r="R39" s="3">
        <v>14832</v>
      </c>
      <c r="S39" s="5">
        <f t="shared" si="1"/>
        <v>1990</v>
      </c>
    </row>
    <row r="40" spans="1:19" ht="18.75" customHeight="1">
      <c r="A40" s="4" t="s">
        <v>23</v>
      </c>
      <c r="B40" s="10">
        <v>45696</v>
      </c>
      <c r="C40" s="2">
        <v>1000</v>
      </c>
      <c r="D40" s="2">
        <v>720</v>
      </c>
      <c r="E40" s="2">
        <v>780</v>
      </c>
      <c r="F40" s="2">
        <v>2585</v>
      </c>
      <c r="G40" s="2">
        <v>2805</v>
      </c>
      <c r="H40" s="2">
        <v>705</v>
      </c>
      <c r="I40" s="2">
        <v>1240</v>
      </c>
      <c r="J40" s="2">
        <v>0</v>
      </c>
      <c r="K40" s="2">
        <v>6680</v>
      </c>
      <c r="L40" s="2">
        <v>3480</v>
      </c>
      <c r="M40" s="2">
        <v>1958</v>
      </c>
      <c r="N40" s="2">
        <v>155</v>
      </c>
      <c r="O40" s="2">
        <v>0</v>
      </c>
      <c r="P40" s="3">
        <f t="shared" si="0"/>
        <v>22108</v>
      </c>
      <c r="Q40" s="3">
        <v>7570</v>
      </c>
      <c r="R40" s="3">
        <v>16612</v>
      </c>
      <c r="S40" s="5">
        <f t="shared" si="1"/>
        <v>-2074</v>
      </c>
    </row>
    <row r="41" spans="1:19" ht="18.75" customHeight="1">
      <c r="A41" s="4" t="s">
        <v>17</v>
      </c>
      <c r="B41" s="10">
        <v>45697</v>
      </c>
      <c r="C41" s="2">
        <v>1585</v>
      </c>
      <c r="D41" s="2">
        <v>1380</v>
      </c>
      <c r="E41" s="2">
        <v>0</v>
      </c>
      <c r="F41" s="2">
        <v>2330</v>
      </c>
      <c r="G41" s="2">
        <v>2973</v>
      </c>
      <c r="H41" s="2">
        <v>1120</v>
      </c>
      <c r="I41" s="2">
        <v>2170</v>
      </c>
      <c r="J41" s="2">
        <v>0</v>
      </c>
      <c r="K41" s="2">
        <v>15393</v>
      </c>
      <c r="L41" s="2">
        <v>8320</v>
      </c>
      <c r="M41" s="2">
        <v>238</v>
      </c>
      <c r="N41" s="2">
        <v>506</v>
      </c>
      <c r="O41" s="2">
        <v>1679</v>
      </c>
      <c r="P41" s="3">
        <f t="shared" si="0"/>
        <v>37694</v>
      </c>
      <c r="Q41" s="3">
        <v>7782</v>
      </c>
      <c r="R41" s="3">
        <v>10872</v>
      </c>
      <c r="S41" s="5">
        <f t="shared" si="1"/>
        <v>19040</v>
      </c>
    </row>
    <row r="42" spans="1:19" ht="18.75" customHeight="1">
      <c r="A42" s="4" t="s">
        <v>18</v>
      </c>
      <c r="B42" s="10">
        <v>45698</v>
      </c>
      <c r="C42" s="2">
        <v>895</v>
      </c>
      <c r="D42" s="2">
        <v>1355</v>
      </c>
      <c r="E42" s="2">
        <v>0</v>
      </c>
      <c r="F42" s="2">
        <v>3735</v>
      </c>
      <c r="G42" s="2">
        <v>2019</v>
      </c>
      <c r="H42" s="2">
        <v>510</v>
      </c>
      <c r="I42" s="2">
        <v>1455</v>
      </c>
      <c r="J42" s="2">
        <v>0</v>
      </c>
      <c r="K42" s="2">
        <v>5244</v>
      </c>
      <c r="L42" s="2">
        <v>6970</v>
      </c>
      <c r="M42" s="2">
        <v>283</v>
      </c>
      <c r="N42" s="2">
        <v>515</v>
      </c>
      <c r="O42" s="2">
        <v>0</v>
      </c>
      <c r="P42" s="3">
        <f t="shared" si="0"/>
        <v>22981</v>
      </c>
      <c r="Q42" s="3">
        <v>12340</v>
      </c>
      <c r="R42" s="3">
        <v>12209</v>
      </c>
      <c r="S42" s="5">
        <f t="shared" si="1"/>
        <v>-1568</v>
      </c>
    </row>
    <row r="43" spans="1:19" ht="18.75" customHeight="1">
      <c r="A43" s="4" t="s">
        <v>19</v>
      </c>
      <c r="B43" s="10">
        <v>45699</v>
      </c>
      <c r="C43" s="2">
        <v>1950</v>
      </c>
      <c r="D43" s="2">
        <v>1925</v>
      </c>
      <c r="E43" s="2">
        <v>0</v>
      </c>
      <c r="F43" s="2">
        <v>2490</v>
      </c>
      <c r="G43" s="2">
        <v>3596</v>
      </c>
      <c r="H43" s="2">
        <v>590</v>
      </c>
      <c r="I43" s="2">
        <v>1400</v>
      </c>
      <c r="J43" s="2">
        <v>0</v>
      </c>
      <c r="K43" s="2">
        <v>9792</v>
      </c>
      <c r="L43" s="2">
        <v>6036</v>
      </c>
      <c r="M43" s="2">
        <v>60</v>
      </c>
      <c r="N43" s="2">
        <v>493</v>
      </c>
      <c r="O43" s="2">
        <v>0</v>
      </c>
      <c r="P43" s="3">
        <f t="shared" si="0"/>
        <v>28332</v>
      </c>
      <c r="Q43" s="3">
        <v>11213</v>
      </c>
      <c r="R43" s="3">
        <v>16686</v>
      </c>
      <c r="S43" s="5">
        <f t="shared" si="1"/>
        <v>433</v>
      </c>
    </row>
    <row r="44" spans="1:19" ht="18.75" customHeight="1">
      <c r="A44" s="4" t="s">
        <v>20</v>
      </c>
      <c r="B44" s="10">
        <v>45700</v>
      </c>
      <c r="C44" s="2">
        <v>1505</v>
      </c>
      <c r="D44" s="2">
        <v>1646</v>
      </c>
      <c r="E44" s="2">
        <v>385</v>
      </c>
      <c r="F44" s="2">
        <v>3780</v>
      </c>
      <c r="G44" s="2">
        <v>1260</v>
      </c>
      <c r="H44" s="2">
        <v>600</v>
      </c>
      <c r="I44" s="2">
        <v>1356</v>
      </c>
      <c r="J44" s="2">
        <v>0</v>
      </c>
      <c r="K44" s="2">
        <v>7802</v>
      </c>
      <c r="L44" s="2">
        <v>3378</v>
      </c>
      <c r="M44" s="2">
        <v>697</v>
      </c>
      <c r="N44" s="2">
        <v>0</v>
      </c>
      <c r="O44" s="2">
        <v>0</v>
      </c>
      <c r="P44" s="3">
        <f t="shared" si="0"/>
        <v>22409</v>
      </c>
      <c r="Q44" s="3">
        <v>8755</v>
      </c>
      <c r="R44" s="3">
        <v>11370</v>
      </c>
      <c r="S44" s="5">
        <f t="shared" si="1"/>
        <v>2284</v>
      </c>
    </row>
    <row r="45" spans="1:19" ht="18.75" customHeight="1">
      <c r="A45" s="4" t="s">
        <v>21</v>
      </c>
      <c r="B45" s="10">
        <v>45701</v>
      </c>
      <c r="C45" s="2">
        <v>1580</v>
      </c>
      <c r="D45" s="2">
        <v>915</v>
      </c>
      <c r="E45" s="2">
        <v>0</v>
      </c>
      <c r="F45" s="2">
        <v>3135</v>
      </c>
      <c r="G45" s="2">
        <v>2410</v>
      </c>
      <c r="H45" s="2">
        <v>530</v>
      </c>
      <c r="I45" s="2">
        <v>2509</v>
      </c>
      <c r="J45" s="2">
        <v>0</v>
      </c>
      <c r="K45" s="2">
        <v>14862</v>
      </c>
      <c r="L45" s="2">
        <v>4612</v>
      </c>
      <c r="M45" s="2">
        <v>762</v>
      </c>
      <c r="N45" s="2">
        <v>0</v>
      </c>
      <c r="O45" s="2">
        <v>0</v>
      </c>
      <c r="P45" s="3">
        <f t="shared" si="0"/>
        <v>31315</v>
      </c>
      <c r="Q45" s="3">
        <v>8950</v>
      </c>
      <c r="R45" s="3">
        <v>13712</v>
      </c>
      <c r="S45" s="5">
        <f t="shared" si="1"/>
        <v>8653</v>
      </c>
    </row>
    <row r="46" spans="1:19" ht="18.75" customHeight="1">
      <c r="A46" s="4" t="s">
        <v>22</v>
      </c>
      <c r="B46" s="10">
        <v>45702</v>
      </c>
      <c r="C46" s="2">
        <v>2445</v>
      </c>
      <c r="D46" s="2">
        <v>1685</v>
      </c>
      <c r="E46" s="2">
        <v>0</v>
      </c>
      <c r="F46" s="2">
        <v>3745</v>
      </c>
      <c r="G46" s="2">
        <v>1800</v>
      </c>
      <c r="H46" s="2">
        <v>870</v>
      </c>
      <c r="I46" s="2">
        <v>1540</v>
      </c>
      <c r="J46" s="2">
        <v>0</v>
      </c>
      <c r="K46" s="2">
        <v>11148</v>
      </c>
      <c r="L46" s="2">
        <v>9758</v>
      </c>
      <c r="M46" s="2">
        <v>993</v>
      </c>
      <c r="N46" s="2">
        <v>1348</v>
      </c>
      <c r="O46" s="2">
        <v>0</v>
      </c>
      <c r="P46" s="3">
        <f t="shared" si="0"/>
        <v>35332</v>
      </c>
      <c r="Q46" s="3">
        <v>9378</v>
      </c>
      <c r="R46" s="3">
        <v>13639</v>
      </c>
      <c r="S46" s="5">
        <f t="shared" si="1"/>
        <v>12315</v>
      </c>
    </row>
    <row r="47" spans="1:19" ht="18.75" customHeight="1">
      <c r="A47" s="4" t="s">
        <v>23</v>
      </c>
      <c r="B47" s="10">
        <v>45703</v>
      </c>
      <c r="C47" s="2">
        <v>1555</v>
      </c>
      <c r="D47" s="2">
        <v>1350</v>
      </c>
      <c r="E47" s="2">
        <v>670</v>
      </c>
      <c r="F47" s="2">
        <v>3905</v>
      </c>
      <c r="G47" s="2">
        <v>2843</v>
      </c>
      <c r="H47" s="2">
        <v>679</v>
      </c>
      <c r="I47" s="2">
        <v>980</v>
      </c>
      <c r="J47" s="2">
        <v>0</v>
      </c>
      <c r="K47" s="2">
        <v>12131</v>
      </c>
      <c r="L47" s="2">
        <v>9541</v>
      </c>
      <c r="M47" s="2">
        <v>740</v>
      </c>
      <c r="N47" s="2">
        <v>1208</v>
      </c>
      <c r="O47" s="2">
        <v>0</v>
      </c>
      <c r="P47" s="3">
        <f t="shared" si="0"/>
        <v>35602</v>
      </c>
      <c r="Q47" s="3">
        <v>15912</v>
      </c>
      <c r="R47" s="3">
        <v>16794</v>
      </c>
      <c r="S47" s="5">
        <f t="shared" si="1"/>
        <v>2896</v>
      </c>
    </row>
    <row r="48" spans="1:19" ht="18.75" customHeight="1">
      <c r="A48" s="4" t="s">
        <v>17</v>
      </c>
      <c r="B48" s="10">
        <v>45704</v>
      </c>
      <c r="C48" s="2">
        <v>1360</v>
      </c>
      <c r="D48" s="2">
        <v>765</v>
      </c>
      <c r="E48" s="2">
        <v>55</v>
      </c>
      <c r="F48" s="2">
        <v>1970</v>
      </c>
      <c r="G48" s="2">
        <v>3139</v>
      </c>
      <c r="H48" s="2">
        <v>625</v>
      </c>
      <c r="I48" s="2">
        <v>1195</v>
      </c>
      <c r="J48" s="2">
        <v>0</v>
      </c>
      <c r="K48" s="2">
        <v>15406</v>
      </c>
      <c r="L48" s="2">
        <v>11115</v>
      </c>
      <c r="M48" s="2">
        <v>544</v>
      </c>
      <c r="N48" s="2">
        <v>808</v>
      </c>
      <c r="O48" s="2">
        <v>508</v>
      </c>
      <c r="P48" s="3">
        <f t="shared" si="0"/>
        <v>37490</v>
      </c>
      <c r="Q48" s="3">
        <v>13365</v>
      </c>
      <c r="R48" s="3">
        <v>8159</v>
      </c>
      <c r="S48" s="5">
        <f t="shared" si="1"/>
        <v>15966</v>
      </c>
    </row>
    <row r="49" spans="1:19" ht="18.75" customHeight="1">
      <c r="A49" s="4" t="s">
        <v>18</v>
      </c>
      <c r="B49" s="10">
        <v>45705</v>
      </c>
      <c r="C49" s="2">
        <v>1545</v>
      </c>
      <c r="D49" s="2">
        <v>1030</v>
      </c>
      <c r="E49" s="2">
        <v>45</v>
      </c>
      <c r="F49" s="2">
        <v>2430</v>
      </c>
      <c r="G49" s="2">
        <v>3130</v>
      </c>
      <c r="H49" s="2">
        <v>1035</v>
      </c>
      <c r="I49" s="2">
        <v>1270</v>
      </c>
      <c r="J49" s="2">
        <v>0</v>
      </c>
      <c r="K49" s="2">
        <v>10743</v>
      </c>
      <c r="L49" s="2">
        <v>8866</v>
      </c>
      <c r="M49" s="2">
        <v>542</v>
      </c>
      <c r="N49" s="2">
        <v>0</v>
      </c>
      <c r="O49" s="2">
        <v>0</v>
      </c>
      <c r="P49" s="3">
        <f t="shared" si="0"/>
        <v>30636</v>
      </c>
      <c r="Q49" s="3">
        <v>11425</v>
      </c>
      <c r="R49" s="3">
        <v>15803</v>
      </c>
      <c r="S49" s="5">
        <f t="shared" si="1"/>
        <v>3408</v>
      </c>
    </row>
    <row r="50" spans="1:19" ht="18.75" customHeight="1">
      <c r="A50" s="4" t="s">
        <v>19</v>
      </c>
      <c r="B50" s="10">
        <v>45706</v>
      </c>
      <c r="C50" s="2">
        <v>1360</v>
      </c>
      <c r="D50" s="2">
        <v>1425</v>
      </c>
      <c r="E50" s="2">
        <v>0</v>
      </c>
      <c r="F50" s="2">
        <v>2550</v>
      </c>
      <c r="G50" s="2">
        <v>2381</v>
      </c>
      <c r="H50" s="2">
        <v>1134</v>
      </c>
      <c r="I50" s="2">
        <v>1650</v>
      </c>
      <c r="J50" s="2">
        <v>0</v>
      </c>
      <c r="K50" s="2">
        <v>10250</v>
      </c>
      <c r="L50" s="2">
        <v>4288</v>
      </c>
      <c r="M50" s="2">
        <v>435</v>
      </c>
      <c r="N50" s="2">
        <v>225</v>
      </c>
      <c r="O50" s="2">
        <v>0</v>
      </c>
      <c r="P50" s="3">
        <f t="shared" si="0"/>
        <v>25698</v>
      </c>
      <c r="Q50" s="3">
        <v>8602</v>
      </c>
      <c r="R50" s="3">
        <v>11558</v>
      </c>
      <c r="S50" s="5">
        <f t="shared" si="1"/>
        <v>5538</v>
      </c>
    </row>
    <row r="51" spans="1:19" ht="18.75" customHeight="1">
      <c r="A51" s="4" t="s">
        <v>20</v>
      </c>
      <c r="B51" s="10">
        <v>45707</v>
      </c>
      <c r="C51" s="2">
        <v>1220</v>
      </c>
      <c r="D51" s="2">
        <v>1110</v>
      </c>
      <c r="E51" s="2">
        <v>0</v>
      </c>
      <c r="F51" s="2">
        <v>2995</v>
      </c>
      <c r="G51" s="2">
        <v>2370</v>
      </c>
      <c r="H51" s="2">
        <v>540</v>
      </c>
      <c r="I51" s="2">
        <v>1130</v>
      </c>
      <c r="J51" s="2">
        <v>0</v>
      </c>
      <c r="K51" s="2">
        <v>9494</v>
      </c>
      <c r="L51" s="2">
        <v>7864</v>
      </c>
      <c r="M51" s="2">
        <v>467</v>
      </c>
      <c r="N51" s="2">
        <v>1375</v>
      </c>
      <c r="O51" s="2">
        <v>0</v>
      </c>
      <c r="P51" s="3">
        <f t="shared" si="0"/>
        <v>28565</v>
      </c>
      <c r="Q51" s="3">
        <v>7930</v>
      </c>
      <c r="R51" s="3">
        <v>14684</v>
      </c>
      <c r="S51" s="5">
        <f t="shared" si="1"/>
        <v>5951</v>
      </c>
    </row>
    <row r="52" spans="1:19" ht="18.75" customHeight="1">
      <c r="A52" s="4" t="s">
        <v>21</v>
      </c>
      <c r="B52" s="10">
        <v>45708</v>
      </c>
      <c r="C52" s="2">
        <v>1180</v>
      </c>
      <c r="D52" s="2">
        <v>1735</v>
      </c>
      <c r="E52" s="2">
        <v>0</v>
      </c>
      <c r="F52" s="2">
        <v>3160</v>
      </c>
      <c r="G52" s="2">
        <v>3062</v>
      </c>
      <c r="H52" s="2">
        <v>485</v>
      </c>
      <c r="I52" s="2">
        <v>1510</v>
      </c>
      <c r="J52" s="2">
        <v>0</v>
      </c>
      <c r="K52" s="2">
        <v>9566</v>
      </c>
      <c r="L52" s="2">
        <v>4764</v>
      </c>
      <c r="M52" s="2">
        <v>771</v>
      </c>
      <c r="N52" s="2">
        <v>480</v>
      </c>
      <c r="O52" s="2">
        <v>0</v>
      </c>
      <c r="P52" s="3">
        <f t="shared" si="0"/>
        <v>26713</v>
      </c>
      <c r="Q52" s="3">
        <v>8005</v>
      </c>
      <c r="R52" s="3">
        <v>16760</v>
      </c>
      <c r="S52" s="5">
        <f t="shared" si="1"/>
        <v>1948</v>
      </c>
    </row>
    <row r="53" spans="1:19" ht="18.75" customHeight="1">
      <c r="A53" s="4" t="s">
        <v>22</v>
      </c>
      <c r="B53" s="10">
        <v>45709</v>
      </c>
      <c r="C53" s="2">
        <v>1650</v>
      </c>
      <c r="D53" s="2">
        <v>1669</v>
      </c>
      <c r="E53" s="2">
        <v>0</v>
      </c>
      <c r="F53" s="2">
        <v>3360</v>
      </c>
      <c r="G53" s="2">
        <v>1805</v>
      </c>
      <c r="H53" s="2">
        <v>550</v>
      </c>
      <c r="I53" s="2">
        <v>1610</v>
      </c>
      <c r="J53" s="2">
        <v>0</v>
      </c>
      <c r="K53" s="2">
        <v>12579</v>
      </c>
      <c r="L53" s="2">
        <v>8660</v>
      </c>
      <c r="M53" s="2">
        <v>981</v>
      </c>
      <c r="N53" s="2">
        <v>162</v>
      </c>
      <c r="O53" s="2">
        <v>0</v>
      </c>
      <c r="P53" s="3">
        <f t="shared" si="0"/>
        <v>33026</v>
      </c>
      <c r="Q53" s="3">
        <v>8415</v>
      </c>
      <c r="R53" s="3">
        <v>9321</v>
      </c>
      <c r="S53" s="5">
        <f t="shared" si="1"/>
        <v>15290</v>
      </c>
    </row>
    <row r="54" spans="1:19" ht="18.75" customHeight="1">
      <c r="A54" s="4" t="s">
        <v>23</v>
      </c>
      <c r="B54" s="10">
        <v>45710</v>
      </c>
      <c r="C54" s="2">
        <v>1980</v>
      </c>
      <c r="D54" s="2">
        <v>1340</v>
      </c>
      <c r="E54" s="2">
        <v>0</v>
      </c>
      <c r="F54" s="2">
        <v>2830</v>
      </c>
      <c r="G54" s="2">
        <v>3823</v>
      </c>
      <c r="H54" s="2">
        <v>940</v>
      </c>
      <c r="I54" s="2">
        <v>1060</v>
      </c>
      <c r="J54" s="2">
        <v>0</v>
      </c>
      <c r="K54" s="2">
        <v>10826</v>
      </c>
      <c r="L54" s="2">
        <v>8864</v>
      </c>
      <c r="M54" s="2">
        <v>1184</v>
      </c>
      <c r="N54" s="2">
        <v>840</v>
      </c>
      <c r="O54" s="2">
        <v>0</v>
      </c>
      <c r="P54" s="3">
        <f t="shared" si="0"/>
        <v>33687</v>
      </c>
      <c r="Q54" s="3">
        <v>9715</v>
      </c>
      <c r="R54" s="3">
        <v>15223</v>
      </c>
      <c r="S54" s="5">
        <f t="shared" si="1"/>
        <v>8749</v>
      </c>
    </row>
    <row r="55" spans="1:19" ht="18.75" customHeight="1">
      <c r="A55" s="4" t="s">
        <v>17</v>
      </c>
      <c r="B55" s="10">
        <v>45711</v>
      </c>
      <c r="C55" s="2">
        <v>1610</v>
      </c>
      <c r="D55" s="2">
        <v>575</v>
      </c>
      <c r="E55" s="2">
        <v>55</v>
      </c>
      <c r="F55" s="2">
        <v>2135</v>
      </c>
      <c r="G55" s="2">
        <v>4041</v>
      </c>
      <c r="H55" s="2">
        <v>425</v>
      </c>
      <c r="I55" s="2">
        <v>614</v>
      </c>
      <c r="J55" s="2">
        <v>0</v>
      </c>
      <c r="K55" s="2">
        <v>19097</v>
      </c>
      <c r="L55" s="2">
        <v>11426</v>
      </c>
      <c r="M55" s="2">
        <v>585</v>
      </c>
      <c r="N55" s="2">
        <v>285</v>
      </c>
      <c r="O55" s="2">
        <v>480</v>
      </c>
      <c r="P55" s="3">
        <f t="shared" si="0"/>
        <v>41328</v>
      </c>
      <c r="Q55" s="3">
        <v>9655</v>
      </c>
      <c r="R55" s="3">
        <v>20101</v>
      </c>
      <c r="S55" s="5">
        <f t="shared" si="1"/>
        <v>11572</v>
      </c>
    </row>
    <row r="56" spans="1:19" ht="18.75" customHeight="1">
      <c r="A56" s="4" t="s">
        <v>18</v>
      </c>
      <c r="B56" s="10">
        <v>45712</v>
      </c>
      <c r="C56" s="2">
        <v>1655</v>
      </c>
      <c r="D56" s="2">
        <v>1260</v>
      </c>
      <c r="E56" s="2">
        <v>620</v>
      </c>
      <c r="F56" s="2">
        <v>3715</v>
      </c>
      <c r="G56" s="2">
        <v>3327</v>
      </c>
      <c r="H56" s="2">
        <v>670</v>
      </c>
      <c r="I56" s="2">
        <v>1540</v>
      </c>
      <c r="J56" s="2">
        <v>0</v>
      </c>
      <c r="K56" s="2">
        <v>8727</v>
      </c>
      <c r="L56" s="2">
        <v>2720</v>
      </c>
      <c r="M56" s="2">
        <v>774</v>
      </c>
      <c r="N56" s="2">
        <v>0</v>
      </c>
      <c r="O56" s="2">
        <v>0</v>
      </c>
      <c r="P56" s="3">
        <f t="shared" si="0"/>
        <v>25008</v>
      </c>
      <c r="Q56" s="3">
        <v>8045</v>
      </c>
      <c r="R56" s="3">
        <v>15878</v>
      </c>
      <c r="S56" s="5">
        <f t="shared" si="1"/>
        <v>1085</v>
      </c>
    </row>
    <row r="57" spans="1:19" ht="18.75" customHeight="1">
      <c r="A57" s="4" t="s">
        <v>19</v>
      </c>
      <c r="B57" s="10">
        <v>45713</v>
      </c>
      <c r="C57" s="2">
        <v>1455</v>
      </c>
      <c r="D57" s="2">
        <v>1435</v>
      </c>
      <c r="E57" s="2">
        <v>0</v>
      </c>
      <c r="F57" s="2">
        <v>3620</v>
      </c>
      <c r="G57" s="2">
        <v>2818</v>
      </c>
      <c r="H57" s="2">
        <v>1215</v>
      </c>
      <c r="I57" s="2">
        <v>943</v>
      </c>
      <c r="J57" s="2">
        <v>0</v>
      </c>
      <c r="K57" s="2">
        <v>7065</v>
      </c>
      <c r="L57" s="2">
        <v>4301</v>
      </c>
      <c r="M57" s="2">
        <v>519</v>
      </c>
      <c r="N57" s="2">
        <v>0</v>
      </c>
      <c r="O57" s="2">
        <v>0</v>
      </c>
      <c r="P57" s="3">
        <f t="shared" si="0"/>
        <v>23371</v>
      </c>
      <c r="Q57" s="3">
        <v>8025</v>
      </c>
      <c r="R57" s="3">
        <v>10708</v>
      </c>
      <c r="S57" s="5">
        <f t="shared" si="1"/>
        <v>4638</v>
      </c>
    </row>
    <row r="58" spans="1:19" ht="18.75" customHeight="1">
      <c r="A58" s="4" t="s">
        <v>20</v>
      </c>
      <c r="B58" s="10">
        <v>45714</v>
      </c>
      <c r="C58" s="2">
        <v>2120</v>
      </c>
      <c r="D58" s="2">
        <v>910</v>
      </c>
      <c r="E58" s="2">
        <v>531</v>
      </c>
      <c r="F58" s="2">
        <v>2295</v>
      </c>
      <c r="G58" s="2">
        <v>2051</v>
      </c>
      <c r="H58" s="2">
        <v>925</v>
      </c>
      <c r="I58" s="2">
        <v>2548</v>
      </c>
      <c r="J58" s="2">
        <v>0</v>
      </c>
      <c r="K58" s="2">
        <v>9972</v>
      </c>
      <c r="L58" s="2">
        <v>7421</v>
      </c>
      <c r="M58" s="2">
        <v>580</v>
      </c>
      <c r="N58" s="2">
        <v>0</v>
      </c>
      <c r="O58" s="2">
        <v>0</v>
      </c>
      <c r="P58" s="3">
        <f t="shared" si="0"/>
        <v>29353</v>
      </c>
      <c r="Q58" s="3">
        <v>9990</v>
      </c>
      <c r="R58" s="3">
        <v>10490</v>
      </c>
      <c r="S58" s="5">
        <f t="shared" si="1"/>
        <v>8873</v>
      </c>
    </row>
    <row r="59" spans="1:19" ht="18.75" customHeight="1">
      <c r="A59" s="4" t="s">
        <v>21</v>
      </c>
      <c r="B59" s="10">
        <v>45715</v>
      </c>
      <c r="C59" s="2">
        <v>1465</v>
      </c>
      <c r="D59" s="2">
        <v>885</v>
      </c>
      <c r="E59" s="2">
        <v>0</v>
      </c>
      <c r="F59" s="2">
        <v>2650</v>
      </c>
      <c r="G59" s="2">
        <v>3623</v>
      </c>
      <c r="H59" s="2">
        <v>565</v>
      </c>
      <c r="I59" s="2">
        <v>1165</v>
      </c>
      <c r="J59" s="2">
        <v>0</v>
      </c>
      <c r="K59" s="2">
        <v>7011</v>
      </c>
      <c r="L59" s="2">
        <v>5267</v>
      </c>
      <c r="M59" s="2">
        <v>555</v>
      </c>
      <c r="N59" s="2">
        <v>0</v>
      </c>
      <c r="O59" s="2">
        <v>0</v>
      </c>
      <c r="P59" s="3">
        <f t="shared" si="0"/>
        <v>23186</v>
      </c>
      <c r="Q59" s="3">
        <v>8105</v>
      </c>
      <c r="R59" s="3">
        <v>12192</v>
      </c>
      <c r="S59" s="5">
        <f t="shared" si="1"/>
        <v>2889</v>
      </c>
    </row>
    <row r="60" spans="1:19" ht="18.75" customHeight="1">
      <c r="A60" s="4" t="s">
        <v>22</v>
      </c>
      <c r="B60" s="10">
        <v>45716</v>
      </c>
      <c r="C60" s="2">
        <v>1460</v>
      </c>
      <c r="D60" s="2">
        <v>1344</v>
      </c>
      <c r="E60" s="2">
        <v>320</v>
      </c>
      <c r="F60" s="2">
        <v>4265</v>
      </c>
      <c r="G60" s="2">
        <v>2239</v>
      </c>
      <c r="H60" s="2">
        <v>739</v>
      </c>
      <c r="I60" s="2">
        <v>2000</v>
      </c>
      <c r="J60" s="2">
        <v>0</v>
      </c>
      <c r="K60" s="2">
        <v>12795</v>
      </c>
      <c r="L60" s="2">
        <v>9598</v>
      </c>
      <c r="M60" s="2">
        <v>560</v>
      </c>
      <c r="N60" s="2">
        <v>175</v>
      </c>
      <c r="O60" s="2">
        <v>0</v>
      </c>
      <c r="P60" s="3">
        <f t="shared" si="0"/>
        <v>35495</v>
      </c>
      <c r="Q60" s="3">
        <v>9492</v>
      </c>
      <c r="R60" s="3">
        <v>15389</v>
      </c>
      <c r="S60" s="5">
        <f t="shared" si="1"/>
        <v>10614</v>
      </c>
    </row>
    <row r="61" spans="1:19" ht="18.75" customHeight="1">
      <c r="A61" s="4" t="s">
        <v>23</v>
      </c>
      <c r="B61" s="10">
        <v>45717</v>
      </c>
      <c r="C61" s="2">
        <v>2880</v>
      </c>
      <c r="D61" s="2">
        <v>2100</v>
      </c>
      <c r="E61" s="2">
        <v>895</v>
      </c>
      <c r="F61" s="2">
        <v>3295</v>
      </c>
      <c r="G61" s="2">
        <v>3128</v>
      </c>
      <c r="H61" s="2">
        <v>1215</v>
      </c>
      <c r="I61" s="2">
        <v>2433</v>
      </c>
      <c r="J61" s="2">
        <v>0</v>
      </c>
      <c r="K61" s="2">
        <v>12880</v>
      </c>
      <c r="L61" s="2">
        <v>11636</v>
      </c>
      <c r="M61" s="2">
        <v>965</v>
      </c>
      <c r="N61" s="2">
        <v>350</v>
      </c>
      <c r="O61" s="2">
        <v>0</v>
      </c>
      <c r="P61" s="3">
        <f t="shared" si="0"/>
        <v>41777</v>
      </c>
      <c r="Q61" s="3">
        <v>10222</v>
      </c>
      <c r="R61" s="3">
        <v>20977</v>
      </c>
      <c r="S61" s="5">
        <f t="shared" si="1"/>
        <v>10578</v>
      </c>
    </row>
    <row r="62" spans="1:19" ht="18.75" customHeight="1">
      <c r="A62" s="4" t="s">
        <v>17</v>
      </c>
      <c r="B62" s="10">
        <v>45718</v>
      </c>
      <c r="C62" s="2">
        <v>1820</v>
      </c>
      <c r="D62" s="2">
        <v>1135</v>
      </c>
      <c r="E62" s="2">
        <v>0</v>
      </c>
      <c r="F62" s="2">
        <v>1865</v>
      </c>
      <c r="G62" s="2">
        <v>3291</v>
      </c>
      <c r="H62" s="2">
        <v>1445</v>
      </c>
      <c r="I62" s="2">
        <v>1420</v>
      </c>
      <c r="J62" s="2">
        <v>0</v>
      </c>
      <c r="K62" s="2">
        <v>25201</v>
      </c>
      <c r="L62" s="2">
        <v>12589</v>
      </c>
      <c r="M62" s="2">
        <v>759</v>
      </c>
      <c r="N62" s="2">
        <v>144</v>
      </c>
      <c r="O62" s="2">
        <v>1700</v>
      </c>
      <c r="P62" s="3">
        <f t="shared" si="0"/>
        <v>51369</v>
      </c>
      <c r="Q62" s="3">
        <v>16142</v>
      </c>
      <c r="R62" s="3">
        <v>11269</v>
      </c>
      <c r="S62" s="5">
        <f t="shared" si="1"/>
        <v>23958</v>
      </c>
    </row>
    <row r="63" spans="1:19" ht="18.75" customHeight="1">
      <c r="A63" s="4" t="s">
        <v>18</v>
      </c>
      <c r="B63" s="10">
        <v>45719</v>
      </c>
      <c r="C63" s="2">
        <v>1175</v>
      </c>
      <c r="D63" s="2">
        <v>1960</v>
      </c>
      <c r="E63" s="2">
        <v>0</v>
      </c>
      <c r="F63" s="2">
        <v>4905</v>
      </c>
      <c r="G63" s="2">
        <v>2836</v>
      </c>
      <c r="H63" s="2">
        <v>1505</v>
      </c>
      <c r="I63" s="2">
        <v>1548</v>
      </c>
      <c r="J63" s="2">
        <v>0</v>
      </c>
      <c r="K63" s="2">
        <v>7662</v>
      </c>
      <c r="L63" s="2">
        <v>9297</v>
      </c>
      <c r="M63" s="2">
        <v>468</v>
      </c>
      <c r="N63" s="2">
        <v>655</v>
      </c>
      <c r="O63" s="2">
        <v>0</v>
      </c>
      <c r="P63" s="3">
        <f t="shared" si="0"/>
        <v>32011</v>
      </c>
      <c r="Q63" s="3">
        <v>7745</v>
      </c>
      <c r="R63" s="3">
        <v>17651</v>
      </c>
      <c r="S63" s="5">
        <f t="shared" si="1"/>
        <v>6615</v>
      </c>
    </row>
    <row r="64" spans="1:19" ht="18.75" customHeight="1">
      <c r="A64" s="4" t="s">
        <v>19</v>
      </c>
      <c r="B64" s="10">
        <v>45720</v>
      </c>
      <c r="C64" s="2">
        <v>1340</v>
      </c>
      <c r="D64" s="2">
        <v>1958</v>
      </c>
      <c r="E64" s="2">
        <v>110</v>
      </c>
      <c r="F64" s="2">
        <v>2395</v>
      </c>
      <c r="G64" s="2">
        <v>3107</v>
      </c>
      <c r="H64" s="2">
        <v>850</v>
      </c>
      <c r="I64" s="2">
        <v>1986</v>
      </c>
      <c r="J64" s="2">
        <v>0</v>
      </c>
      <c r="K64" s="2">
        <v>7818</v>
      </c>
      <c r="L64" s="2">
        <v>6935</v>
      </c>
      <c r="M64" s="2">
        <v>815</v>
      </c>
      <c r="N64" s="2">
        <v>350</v>
      </c>
      <c r="O64" s="2">
        <v>0</v>
      </c>
      <c r="P64" s="3">
        <f t="shared" si="0"/>
        <v>27664</v>
      </c>
      <c r="Q64" s="3">
        <v>8858</v>
      </c>
      <c r="R64" s="3">
        <v>14844</v>
      </c>
      <c r="S64" s="5">
        <f t="shared" si="1"/>
        <v>3962</v>
      </c>
    </row>
    <row r="65" spans="1:19" ht="18.75" customHeight="1">
      <c r="A65" s="4" t="s">
        <v>20</v>
      </c>
      <c r="B65" s="10">
        <v>45721</v>
      </c>
      <c r="C65" s="2">
        <v>1680</v>
      </c>
      <c r="D65" s="2">
        <v>1557</v>
      </c>
      <c r="E65" s="2">
        <v>0</v>
      </c>
      <c r="F65" s="2">
        <v>2755</v>
      </c>
      <c r="G65" s="2">
        <v>1228</v>
      </c>
      <c r="H65" s="2">
        <v>676</v>
      </c>
      <c r="I65" s="2">
        <v>1383</v>
      </c>
      <c r="J65" s="2">
        <v>0</v>
      </c>
      <c r="K65" s="2">
        <v>7128</v>
      </c>
      <c r="L65" s="2">
        <v>4495</v>
      </c>
      <c r="M65" s="2">
        <v>531</v>
      </c>
      <c r="N65" s="2">
        <v>0</v>
      </c>
      <c r="O65" s="2">
        <v>0</v>
      </c>
      <c r="P65" s="3">
        <f t="shared" si="0"/>
        <v>21433</v>
      </c>
      <c r="Q65" s="3">
        <v>10998</v>
      </c>
      <c r="R65" s="3">
        <v>8621</v>
      </c>
      <c r="S65" s="5">
        <f t="shared" si="1"/>
        <v>1814</v>
      </c>
    </row>
    <row r="66" spans="1:19" ht="18.75" customHeight="1">
      <c r="A66" s="4" t="s">
        <v>21</v>
      </c>
      <c r="B66" s="10">
        <v>45722</v>
      </c>
      <c r="C66" s="2">
        <v>2175</v>
      </c>
      <c r="D66" s="2">
        <v>1295</v>
      </c>
      <c r="E66" s="2">
        <v>0</v>
      </c>
      <c r="F66" s="2">
        <v>3450</v>
      </c>
      <c r="G66" s="2">
        <v>2015</v>
      </c>
      <c r="H66" s="2">
        <v>880</v>
      </c>
      <c r="I66" s="2">
        <v>1271</v>
      </c>
      <c r="J66" s="2">
        <v>0</v>
      </c>
      <c r="K66" s="2">
        <v>7946</v>
      </c>
      <c r="L66" s="2">
        <v>3580</v>
      </c>
      <c r="M66" s="2">
        <v>538</v>
      </c>
      <c r="N66" s="2">
        <v>0</v>
      </c>
      <c r="O66" s="2">
        <v>0</v>
      </c>
      <c r="P66" s="3">
        <f t="shared" si="0"/>
        <v>23150</v>
      </c>
      <c r="Q66" s="3">
        <v>8222</v>
      </c>
      <c r="R66" s="3">
        <v>13171</v>
      </c>
      <c r="S66" s="5">
        <f t="shared" si="1"/>
        <v>1757</v>
      </c>
    </row>
    <row r="67" spans="1:19" ht="18.75" customHeight="1">
      <c r="A67" s="4" t="s">
        <v>22</v>
      </c>
      <c r="B67" s="10">
        <v>45723</v>
      </c>
      <c r="C67" s="2">
        <v>1385</v>
      </c>
      <c r="D67" s="2">
        <v>1930</v>
      </c>
      <c r="E67" s="2">
        <v>585</v>
      </c>
      <c r="F67" s="2">
        <v>3780</v>
      </c>
      <c r="G67" s="2">
        <v>3008</v>
      </c>
      <c r="H67" s="2">
        <v>455</v>
      </c>
      <c r="I67" s="2">
        <v>1760</v>
      </c>
      <c r="J67" s="2">
        <v>0</v>
      </c>
      <c r="K67" s="2">
        <v>11900</v>
      </c>
      <c r="L67" s="2">
        <v>8695</v>
      </c>
      <c r="M67" s="2">
        <v>528</v>
      </c>
      <c r="N67" s="2">
        <v>0</v>
      </c>
      <c r="O67" s="2">
        <v>0</v>
      </c>
      <c r="P67" s="3">
        <f t="shared" ref="P67:P130" si="2">SUM(C67:O67)</f>
        <v>34026</v>
      </c>
      <c r="Q67" s="3">
        <v>10510</v>
      </c>
      <c r="R67" s="3">
        <v>15533</v>
      </c>
      <c r="S67" s="5">
        <f t="shared" ref="S67:S130" si="3">P67-Q67-R67</f>
        <v>7983</v>
      </c>
    </row>
    <row r="68" spans="1:19" ht="18.75" customHeight="1">
      <c r="A68" s="4" t="s">
        <v>23</v>
      </c>
      <c r="B68" s="10">
        <v>45724</v>
      </c>
      <c r="C68" s="2">
        <v>1688</v>
      </c>
      <c r="D68" s="2">
        <v>1170</v>
      </c>
      <c r="E68" s="2">
        <v>485</v>
      </c>
      <c r="F68" s="2">
        <v>2445</v>
      </c>
      <c r="G68" s="2">
        <v>2256</v>
      </c>
      <c r="H68" s="2">
        <v>1020</v>
      </c>
      <c r="I68" s="2">
        <v>1445</v>
      </c>
      <c r="J68" s="2">
        <v>0</v>
      </c>
      <c r="K68" s="2">
        <v>18118</v>
      </c>
      <c r="L68" s="2">
        <v>9750</v>
      </c>
      <c r="M68" s="2">
        <v>407</v>
      </c>
      <c r="N68" s="2">
        <v>180</v>
      </c>
      <c r="O68" s="2">
        <v>0</v>
      </c>
      <c r="P68" s="3">
        <f t="shared" si="2"/>
        <v>38964</v>
      </c>
      <c r="Q68" s="3">
        <v>10465</v>
      </c>
      <c r="R68" s="3">
        <v>20936</v>
      </c>
      <c r="S68" s="5">
        <f t="shared" si="3"/>
        <v>7563</v>
      </c>
    </row>
    <row r="69" spans="1:19" ht="18.75" customHeight="1">
      <c r="A69" s="4" t="s">
        <v>17</v>
      </c>
      <c r="B69" s="10">
        <v>45725</v>
      </c>
      <c r="C69" s="2">
        <v>2200</v>
      </c>
      <c r="D69" s="2">
        <v>475</v>
      </c>
      <c r="E69" s="2">
        <v>0</v>
      </c>
      <c r="F69" s="2">
        <v>1595</v>
      </c>
      <c r="G69" s="2">
        <v>1917</v>
      </c>
      <c r="H69" s="2">
        <v>0</v>
      </c>
      <c r="I69" s="2">
        <v>1465</v>
      </c>
      <c r="J69" s="2">
        <v>0</v>
      </c>
      <c r="K69" s="2">
        <v>26880</v>
      </c>
      <c r="L69" s="2">
        <v>14711</v>
      </c>
      <c r="M69" s="2">
        <v>1048</v>
      </c>
      <c r="N69" s="2">
        <v>170</v>
      </c>
      <c r="O69" s="2">
        <v>1084</v>
      </c>
      <c r="P69" s="3">
        <f t="shared" si="2"/>
        <v>51545</v>
      </c>
      <c r="Q69" s="3">
        <v>18885</v>
      </c>
      <c r="R69" s="3">
        <v>12415</v>
      </c>
      <c r="S69" s="5">
        <f t="shared" si="3"/>
        <v>20245</v>
      </c>
    </row>
    <row r="70" spans="1:19" ht="18.75" customHeight="1">
      <c r="A70" s="4" t="s">
        <v>18</v>
      </c>
      <c r="B70" s="10">
        <v>45726</v>
      </c>
      <c r="C70" s="2">
        <v>696</v>
      </c>
      <c r="D70" s="2">
        <v>1794</v>
      </c>
      <c r="E70" s="2">
        <v>0</v>
      </c>
      <c r="F70" s="2">
        <v>3320</v>
      </c>
      <c r="G70" s="2">
        <v>2464</v>
      </c>
      <c r="H70" s="2">
        <v>330</v>
      </c>
      <c r="I70" s="2">
        <v>1890</v>
      </c>
      <c r="J70" s="2">
        <v>0</v>
      </c>
      <c r="K70" s="2">
        <v>7685</v>
      </c>
      <c r="L70" s="2">
        <v>9156</v>
      </c>
      <c r="M70" s="2">
        <v>869</v>
      </c>
      <c r="N70" s="2">
        <v>420</v>
      </c>
      <c r="O70" s="2">
        <v>0</v>
      </c>
      <c r="P70" s="3">
        <f t="shared" si="2"/>
        <v>28624</v>
      </c>
      <c r="Q70" s="3">
        <v>7533</v>
      </c>
      <c r="R70" s="3">
        <v>16458</v>
      </c>
      <c r="S70" s="5">
        <f t="shared" si="3"/>
        <v>4633</v>
      </c>
    </row>
    <row r="71" spans="1:19" ht="18.75" customHeight="1">
      <c r="A71" s="4" t="s">
        <v>19</v>
      </c>
      <c r="B71" s="10">
        <v>45727</v>
      </c>
      <c r="C71" s="2">
        <v>1065</v>
      </c>
      <c r="D71" s="2">
        <v>1295</v>
      </c>
      <c r="E71" s="2">
        <v>763</v>
      </c>
      <c r="F71" s="2">
        <v>3005</v>
      </c>
      <c r="G71" s="2">
        <v>1949</v>
      </c>
      <c r="H71" s="2">
        <v>695</v>
      </c>
      <c r="I71" s="2">
        <v>1860</v>
      </c>
      <c r="J71" s="2">
        <v>0</v>
      </c>
      <c r="K71" s="2">
        <v>9169</v>
      </c>
      <c r="L71" s="2">
        <v>9845</v>
      </c>
      <c r="M71" s="2">
        <v>497</v>
      </c>
      <c r="N71" s="2">
        <v>405</v>
      </c>
      <c r="O71" s="2">
        <v>0</v>
      </c>
      <c r="P71" s="3">
        <f t="shared" si="2"/>
        <v>30548</v>
      </c>
      <c r="Q71" s="3">
        <v>9014</v>
      </c>
      <c r="R71" s="3">
        <v>14964</v>
      </c>
      <c r="S71" s="5">
        <f t="shared" si="3"/>
        <v>6570</v>
      </c>
    </row>
    <row r="72" spans="1:19" ht="18.75" customHeight="1">
      <c r="A72" s="4" t="s">
        <v>20</v>
      </c>
      <c r="B72" s="10">
        <v>45728</v>
      </c>
      <c r="C72" s="2">
        <v>2085</v>
      </c>
      <c r="D72" s="2">
        <v>1455</v>
      </c>
      <c r="E72" s="2">
        <v>410</v>
      </c>
      <c r="F72" s="2">
        <v>3050</v>
      </c>
      <c r="G72" s="2">
        <v>2239</v>
      </c>
      <c r="H72" s="2">
        <v>1265</v>
      </c>
      <c r="I72" s="2">
        <v>2050</v>
      </c>
      <c r="J72" s="2">
        <v>0</v>
      </c>
      <c r="K72" s="2">
        <v>8314</v>
      </c>
      <c r="L72" s="2">
        <v>7545</v>
      </c>
      <c r="M72" s="2">
        <v>1360</v>
      </c>
      <c r="N72" s="2">
        <v>540</v>
      </c>
      <c r="O72" s="2">
        <v>0</v>
      </c>
      <c r="P72" s="3">
        <f t="shared" si="2"/>
        <v>30313</v>
      </c>
      <c r="Q72" s="3">
        <v>13224</v>
      </c>
      <c r="R72" s="3">
        <v>13093</v>
      </c>
      <c r="S72" s="5">
        <f t="shared" si="3"/>
        <v>3996</v>
      </c>
    </row>
    <row r="73" spans="1:19" ht="18.75" customHeight="1">
      <c r="A73" s="4" t="s">
        <v>21</v>
      </c>
      <c r="B73" s="10">
        <v>45729</v>
      </c>
      <c r="C73" s="2">
        <v>1535</v>
      </c>
      <c r="D73" s="2">
        <v>1880</v>
      </c>
      <c r="E73" s="2">
        <v>0</v>
      </c>
      <c r="F73" s="2">
        <v>4440</v>
      </c>
      <c r="G73" s="2">
        <v>1983</v>
      </c>
      <c r="H73" s="2">
        <v>850</v>
      </c>
      <c r="I73" s="2">
        <v>1580</v>
      </c>
      <c r="J73" s="2">
        <v>0</v>
      </c>
      <c r="K73" s="2">
        <v>7990</v>
      </c>
      <c r="L73" s="2">
        <v>7923</v>
      </c>
      <c r="M73" s="2">
        <v>284</v>
      </c>
      <c r="N73" s="2">
        <v>1138</v>
      </c>
      <c r="O73" s="2">
        <v>0</v>
      </c>
      <c r="P73" s="3">
        <f t="shared" si="2"/>
        <v>29603</v>
      </c>
      <c r="Q73" s="3">
        <v>9305</v>
      </c>
      <c r="R73" s="3">
        <v>16559</v>
      </c>
      <c r="S73" s="5">
        <f t="shared" si="3"/>
        <v>3739</v>
      </c>
    </row>
    <row r="74" spans="1:19" ht="18.75" customHeight="1">
      <c r="A74" s="4" t="s">
        <v>22</v>
      </c>
      <c r="B74" s="10">
        <v>45730</v>
      </c>
      <c r="C74" s="2">
        <v>1805</v>
      </c>
      <c r="D74" s="2">
        <v>1300</v>
      </c>
      <c r="E74" s="2">
        <v>630</v>
      </c>
      <c r="F74" s="2">
        <v>4055</v>
      </c>
      <c r="G74" s="2">
        <v>1750</v>
      </c>
      <c r="H74" s="2">
        <v>1445</v>
      </c>
      <c r="I74" s="2">
        <v>2370</v>
      </c>
      <c r="J74" s="2">
        <v>0</v>
      </c>
      <c r="K74" s="2">
        <v>8358</v>
      </c>
      <c r="L74" s="2">
        <v>10972</v>
      </c>
      <c r="M74" s="2">
        <v>781</v>
      </c>
      <c r="N74" s="2">
        <v>176</v>
      </c>
      <c r="O74" s="2">
        <v>0</v>
      </c>
      <c r="P74" s="3">
        <f t="shared" si="2"/>
        <v>33642</v>
      </c>
      <c r="Q74" s="3">
        <v>9650</v>
      </c>
      <c r="R74" s="3">
        <v>12578</v>
      </c>
      <c r="S74" s="5">
        <f t="shared" si="3"/>
        <v>11414</v>
      </c>
    </row>
    <row r="75" spans="1:19" ht="18.75" customHeight="1">
      <c r="A75" s="4" t="s">
        <v>23</v>
      </c>
      <c r="B75" s="10">
        <v>45731</v>
      </c>
      <c r="C75" s="2">
        <v>2450</v>
      </c>
      <c r="D75" s="2">
        <v>2200</v>
      </c>
      <c r="E75" s="2">
        <v>490</v>
      </c>
      <c r="F75" s="2">
        <v>4870</v>
      </c>
      <c r="G75" s="2">
        <v>1818</v>
      </c>
      <c r="H75" s="2">
        <v>1160</v>
      </c>
      <c r="I75" s="2">
        <v>1449</v>
      </c>
      <c r="J75" s="2">
        <v>0</v>
      </c>
      <c r="K75" s="2">
        <v>21707</v>
      </c>
      <c r="L75" s="2">
        <v>21681</v>
      </c>
      <c r="M75" s="2">
        <v>633</v>
      </c>
      <c r="N75" s="2">
        <v>233</v>
      </c>
      <c r="O75" s="2">
        <v>0</v>
      </c>
      <c r="P75" s="3">
        <f t="shared" si="2"/>
        <v>58691</v>
      </c>
      <c r="Q75" s="3">
        <v>11880</v>
      </c>
      <c r="R75" s="3">
        <v>20412</v>
      </c>
      <c r="S75" s="5">
        <f t="shared" si="3"/>
        <v>26399</v>
      </c>
    </row>
    <row r="76" spans="1:19" ht="18.75" customHeight="1">
      <c r="A76" s="4" t="s">
        <v>17</v>
      </c>
      <c r="B76" s="10">
        <v>45732</v>
      </c>
      <c r="C76" s="2">
        <v>2655</v>
      </c>
      <c r="D76" s="2">
        <v>2095</v>
      </c>
      <c r="E76" s="2">
        <v>55</v>
      </c>
      <c r="F76" s="2">
        <v>4845</v>
      </c>
      <c r="G76" s="2">
        <v>1994</v>
      </c>
      <c r="H76" s="2">
        <v>1010</v>
      </c>
      <c r="I76" s="2">
        <v>1045</v>
      </c>
      <c r="J76" s="2">
        <v>0</v>
      </c>
      <c r="K76" s="2">
        <v>28040</v>
      </c>
      <c r="L76" s="2">
        <v>25195</v>
      </c>
      <c r="M76" s="2">
        <v>991</v>
      </c>
      <c r="N76" s="2">
        <v>0</v>
      </c>
      <c r="O76" s="2">
        <v>878</v>
      </c>
      <c r="P76" s="3">
        <f t="shared" si="2"/>
        <v>68803</v>
      </c>
      <c r="Q76" s="3">
        <v>17075</v>
      </c>
      <c r="R76" s="3">
        <v>23728</v>
      </c>
      <c r="S76" s="5">
        <f t="shared" si="3"/>
        <v>28000</v>
      </c>
    </row>
    <row r="77" spans="1:19" ht="18.75" customHeight="1">
      <c r="A77" s="4" t="s">
        <v>18</v>
      </c>
      <c r="B77" s="10">
        <v>45733</v>
      </c>
      <c r="C77" s="2">
        <v>2430</v>
      </c>
      <c r="D77" s="2">
        <v>3080</v>
      </c>
      <c r="E77" s="2">
        <v>0</v>
      </c>
      <c r="F77" s="2">
        <v>6360</v>
      </c>
      <c r="G77" s="2">
        <v>2201</v>
      </c>
      <c r="H77" s="2">
        <v>1145</v>
      </c>
      <c r="I77" s="2">
        <v>1515</v>
      </c>
      <c r="J77" s="2">
        <v>0</v>
      </c>
      <c r="K77" s="2">
        <v>21223</v>
      </c>
      <c r="L77" s="2">
        <v>28920</v>
      </c>
      <c r="M77" s="2">
        <v>448</v>
      </c>
      <c r="N77" s="2">
        <v>428</v>
      </c>
      <c r="O77" s="2">
        <v>0</v>
      </c>
      <c r="P77" s="3">
        <f t="shared" si="2"/>
        <v>67750</v>
      </c>
      <c r="Q77" s="3">
        <v>11180</v>
      </c>
      <c r="R77" s="3">
        <v>42008</v>
      </c>
      <c r="S77" s="5">
        <f t="shared" si="3"/>
        <v>14562</v>
      </c>
    </row>
    <row r="78" spans="1:19" ht="18.75" customHeight="1">
      <c r="A78" s="4" t="s">
        <v>19</v>
      </c>
      <c r="B78" s="10">
        <v>45734</v>
      </c>
      <c r="C78" s="2">
        <v>2390</v>
      </c>
      <c r="D78" s="2">
        <v>695</v>
      </c>
      <c r="E78" s="2">
        <v>0</v>
      </c>
      <c r="F78" s="2">
        <v>3330</v>
      </c>
      <c r="G78" s="2">
        <v>2500</v>
      </c>
      <c r="H78" s="2">
        <v>650</v>
      </c>
      <c r="I78" s="2">
        <v>1167</v>
      </c>
      <c r="J78" s="2">
        <v>0</v>
      </c>
      <c r="K78" s="2">
        <v>10373</v>
      </c>
      <c r="L78" s="2">
        <v>7216</v>
      </c>
      <c r="M78" s="2">
        <v>1100</v>
      </c>
      <c r="N78" s="2">
        <v>640</v>
      </c>
      <c r="O78" s="2">
        <v>0</v>
      </c>
      <c r="P78" s="3">
        <f t="shared" si="2"/>
        <v>30061</v>
      </c>
      <c r="Q78" s="3">
        <v>13682</v>
      </c>
      <c r="R78" s="3">
        <v>15464</v>
      </c>
      <c r="S78" s="5">
        <f t="shared" si="3"/>
        <v>915</v>
      </c>
    </row>
    <row r="79" spans="1:19" ht="18.75" customHeight="1">
      <c r="A79" s="4" t="s">
        <v>20</v>
      </c>
      <c r="B79" s="10">
        <v>45735</v>
      </c>
      <c r="C79" s="2">
        <v>1000</v>
      </c>
      <c r="D79" s="2">
        <v>1210</v>
      </c>
      <c r="E79" s="2">
        <v>355</v>
      </c>
      <c r="F79" s="2">
        <v>4270</v>
      </c>
      <c r="G79" s="2">
        <v>1705</v>
      </c>
      <c r="H79" s="2">
        <v>720</v>
      </c>
      <c r="I79" s="2">
        <v>1235</v>
      </c>
      <c r="J79" s="2">
        <v>0</v>
      </c>
      <c r="K79" s="2">
        <v>8444</v>
      </c>
      <c r="L79" s="2">
        <v>5124</v>
      </c>
      <c r="M79" s="2">
        <v>595</v>
      </c>
      <c r="N79" s="2">
        <v>0</v>
      </c>
      <c r="O79" s="2">
        <v>0</v>
      </c>
      <c r="P79" s="3">
        <f t="shared" si="2"/>
        <v>24658</v>
      </c>
      <c r="Q79" s="3">
        <v>9339</v>
      </c>
      <c r="R79" s="3">
        <v>11953</v>
      </c>
      <c r="S79" s="5">
        <f t="shared" si="3"/>
        <v>3366</v>
      </c>
    </row>
    <row r="80" spans="1:19" ht="18.75" customHeight="1">
      <c r="A80" s="4" t="s">
        <v>21</v>
      </c>
      <c r="B80" s="10">
        <v>45736</v>
      </c>
      <c r="C80" s="2">
        <v>1588</v>
      </c>
      <c r="D80" s="2">
        <v>980</v>
      </c>
      <c r="E80" s="2">
        <v>365</v>
      </c>
      <c r="F80" s="2">
        <v>3098</v>
      </c>
      <c r="G80" s="2">
        <v>3104</v>
      </c>
      <c r="H80" s="2">
        <v>655</v>
      </c>
      <c r="I80" s="2">
        <v>1670</v>
      </c>
      <c r="J80" s="2">
        <v>0</v>
      </c>
      <c r="K80" s="2">
        <v>16796</v>
      </c>
      <c r="L80" s="2">
        <v>8813</v>
      </c>
      <c r="M80" s="2">
        <v>2533</v>
      </c>
      <c r="N80" s="2">
        <v>175</v>
      </c>
      <c r="O80" s="2">
        <v>0</v>
      </c>
      <c r="P80" s="3">
        <f t="shared" si="2"/>
        <v>39777</v>
      </c>
      <c r="Q80" s="3">
        <v>9910</v>
      </c>
      <c r="R80" s="3">
        <v>29747</v>
      </c>
      <c r="S80" s="5">
        <f t="shared" si="3"/>
        <v>120</v>
      </c>
    </row>
    <row r="81" spans="1:19" ht="18.75" customHeight="1">
      <c r="A81" s="4" t="s">
        <v>22</v>
      </c>
      <c r="B81" s="10">
        <v>45737</v>
      </c>
      <c r="C81" s="2">
        <v>2016</v>
      </c>
      <c r="D81" s="2">
        <v>2265</v>
      </c>
      <c r="E81" s="2">
        <v>745</v>
      </c>
      <c r="F81" s="2">
        <v>3015</v>
      </c>
      <c r="G81" s="2">
        <v>2363</v>
      </c>
      <c r="H81" s="2">
        <v>1170</v>
      </c>
      <c r="I81" s="2">
        <v>1818</v>
      </c>
      <c r="J81" s="2">
        <v>0</v>
      </c>
      <c r="K81" s="2">
        <v>15817</v>
      </c>
      <c r="L81" s="2">
        <v>9865</v>
      </c>
      <c r="M81" s="2">
        <v>690</v>
      </c>
      <c r="N81" s="2">
        <v>233</v>
      </c>
      <c r="O81" s="2">
        <v>0</v>
      </c>
      <c r="P81" s="3">
        <f t="shared" si="2"/>
        <v>39997</v>
      </c>
      <c r="Q81" s="3">
        <v>10060</v>
      </c>
      <c r="R81" s="3">
        <v>23724</v>
      </c>
      <c r="S81" s="5">
        <f t="shared" si="3"/>
        <v>6213</v>
      </c>
    </row>
    <row r="82" spans="1:19" ht="18.75" customHeight="1">
      <c r="A82" s="4" t="s">
        <v>23</v>
      </c>
      <c r="B82" s="10">
        <v>45738</v>
      </c>
      <c r="C82" s="2">
        <v>1559</v>
      </c>
      <c r="D82" s="2">
        <v>669</v>
      </c>
      <c r="E82" s="2">
        <v>0</v>
      </c>
      <c r="F82" s="2">
        <v>3170</v>
      </c>
      <c r="G82" s="2">
        <v>3381</v>
      </c>
      <c r="H82" s="2">
        <v>1140</v>
      </c>
      <c r="I82" s="2">
        <v>1455</v>
      </c>
      <c r="J82" s="2">
        <v>0</v>
      </c>
      <c r="K82" s="2">
        <v>13931</v>
      </c>
      <c r="L82" s="2">
        <v>11380</v>
      </c>
      <c r="M82" s="2">
        <v>545</v>
      </c>
      <c r="N82" s="2">
        <v>0</v>
      </c>
      <c r="O82" s="2">
        <v>0</v>
      </c>
      <c r="P82" s="3">
        <f t="shared" si="2"/>
        <v>37230</v>
      </c>
      <c r="Q82" s="3">
        <v>13350</v>
      </c>
      <c r="R82" s="3">
        <v>21134</v>
      </c>
      <c r="S82" s="5">
        <f t="shared" si="3"/>
        <v>2746</v>
      </c>
    </row>
    <row r="83" spans="1:19" ht="18.75" customHeight="1">
      <c r="A83" s="4" t="s">
        <v>17</v>
      </c>
      <c r="B83" s="10">
        <v>45739</v>
      </c>
      <c r="C83" s="2">
        <v>1520</v>
      </c>
      <c r="D83" s="2">
        <v>1050</v>
      </c>
      <c r="E83" s="2">
        <v>0</v>
      </c>
      <c r="F83" s="2">
        <v>2200</v>
      </c>
      <c r="G83" s="2">
        <v>3008</v>
      </c>
      <c r="H83" s="2">
        <v>535</v>
      </c>
      <c r="I83" s="2">
        <v>2140</v>
      </c>
      <c r="J83" s="2">
        <v>0</v>
      </c>
      <c r="K83" s="2">
        <v>21021</v>
      </c>
      <c r="L83" s="2">
        <v>11583</v>
      </c>
      <c r="M83" s="2">
        <v>1791</v>
      </c>
      <c r="N83" s="2">
        <v>0</v>
      </c>
      <c r="O83" s="2">
        <v>1392</v>
      </c>
      <c r="P83" s="3">
        <f t="shared" si="2"/>
        <v>46240</v>
      </c>
      <c r="Q83" s="3">
        <v>14390</v>
      </c>
      <c r="R83" s="3">
        <v>16531</v>
      </c>
      <c r="S83" s="5">
        <f t="shared" si="3"/>
        <v>15319</v>
      </c>
    </row>
    <row r="84" spans="1:19" ht="18.75" customHeight="1">
      <c r="A84" s="4" t="s">
        <v>18</v>
      </c>
      <c r="B84" s="10">
        <v>45740</v>
      </c>
      <c r="C84" s="2">
        <v>2315</v>
      </c>
      <c r="D84" s="2">
        <v>1430</v>
      </c>
      <c r="E84" s="2">
        <v>505</v>
      </c>
      <c r="F84" s="2">
        <v>3975</v>
      </c>
      <c r="G84" s="2">
        <v>3960</v>
      </c>
      <c r="H84" s="2">
        <v>700</v>
      </c>
      <c r="I84" s="2">
        <v>1685</v>
      </c>
      <c r="J84" s="2">
        <v>0</v>
      </c>
      <c r="K84" s="2">
        <v>10538</v>
      </c>
      <c r="L84" s="2">
        <v>4691</v>
      </c>
      <c r="M84" s="2">
        <v>310</v>
      </c>
      <c r="N84" s="2">
        <v>0</v>
      </c>
      <c r="O84" s="2">
        <v>0</v>
      </c>
      <c r="P84" s="3">
        <f t="shared" si="2"/>
        <v>30109</v>
      </c>
      <c r="Q84" s="3">
        <v>11645</v>
      </c>
      <c r="R84" s="3">
        <v>15152</v>
      </c>
      <c r="S84" s="5">
        <f t="shared" si="3"/>
        <v>3312</v>
      </c>
    </row>
    <row r="85" spans="1:19" ht="18.75" customHeight="1">
      <c r="A85" s="4" t="s">
        <v>19</v>
      </c>
      <c r="B85" s="10">
        <v>45741</v>
      </c>
      <c r="C85" s="2">
        <v>1910</v>
      </c>
      <c r="D85" s="2">
        <v>1088</v>
      </c>
      <c r="E85" s="2">
        <v>510</v>
      </c>
      <c r="F85" s="2">
        <v>3225</v>
      </c>
      <c r="G85" s="2">
        <v>3385</v>
      </c>
      <c r="H85" s="2">
        <v>925</v>
      </c>
      <c r="I85" s="2">
        <v>2200</v>
      </c>
      <c r="J85" s="2">
        <v>0</v>
      </c>
      <c r="K85" s="2">
        <v>7871</v>
      </c>
      <c r="L85" s="2">
        <v>5033</v>
      </c>
      <c r="M85" s="2">
        <v>627</v>
      </c>
      <c r="N85" s="2">
        <v>0</v>
      </c>
      <c r="O85" s="2">
        <v>0</v>
      </c>
      <c r="P85" s="3">
        <f t="shared" si="2"/>
        <v>26774</v>
      </c>
      <c r="Q85" s="3">
        <v>9830</v>
      </c>
      <c r="R85" s="3">
        <v>9307</v>
      </c>
      <c r="S85" s="5">
        <f t="shared" si="3"/>
        <v>7637</v>
      </c>
    </row>
    <row r="86" spans="1:19" ht="18.75" customHeight="1">
      <c r="A86" s="4" t="s">
        <v>20</v>
      </c>
      <c r="B86" s="10">
        <v>45742</v>
      </c>
      <c r="C86" s="2">
        <v>2125</v>
      </c>
      <c r="D86" s="2">
        <v>1250</v>
      </c>
      <c r="E86" s="2">
        <v>445</v>
      </c>
      <c r="F86" s="2">
        <v>2890</v>
      </c>
      <c r="G86" s="2">
        <v>2032</v>
      </c>
      <c r="H86" s="2">
        <v>710</v>
      </c>
      <c r="I86" s="2">
        <v>2660</v>
      </c>
      <c r="J86" s="2">
        <v>0</v>
      </c>
      <c r="K86" s="2">
        <v>16265</v>
      </c>
      <c r="L86" s="2">
        <v>6118</v>
      </c>
      <c r="M86" s="2">
        <v>1312</v>
      </c>
      <c r="N86" s="2">
        <v>671</v>
      </c>
      <c r="O86" s="2">
        <v>0</v>
      </c>
      <c r="P86" s="3">
        <f t="shared" si="2"/>
        <v>36478</v>
      </c>
      <c r="Q86" s="3">
        <v>12714</v>
      </c>
      <c r="R86" s="3">
        <v>14599</v>
      </c>
      <c r="S86" s="5">
        <f t="shared" si="3"/>
        <v>9165</v>
      </c>
    </row>
    <row r="87" spans="1:19" ht="18.75" customHeight="1">
      <c r="A87" s="4" t="s">
        <v>21</v>
      </c>
      <c r="B87" s="10">
        <v>45743</v>
      </c>
      <c r="C87" s="2">
        <v>1140</v>
      </c>
      <c r="D87" s="2">
        <v>2065</v>
      </c>
      <c r="E87" s="2">
        <v>0</v>
      </c>
      <c r="F87" s="2">
        <v>4570</v>
      </c>
      <c r="G87" s="2">
        <v>3727</v>
      </c>
      <c r="H87" s="2">
        <v>680</v>
      </c>
      <c r="I87" s="2">
        <v>1470</v>
      </c>
      <c r="J87" s="2">
        <v>0</v>
      </c>
      <c r="K87" s="2">
        <v>10553</v>
      </c>
      <c r="L87" s="2">
        <v>6935</v>
      </c>
      <c r="M87" s="2">
        <v>841</v>
      </c>
      <c r="N87" s="2">
        <v>390</v>
      </c>
      <c r="O87" s="2">
        <v>0</v>
      </c>
      <c r="P87" s="3">
        <f t="shared" si="2"/>
        <v>32371</v>
      </c>
      <c r="Q87" s="3">
        <v>9495</v>
      </c>
      <c r="R87" s="3">
        <v>21657</v>
      </c>
      <c r="S87" s="5">
        <f t="shared" si="3"/>
        <v>1219</v>
      </c>
    </row>
    <row r="88" spans="1:19" ht="18.75" customHeight="1">
      <c r="A88" s="4" t="s">
        <v>22</v>
      </c>
      <c r="B88" s="10">
        <v>45744</v>
      </c>
      <c r="C88" s="2">
        <v>2420</v>
      </c>
      <c r="D88" s="2">
        <v>1660</v>
      </c>
      <c r="E88" s="2">
        <v>330</v>
      </c>
      <c r="F88" s="2">
        <v>3940</v>
      </c>
      <c r="G88" s="2">
        <v>1015</v>
      </c>
      <c r="H88" s="2">
        <v>650</v>
      </c>
      <c r="I88" s="2">
        <v>1740</v>
      </c>
      <c r="J88" s="2">
        <v>0</v>
      </c>
      <c r="K88" s="2">
        <v>12600</v>
      </c>
      <c r="L88" s="2">
        <v>7659</v>
      </c>
      <c r="M88" s="2">
        <v>1191</v>
      </c>
      <c r="N88" s="2">
        <v>155</v>
      </c>
      <c r="O88" s="2">
        <v>0</v>
      </c>
      <c r="P88" s="3">
        <f t="shared" si="2"/>
        <v>33360</v>
      </c>
      <c r="Q88" s="3">
        <v>7895</v>
      </c>
      <c r="R88" s="3">
        <v>12273</v>
      </c>
      <c r="S88" s="5">
        <f t="shared" si="3"/>
        <v>13192</v>
      </c>
    </row>
    <row r="89" spans="1:19" ht="18.75" customHeight="1">
      <c r="A89" s="4" t="s">
        <v>23</v>
      </c>
      <c r="B89" s="10">
        <v>45745</v>
      </c>
      <c r="C89" s="2">
        <v>2475</v>
      </c>
      <c r="D89" s="2">
        <v>1855</v>
      </c>
      <c r="E89" s="2">
        <v>1040</v>
      </c>
      <c r="F89" s="2">
        <v>4135</v>
      </c>
      <c r="G89" s="2">
        <v>4098</v>
      </c>
      <c r="H89" s="2">
        <v>1146</v>
      </c>
      <c r="I89" s="2">
        <v>3195</v>
      </c>
      <c r="J89" s="2">
        <v>0</v>
      </c>
      <c r="K89" s="2">
        <v>13881</v>
      </c>
      <c r="L89" s="2">
        <v>12742</v>
      </c>
      <c r="M89" s="2">
        <v>1960</v>
      </c>
      <c r="N89" s="2">
        <v>261</v>
      </c>
      <c r="O89" s="2">
        <v>0</v>
      </c>
      <c r="P89" s="3">
        <f t="shared" si="2"/>
        <v>46788</v>
      </c>
      <c r="Q89" s="3">
        <v>10805</v>
      </c>
      <c r="R89" s="3">
        <v>21950</v>
      </c>
      <c r="S89" s="5">
        <f t="shared" si="3"/>
        <v>14033</v>
      </c>
    </row>
    <row r="90" spans="1:19" ht="18.75" customHeight="1">
      <c r="A90" s="4" t="s">
        <v>17</v>
      </c>
      <c r="B90" s="10">
        <v>45746</v>
      </c>
      <c r="C90" s="2">
        <v>3415</v>
      </c>
      <c r="D90" s="2">
        <v>2245</v>
      </c>
      <c r="E90" s="2">
        <v>0</v>
      </c>
      <c r="F90" s="2">
        <v>4020</v>
      </c>
      <c r="G90" s="2">
        <v>1134</v>
      </c>
      <c r="H90" s="2">
        <v>1650</v>
      </c>
      <c r="I90" s="2">
        <v>2970</v>
      </c>
      <c r="J90" s="2">
        <v>0</v>
      </c>
      <c r="K90" s="2">
        <v>24416</v>
      </c>
      <c r="L90" s="2">
        <v>9878</v>
      </c>
      <c r="M90" s="2">
        <v>1238</v>
      </c>
      <c r="N90" s="2">
        <v>0</v>
      </c>
      <c r="O90" s="2">
        <v>0</v>
      </c>
      <c r="P90" s="3">
        <f t="shared" si="2"/>
        <v>50966</v>
      </c>
      <c r="Q90" s="3">
        <v>17423</v>
      </c>
      <c r="R90" s="3">
        <v>15144</v>
      </c>
      <c r="S90" s="5">
        <f t="shared" si="3"/>
        <v>18399</v>
      </c>
    </row>
    <row r="91" spans="1:19" ht="18.75" customHeight="1">
      <c r="A91" s="4" t="s">
        <v>18</v>
      </c>
      <c r="B91" s="10">
        <v>45747</v>
      </c>
      <c r="C91" s="2">
        <v>1575</v>
      </c>
      <c r="D91" s="2">
        <v>1515</v>
      </c>
      <c r="E91" s="2">
        <v>0</v>
      </c>
      <c r="F91" s="2">
        <v>3060</v>
      </c>
      <c r="G91" s="2">
        <v>1722</v>
      </c>
      <c r="H91" s="2">
        <v>799</v>
      </c>
      <c r="I91" s="2">
        <v>1280</v>
      </c>
      <c r="J91" s="2">
        <v>0</v>
      </c>
      <c r="K91" s="2">
        <v>14691</v>
      </c>
      <c r="L91" s="2">
        <v>4322</v>
      </c>
      <c r="M91" s="2">
        <v>1115</v>
      </c>
      <c r="N91" s="2">
        <v>215</v>
      </c>
      <c r="O91" s="2">
        <v>1476</v>
      </c>
      <c r="P91" s="3">
        <f t="shared" si="2"/>
        <v>31770</v>
      </c>
      <c r="Q91" s="3">
        <v>8550</v>
      </c>
      <c r="R91" s="3">
        <v>18187</v>
      </c>
      <c r="S91" s="5">
        <f t="shared" si="3"/>
        <v>5033</v>
      </c>
    </row>
    <row r="92" spans="1:19" ht="18.75" customHeight="1">
      <c r="A92" s="4" t="s">
        <v>19</v>
      </c>
      <c r="B92" s="10">
        <v>45748</v>
      </c>
      <c r="C92" s="2">
        <v>1545</v>
      </c>
      <c r="D92" s="2">
        <v>1295</v>
      </c>
      <c r="E92" s="2">
        <v>0</v>
      </c>
      <c r="F92" s="2">
        <v>2915</v>
      </c>
      <c r="G92" s="2">
        <v>1674</v>
      </c>
      <c r="H92" s="2">
        <v>978</v>
      </c>
      <c r="I92" s="2">
        <v>1495</v>
      </c>
      <c r="J92" s="2">
        <v>0</v>
      </c>
      <c r="K92" s="2">
        <v>10677</v>
      </c>
      <c r="L92" s="2">
        <v>7843</v>
      </c>
      <c r="M92" s="2">
        <v>1062</v>
      </c>
      <c r="N92" s="2">
        <v>0</v>
      </c>
      <c r="O92" s="2">
        <v>0</v>
      </c>
      <c r="P92" s="3">
        <f t="shared" si="2"/>
        <v>29484</v>
      </c>
      <c r="Q92" s="3">
        <v>9415</v>
      </c>
      <c r="R92" s="3">
        <v>16220</v>
      </c>
      <c r="S92" s="5">
        <f t="shared" si="3"/>
        <v>3849</v>
      </c>
    </row>
    <row r="93" spans="1:19" ht="18.75" customHeight="1">
      <c r="A93" s="4" t="s">
        <v>20</v>
      </c>
      <c r="B93" s="10">
        <v>45749</v>
      </c>
      <c r="C93" s="2">
        <v>1730</v>
      </c>
      <c r="D93" s="2">
        <v>1055</v>
      </c>
      <c r="E93" s="2">
        <v>0</v>
      </c>
      <c r="F93" s="2">
        <v>2220</v>
      </c>
      <c r="G93" s="2">
        <v>2147</v>
      </c>
      <c r="H93" s="2">
        <v>1505</v>
      </c>
      <c r="I93" s="2">
        <v>1620</v>
      </c>
      <c r="J93" s="2">
        <v>0</v>
      </c>
      <c r="K93" s="2">
        <v>12779</v>
      </c>
      <c r="L93" s="2">
        <v>5663</v>
      </c>
      <c r="M93" s="2">
        <v>737</v>
      </c>
      <c r="N93" s="2">
        <v>498</v>
      </c>
      <c r="O93" s="2">
        <v>0</v>
      </c>
      <c r="P93" s="3">
        <f t="shared" si="2"/>
        <v>29954</v>
      </c>
      <c r="Q93" s="3">
        <v>14221</v>
      </c>
      <c r="R93" s="3">
        <v>7920</v>
      </c>
      <c r="S93" s="5">
        <f t="shared" si="3"/>
        <v>7813</v>
      </c>
    </row>
    <row r="94" spans="1:19" ht="18.75" customHeight="1">
      <c r="A94" s="4" t="s">
        <v>21</v>
      </c>
      <c r="B94" s="10">
        <v>45750</v>
      </c>
      <c r="C94" s="2">
        <v>1645</v>
      </c>
      <c r="D94" s="2">
        <v>860</v>
      </c>
      <c r="E94" s="2">
        <v>483</v>
      </c>
      <c r="F94" s="2">
        <v>3265</v>
      </c>
      <c r="G94" s="2">
        <v>3653</v>
      </c>
      <c r="H94" s="2">
        <v>865</v>
      </c>
      <c r="I94" s="2">
        <v>1660</v>
      </c>
      <c r="J94" s="2">
        <v>0</v>
      </c>
      <c r="K94" s="2">
        <v>10128</v>
      </c>
      <c r="L94" s="2">
        <v>6284</v>
      </c>
      <c r="M94" s="2">
        <v>1028</v>
      </c>
      <c r="N94" s="2">
        <v>0</v>
      </c>
      <c r="O94" s="2">
        <v>0</v>
      </c>
      <c r="P94" s="3">
        <f t="shared" si="2"/>
        <v>29871</v>
      </c>
      <c r="Q94" s="3">
        <v>12460</v>
      </c>
      <c r="R94" s="3">
        <v>16579</v>
      </c>
      <c r="S94" s="5">
        <f t="shared" si="3"/>
        <v>832</v>
      </c>
    </row>
    <row r="95" spans="1:19" ht="18.75" customHeight="1">
      <c r="A95" s="4" t="s">
        <v>22</v>
      </c>
      <c r="B95" s="10">
        <v>45751</v>
      </c>
      <c r="C95" s="2">
        <v>1364</v>
      </c>
      <c r="D95" s="2">
        <v>2280</v>
      </c>
      <c r="E95" s="2">
        <v>0</v>
      </c>
      <c r="F95" s="2">
        <v>4245</v>
      </c>
      <c r="G95" s="2">
        <v>2786</v>
      </c>
      <c r="H95" s="2">
        <v>780</v>
      </c>
      <c r="I95" s="2">
        <v>2040</v>
      </c>
      <c r="J95" s="2">
        <v>0</v>
      </c>
      <c r="K95" s="2">
        <v>10376</v>
      </c>
      <c r="L95" s="2">
        <v>6105</v>
      </c>
      <c r="M95" s="2">
        <v>1500</v>
      </c>
      <c r="N95" s="2">
        <v>0</v>
      </c>
      <c r="O95" s="2">
        <v>0</v>
      </c>
      <c r="P95" s="3">
        <f t="shared" si="2"/>
        <v>31476</v>
      </c>
      <c r="Q95" s="3">
        <v>13305</v>
      </c>
      <c r="R95" s="3">
        <v>14854</v>
      </c>
      <c r="S95" s="5">
        <f t="shared" si="3"/>
        <v>3317</v>
      </c>
    </row>
    <row r="96" spans="1:19" ht="18.75" customHeight="1">
      <c r="A96" s="4" t="s">
        <v>23</v>
      </c>
      <c r="B96" s="10">
        <v>45752</v>
      </c>
      <c r="C96" s="2">
        <v>3045</v>
      </c>
      <c r="D96" s="2">
        <v>3265</v>
      </c>
      <c r="E96" s="2">
        <v>0</v>
      </c>
      <c r="F96" s="2">
        <v>3265</v>
      </c>
      <c r="G96" s="2">
        <v>2938</v>
      </c>
      <c r="H96" s="2">
        <v>1020</v>
      </c>
      <c r="I96" s="2">
        <v>1490</v>
      </c>
      <c r="J96" s="2">
        <v>0</v>
      </c>
      <c r="K96" s="2">
        <v>15461</v>
      </c>
      <c r="L96" s="2">
        <v>9993</v>
      </c>
      <c r="M96" s="2">
        <v>540</v>
      </c>
      <c r="N96" s="2">
        <v>0</v>
      </c>
      <c r="O96" s="2">
        <v>0</v>
      </c>
      <c r="P96" s="3">
        <f t="shared" si="2"/>
        <v>41017</v>
      </c>
      <c r="Q96" s="3">
        <v>10517</v>
      </c>
      <c r="R96" s="3">
        <v>26733</v>
      </c>
      <c r="S96" s="5">
        <f t="shared" si="3"/>
        <v>3767</v>
      </c>
    </row>
    <row r="97" spans="1:19" ht="18.75" customHeight="1">
      <c r="A97" s="4" t="s">
        <v>17</v>
      </c>
      <c r="B97" s="10">
        <v>45753</v>
      </c>
      <c r="C97" s="2">
        <v>2270</v>
      </c>
      <c r="D97" s="2">
        <v>2010</v>
      </c>
      <c r="E97" s="2">
        <v>0</v>
      </c>
      <c r="F97" s="2">
        <v>2545</v>
      </c>
      <c r="G97" s="2">
        <v>3145</v>
      </c>
      <c r="H97" s="2">
        <v>0</v>
      </c>
      <c r="I97" s="2">
        <v>1820</v>
      </c>
      <c r="J97" s="2">
        <v>0</v>
      </c>
      <c r="K97" s="2">
        <v>20463</v>
      </c>
      <c r="L97" s="2">
        <v>13109</v>
      </c>
      <c r="M97" s="2">
        <v>664</v>
      </c>
      <c r="N97" s="2">
        <v>385</v>
      </c>
      <c r="O97" s="2">
        <v>1400</v>
      </c>
      <c r="P97" s="3">
        <f t="shared" si="2"/>
        <v>47811</v>
      </c>
      <c r="Q97" s="3">
        <v>17030</v>
      </c>
      <c r="R97" s="3">
        <v>16052</v>
      </c>
      <c r="S97" s="5">
        <f t="shared" si="3"/>
        <v>14729</v>
      </c>
    </row>
    <row r="98" spans="1:19" ht="18.75" customHeight="1">
      <c r="A98" s="4" t="s">
        <v>18</v>
      </c>
      <c r="B98" s="10">
        <v>45754</v>
      </c>
      <c r="C98" s="2">
        <v>1560</v>
      </c>
      <c r="D98" s="2">
        <v>1055</v>
      </c>
      <c r="E98" s="2">
        <v>0</v>
      </c>
      <c r="F98" s="2">
        <v>4135</v>
      </c>
      <c r="G98" s="2">
        <v>1593</v>
      </c>
      <c r="H98" s="2">
        <v>960</v>
      </c>
      <c r="I98" s="2">
        <v>1170</v>
      </c>
      <c r="J98" s="2">
        <v>0</v>
      </c>
      <c r="K98" s="2">
        <v>12083</v>
      </c>
      <c r="L98" s="2">
        <v>4681</v>
      </c>
      <c r="M98" s="2">
        <v>555</v>
      </c>
      <c r="N98" s="2">
        <v>249</v>
      </c>
      <c r="O98" s="2">
        <v>0</v>
      </c>
      <c r="P98" s="3">
        <f t="shared" si="2"/>
        <v>28041</v>
      </c>
      <c r="Q98" s="3">
        <v>8740</v>
      </c>
      <c r="R98" s="3">
        <v>13289</v>
      </c>
      <c r="S98" s="5">
        <f t="shared" si="3"/>
        <v>6012</v>
      </c>
    </row>
    <row r="99" spans="1:19" ht="18.75" customHeight="1">
      <c r="A99" s="4" t="s">
        <v>19</v>
      </c>
      <c r="B99" s="10">
        <v>45755</v>
      </c>
      <c r="C99" s="2">
        <v>690</v>
      </c>
      <c r="D99" s="2">
        <v>1710</v>
      </c>
      <c r="E99" s="2">
        <v>0</v>
      </c>
      <c r="F99" s="2">
        <v>2370</v>
      </c>
      <c r="G99" s="2">
        <v>1983</v>
      </c>
      <c r="H99" s="2">
        <v>465</v>
      </c>
      <c r="I99" s="2">
        <v>2253</v>
      </c>
      <c r="J99" s="2">
        <v>0</v>
      </c>
      <c r="K99" s="2">
        <v>13116</v>
      </c>
      <c r="L99" s="2">
        <v>5291</v>
      </c>
      <c r="M99" s="2">
        <v>663</v>
      </c>
      <c r="N99" s="2">
        <v>0</v>
      </c>
      <c r="O99" s="2">
        <v>0</v>
      </c>
      <c r="P99" s="3">
        <f t="shared" si="2"/>
        <v>28541</v>
      </c>
      <c r="Q99" s="3">
        <v>10625</v>
      </c>
      <c r="R99" s="3">
        <v>17199</v>
      </c>
      <c r="S99" s="5">
        <f t="shared" si="3"/>
        <v>717</v>
      </c>
    </row>
    <row r="100" spans="1:19" ht="18.75" customHeight="1">
      <c r="A100" s="4" t="s">
        <v>20</v>
      </c>
      <c r="B100" s="10">
        <v>45756</v>
      </c>
      <c r="C100" s="2">
        <v>1730</v>
      </c>
      <c r="D100" s="2">
        <v>1599</v>
      </c>
      <c r="E100" s="2">
        <v>0</v>
      </c>
      <c r="F100" s="2">
        <v>4315</v>
      </c>
      <c r="G100" s="2">
        <v>1721</v>
      </c>
      <c r="H100" s="2">
        <v>715</v>
      </c>
      <c r="I100" s="2">
        <v>2415</v>
      </c>
      <c r="J100" s="2">
        <v>0</v>
      </c>
      <c r="K100" s="2">
        <v>12791</v>
      </c>
      <c r="L100" s="2">
        <v>6479</v>
      </c>
      <c r="M100" s="2">
        <v>426</v>
      </c>
      <c r="N100" s="2">
        <v>98</v>
      </c>
      <c r="O100" s="2">
        <v>0</v>
      </c>
      <c r="P100" s="3">
        <f t="shared" si="2"/>
        <v>32289</v>
      </c>
      <c r="Q100" s="3">
        <v>11175</v>
      </c>
      <c r="R100" s="3">
        <v>13686</v>
      </c>
      <c r="S100" s="5">
        <f t="shared" si="3"/>
        <v>7428</v>
      </c>
    </row>
    <row r="101" spans="1:19" ht="18.75" customHeight="1">
      <c r="A101" s="4" t="s">
        <v>21</v>
      </c>
      <c r="B101" s="10">
        <v>45757</v>
      </c>
      <c r="C101" s="2">
        <v>1920</v>
      </c>
      <c r="D101" s="2">
        <v>880</v>
      </c>
      <c r="E101" s="2">
        <v>0</v>
      </c>
      <c r="F101" s="2">
        <v>4215</v>
      </c>
      <c r="G101" s="2">
        <v>3651</v>
      </c>
      <c r="H101" s="2">
        <v>970</v>
      </c>
      <c r="I101" s="2">
        <v>1575</v>
      </c>
      <c r="J101" s="2">
        <v>0</v>
      </c>
      <c r="K101" s="2">
        <v>13904</v>
      </c>
      <c r="L101" s="2">
        <v>3946</v>
      </c>
      <c r="M101" s="2">
        <v>367</v>
      </c>
      <c r="N101" s="2">
        <v>466</v>
      </c>
      <c r="O101" s="2">
        <v>0</v>
      </c>
      <c r="P101" s="3">
        <f t="shared" si="2"/>
        <v>31894</v>
      </c>
      <c r="Q101" s="3">
        <v>10430</v>
      </c>
      <c r="R101" s="3">
        <v>16061</v>
      </c>
      <c r="S101" s="5">
        <f t="shared" si="3"/>
        <v>5403</v>
      </c>
    </row>
    <row r="102" spans="1:19" ht="18.75" customHeight="1">
      <c r="A102" s="4" t="s">
        <v>22</v>
      </c>
      <c r="B102" s="10">
        <v>45758</v>
      </c>
      <c r="C102" s="2">
        <v>2810</v>
      </c>
      <c r="D102" s="2">
        <v>1755</v>
      </c>
      <c r="E102" s="2">
        <v>555</v>
      </c>
      <c r="F102" s="2">
        <v>4055</v>
      </c>
      <c r="G102" s="2">
        <v>1972</v>
      </c>
      <c r="H102" s="2">
        <v>1600</v>
      </c>
      <c r="I102" s="2">
        <v>2000</v>
      </c>
      <c r="J102" s="2">
        <v>0</v>
      </c>
      <c r="K102" s="2">
        <v>18580</v>
      </c>
      <c r="L102" s="2">
        <v>10186</v>
      </c>
      <c r="M102" s="2">
        <v>1312</v>
      </c>
      <c r="N102" s="2">
        <v>355</v>
      </c>
      <c r="O102" s="2">
        <v>0</v>
      </c>
      <c r="P102" s="3">
        <f t="shared" si="2"/>
        <v>45180</v>
      </c>
      <c r="Q102" s="3">
        <v>11022</v>
      </c>
      <c r="R102" s="3">
        <v>24454</v>
      </c>
      <c r="S102" s="5">
        <f t="shared" si="3"/>
        <v>9704</v>
      </c>
    </row>
    <row r="103" spans="1:19" ht="18.75" customHeight="1">
      <c r="A103" s="4" t="s">
        <v>23</v>
      </c>
      <c r="B103" s="10">
        <v>45759</v>
      </c>
      <c r="C103" s="2">
        <v>1975</v>
      </c>
      <c r="D103" s="2">
        <v>3167</v>
      </c>
      <c r="E103" s="2">
        <v>0</v>
      </c>
      <c r="F103" s="2">
        <v>6995</v>
      </c>
      <c r="G103" s="2">
        <v>2346</v>
      </c>
      <c r="H103" s="2">
        <v>1636</v>
      </c>
      <c r="I103" s="2">
        <v>3505</v>
      </c>
      <c r="J103" s="2">
        <v>0</v>
      </c>
      <c r="K103" s="2">
        <v>23954</v>
      </c>
      <c r="L103" s="2">
        <v>11744</v>
      </c>
      <c r="M103" s="2">
        <v>1067</v>
      </c>
      <c r="N103" s="2">
        <v>298</v>
      </c>
      <c r="O103" s="2">
        <v>0</v>
      </c>
      <c r="P103" s="3">
        <f t="shared" si="2"/>
        <v>56687</v>
      </c>
      <c r="Q103" s="3">
        <v>12655</v>
      </c>
      <c r="R103" s="3">
        <v>31893</v>
      </c>
      <c r="S103" s="5">
        <f t="shared" si="3"/>
        <v>12139</v>
      </c>
    </row>
    <row r="104" spans="1:19" ht="18.75" customHeight="1">
      <c r="A104" s="4" t="s">
        <v>17</v>
      </c>
      <c r="B104" s="10">
        <v>45760</v>
      </c>
      <c r="C104" s="2">
        <v>2530</v>
      </c>
      <c r="D104" s="2">
        <v>1402</v>
      </c>
      <c r="E104" s="2">
        <v>0</v>
      </c>
      <c r="F104" s="2">
        <v>4875</v>
      </c>
      <c r="G104" s="2">
        <v>2530</v>
      </c>
      <c r="H104" s="2">
        <v>690</v>
      </c>
      <c r="I104" s="2">
        <v>2239</v>
      </c>
      <c r="J104" s="2">
        <v>0</v>
      </c>
      <c r="K104" s="2">
        <v>32684</v>
      </c>
      <c r="L104" s="2">
        <v>22949</v>
      </c>
      <c r="M104" s="2">
        <v>2473</v>
      </c>
      <c r="N104" s="2">
        <v>790</v>
      </c>
      <c r="O104" s="2">
        <v>1223</v>
      </c>
      <c r="P104" s="3">
        <f t="shared" si="2"/>
        <v>74385</v>
      </c>
      <c r="Q104" s="3">
        <v>17190</v>
      </c>
      <c r="R104" s="3">
        <v>20528</v>
      </c>
      <c r="S104" s="5">
        <f t="shared" si="3"/>
        <v>36667</v>
      </c>
    </row>
    <row r="105" spans="1:19" ht="18.75" customHeight="1">
      <c r="A105" s="4" t="s">
        <v>18</v>
      </c>
      <c r="B105" s="10">
        <v>45761</v>
      </c>
      <c r="C105" s="2">
        <v>2085.5</v>
      </c>
      <c r="D105" s="2">
        <v>1960</v>
      </c>
      <c r="E105" s="2">
        <v>630</v>
      </c>
      <c r="F105" s="2">
        <v>5435</v>
      </c>
      <c r="G105" s="2">
        <v>2655</v>
      </c>
      <c r="H105" s="2">
        <v>805</v>
      </c>
      <c r="I105" s="2">
        <v>1600</v>
      </c>
      <c r="J105" s="2">
        <v>0</v>
      </c>
      <c r="K105" s="2">
        <v>18452</v>
      </c>
      <c r="L105" s="2">
        <v>14945</v>
      </c>
      <c r="M105" s="2">
        <v>637</v>
      </c>
      <c r="N105" s="2">
        <v>1043</v>
      </c>
      <c r="O105" s="2">
        <v>0</v>
      </c>
      <c r="P105" s="3">
        <f t="shared" si="2"/>
        <v>50247.5</v>
      </c>
      <c r="Q105" s="3">
        <v>13350</v>
      </c>
      <c r="R105" s="3">
        <v>28334</v>
      </c>
      <c r="S105" s="5">
        <f t="shared" si="3"/>
        <v>8563.5</v>
      </c>
    </row>
    <row r="106" spans="1:19" ht="18.75" customHeight="1">
      <c r="A106" s="4" t="s">
        <v>19</v>
      </c>
      <c r="B106" s="10">
        <v>45762</v>
      </c>
      <c r="C106" s="2">
        <v>2440</v>
      </c>
      <c r="D106" s="2">
        <v>2155</v>
      </c>
      <c r="E106" s="2">
        <v>1185</v>
      </c>
      <c r="F106" s="2">
        <v>5575</v>
      </c>
      <c r="G106" s="2">
        <v>3068</v>
      </c>
      <c r="H106" s="2">
        <v>1955</v>
      </c>
      <c r="I106" s="2">
        <v>1915</v>
      </c>
      <c r="J106" s="2">
        <v>0</v>
      </c>
      <c r="K106" s="2">
        <v>28593</v>
      </c>
      <c r="L106" s="2">
        <v>16216</v>
      </c>
      <c r="M106" s="2">
        <v>581</v>
      </c>
      <c r="N106" s="2">
        <v>168</v>
      </c>
      <c r="O106" s="2">
        <v>0</v>
      </c>
      <c r="P106" s="3">
        <f t="shared" si="2"/>
        <v>63851</v>
      </c>
      <c r="Q106" s="3">
        <v>18613</v>
      </c>
      <c r="R106" s="3">
        <v>33516</v>
      </c>
      <c r="S106" s="5">
        <f t="shared" si="3"/>
        <v>11722</v>
      </c>
    </row>
    <row r="107" spans="1:19" ht="18.75" customHeight="1">
      <c r="A107" s="4" t="s">
        <v>20</v>
      </c>
      <c r="B107" s="10">
        <v>45763</v>
      </c>
      <c r="C107" s="2">
        <v>1545</v>
      </c>
      <c r="D107" s="2">
        <v>1890</v>
      </c>
      <c r="E107" s="2">
        <v>1665</v>
      </c>
      <c r="F107" s="2">
        <v>5510</v>
      </c>
      <c r="G107" s="2">
        <v>3433</v>
      </c>
      <c r="H107" s="2">
        <v>720</v>
      </c>
      <c r="I107" s="2">
        <v>2175</v>
      </c>
      <c r="J107" s="2">
        <v>0</v>
      </c>
      <c r="K107" s="2">
        <v>29760</v>
      </c>
      <c r="L107" s="2">
        <v>25886</v>
      </c>
      <c r="M107" s="2">
        <v>683</v>
      </c>
      <c r="N107" s="2">
        <v>185</v>
      </c>
      <c r="O107" s="2">
        <v>0</v>
      </c>
      <c r="P107" s="3">
        <f t="shared" si="2"/>
        <v>73452</v>
      </c>
      <c r="Q107" s="3">
        <v>15850</v>
      </c>
      <c r="R107" s="3">
        <v>33367</v>
      </c>
      <c r="S107" s="5">
        <f t="shared" si="3"/>
        <v>24235</v>
      </c>
    </row>
    <row r="108" spans="1:19" ht="18.75" customHeight="1">
      <c r="A108" s="4" t="s">
        <v>21</v>
      </c>
      <c r="B108" s="10">
        <v>45764</v>
      </c>
      <c r="C108" s="2">
        <v>2190</v>
      </c>
      <c r="D108" s="2">
        <v>2700</v>
      </c>
      <c r="E108" s="2">
        <v>2090</v>
      </c>
      <c r="F108" s="2">
        <v>6910</v>
      </c>
      <c r="G108" s="2">
        <v>2418</v>
      </c>
      <c r="H108" s="2">
        <v>2250</v>
      </c>
      <c r="I108" s="2">
        <v>2134</v>
      </c>
      <c r="J108" s="2">
        <v>0</v>
      </c>
      <c r="K108" s="2">
        <v>27455</v>
      </c>
      <c r="L108" s="2">
        <v>32581</v>
      </c>
      <c r="M108" s="2">
        <v>4186</v>
      </c>
      <c r="N108" s="2">
        <v>680</v>
      </c>
      <c r="O108" s="2">
        <v>0</v>
      </c>
      <c r="P108" s="3">
        <f t="shared" si="2"/>
        <v>85594</v>
      </c>
      <c r="Q108" s="3">
        <v>17067</v>
      </c>
      <c r="R108" s="3">
        <v>41092</v>
      </c>
      <c r="S108" s="5">
        <f t="shared" si="3"/>
        <v>27435</v>
      </c>
    </row>
    <row r="109" spans="1:19" ht="18.75" customHeight="1">
      <c r="A109" s="4" t="s">
        <v>22</v>
      </c>
      <c r="B109" s="10">
        <v>45765</v>
      </c>
      <c r="C109" s="2">
        <v>5370</v>
      </c>
      <c r="D109" s="2">
        <v>2300</v>
      </c>
      <c r="E109" s="2">
        <v>1385</v>
      </c>
      <c r="F109" s="2">
        <v>5270</v>
      </c>
      <c r="G109" s="2">
        <v>3444</v>
      </c>
      <c r="H109" s="2">
        <v>4025</v>
      </c>
      <c r="I109" s="2">
        <v>2910</v>
      </c>
      <c r="J109" s="2">
        <v>0</v>
      </c>
      <c r="K109" s="2">
        <v>38770</v>
      </c>
      <c r="L109" s="2">
        <v>34442</v>
      </c>
      <c r="M109" s="2">
        <v>2782</v>
      </c>
      <c r="N109" s="2">
        <v>606</v>
      </c>
      <c r="O109" s="2">
        <v>0</v>
      </c>
      <c r="P109" s="3">
        <f t="shared" si="2"/>
        <v>101304</v>
      </c>
      <c r="Q109" s="3">
        <v>17030</v>
      </c>
      <c r="R109" s="3">
        <v>44113</v>
      </c>
      <c r="S109" s="5">
        <f t="shared" si="3"/>
        <v>40161</v>
      </c>
    </row>
    <row r="110" spans="1:19" ht="18.75" customHeight="1">
      <c r="A110" s="4" t="s">
        <v>23</v>
      </c>
      <c r="B110" s="10">
        <v>45766</v>
      </c>
      <c r="C110" s="2">
        <v>3595</v>
      </c>
      <c r="D110" s="2">
        <v>4180</v>
      </c>
      <c r="E110" s="2">
        <v>0</v>
      </c>
      <c r="F110" s="2">
        <v>6890</v>
      </c>
      <c r="G110" s="2">
        <v>2705</v>
      </c>
      <c r="H110" s="2">
        <v>2720</v>
      </c>
      <c r="I110" s="2">
        <v>2759</v>
      </c>
      <c r="J110" s="2">
        <v>0</v>
      </c>
      <c r="K110" s="2">
        <v>45523</v>
      </c>
      <c r="L110" s="2">
        <v>30314</v>
      </c>
      <c r="M110" s="2">
        <v>1099</v>
      </c>
      <c r="N110" s="2">
        <v>240</v>
      </c>
      <c r="O110" s="2">
        <v>0</v>
      </c>
      <c r="P110" s="3">
        <f t="shared" si="2"/>
        <v>100025</v>
      </c>
      <c r="Q110" s="3">
        <v>15515</v>
      </c>
      <c r="R110" s="3">
        <v>42751</v>
      </c>
      <c r="S110" s="5">
        <f t="shared" si="3"/>
        <v>41759</v>
      </c>
    </row>
    <row r="111" spans="1:19" ht="18.75" customHeight="1">
      <c r="A111" s="4" t="s">
        <v>17</v>
      </c>
      <c r="B111" s="10">
        <v>45767</v>
      </c>
      <c r="C111" s="2">
        <v>4172</v>
      </c>
      <c r="D111" s="2">
        <v>3225</v>
      </c>
      <c r="E111" s="2">
        <v>0</v>
      </c>
      <c r="F111" s="2">
        <v>8085</v>
      </c>
      <c r="G111" s="2">
        <v>2797</v>
      </c>
      <c r="H111" s="2">
        <v>1255</v>
      </c>
      <c r="I111" s="2">
        <v>2370</v>
      </c>
      <c r="J111" s="2">
        <v>0</v>
      </c>
      <c r="K111" s="2">
        <v>40764</v>
      </c>
      <c r="L111" s="2">
        <v>27650</v>
      </c>
      <c r="M111" s="2">
        <v>3907</v>
      </c>
      <c r="N111" s="2">
        <v>4509</v>
      </c>
      <c r="O111" s="2">
        <v>2259</v>
      </c>
      <c r="P111" s="3">
        <f t="shared" si="2"/>
        <v>100993</v>
      </c>
      <c r="Q111" s="3">
        <v>25215</v>
      </c>
      <c r="R111" s="3">
        <v>19594</v>
      </c>
      <c r="S111" s="5">
        <f t="shared" si="3"/>
        <v>56184</v>
      </c>
    </row>
    <row r="112" spans="1:19" ht="18.75" customHeight="1">
      <c r="A112" s="4" t="s">
        <v>18</v>
      </c>
      <c r="B112" s="10">
        <v>45768</v>
      </c>
      <c r="C112" s="2">
        <v>2470</v>
      </c>
      <c r="D112" s="2">
        <v>2875</v>
      </c>
      <c r="E112" s="2">
        <v>0</v>
      </c>
      <c r="F112" s="2">
        <v>10475</v>
      </c>
      <c r="G112" s="2">
        <v>2678</v>
      </c>
      <c r="H112" s="2">
        <v>1185</v>
      </c>
      <c r="I112" s="2">
        <v>2770</v>
      </c>
      <c r="J112" s="2">
        <v>0</v>
      </c>
      <c r="K112" s="2">
        <v>22561</v>
      </c>
      <c r="L112" s="2">
        <v>18458</v>
      </c>
      <c r="M112" s="2">
        <v>1240</v>
      </c>
      <c r="N112" s="2">
        <v>470</v>
      </c>
      <c r="O112" s="2">
        <v>0</v>
      </c>
      <c r="P112" s="3">
        <f t="shared" si="2"/>
        <v>65182</v>
      </c>
      <c r="Q112" s="3">
        <v>17715</v>
      </c>
      <c r="R112" s="3">
        <v>32394</v>
      </c>
      <c r="S112" s="5">
        <f t="shared" si="3"/>
        <v>15073</v>
      </c>
    </row>
    <row r="113" spans="1:19" ht="18.75" customHeight="1">
      <c r="A113" s="4" t="s">
        <v>19</v>
      </c>
      <c r="B113" s="10">
        <v>45769</v>
      </c>
      <c r="C113" s="2">
        <v>3110</v>
      </c>
      <c r="D113" s="2">
        <v>2215</v>
      </c>
      <c r="E113" s="2">
        <v>0</v>
      </c>
      <c r="F113" s="2">
        <v>6434</v>
      </c>
      <c r="G113" s="2">
        <v>3133</v>
      </c>
      <c r="H113" s="2">
        <v>945</v>
      </c>
      <c r="I113" s="2">
        <v>1350</v>
      </c>
      <c r="J113" s="2">
        <v>0</v>
      </c>
      <c r="K113" s="2">
        <v>19791</v>
      </c>
      <c r="L113" s="2">
        <v>16129</v>
      </c>
      <c r="M113" s="2">
        <v>1239</v>
      </c>
      <c r="N113" s="2">
        <v>0</v>
      </c>
      <c r="O113" s="2">
        <v>0</v>
      </c>
      <c r="P113" s="3">
        <f t="shared" si="2"/>
        <v>54346</v>
      </c>
      <c r="Q113" s="3">
        <v>12950</v>
      </c>
      <c r="R113" s="3">
        <v>21512</v>
      </c>
      <c r="S113" s="5">
        <f t="shared" si="3"/>
        <v>19884</v>
      </c>
    </row>
    <row r="114" spans="1:19" ht="18.75" customHeight="1">
      <c r="A114" s="4" t="s">
        <v>20</v>
      </c>
      <c r="B114" s="10">
        <v>45770</v>
      </c>
      <c r="C114" s="2">
        <v>2180</v>
      </c>
      <c r="D114" s="2">
        <v>2285</v>
      </c>
      <c r="E114" s="2">
        <v>496</v>
      </c>
      <c r="F114" s="2">
        <v>4460</v>
      </c>
      <c r="G114" s="2">
        <v>3439</v>
      </c>
      <c r="H114" s="2">
        <v>1170</v>
      </c>
      <c r="I114" s="2">
        <v>2495</v>
      </c>
      <c r="J114" s="2">
        <v>0</v>
      </c>
      <c r="K114" s="2">
        <v>27971</v>
      </c>
      <c r="L114" s="2">
        <v>20529</v>
      </c>
      <c r="M114" s="2">
        <v>1066</v>
      </c>
      <c r="N114" s="2">
        <v>409</v>
      </c>
      <c r="O114" s="2">
        <v>0</v>
      </c>
      <c r="P114" s="3">
        <f t="shared" si="2"/>
        <v>66500</v>
      </c>
      <c r="Q114" s="3">
        <v>13510</v>
      </c>
      <c r="R114" s="3">
        <v>24554</v>
      </c>
      <c r="S114" s="5">
        <f t="shared" si="3"/>
        <v>28436</v>
      </c>
    </row>
    <row r="115" spans="1:19" ht="18.75" customHeight="1">
      <c r="A115" s="4" t="s">
        <v>21</v>
      </c>
      <c r="B115" s="10">
        <v>45771</v>
      </c>
      <c r="C115" s="2">
        <v>3435</v>
      </c>
      <c r="D115" s="2">
        <v>2210</v>
      </c>
      <c r="E115" s="2">
        <v>0</v>
      </c>
      <c r="F115" s="2">
        <v>6435</v>
      </c>
      <c r="G115" s="2">
        <v>1470</v>
      </c>
      <c r="H115" s="2">
        <v>860</v>
      </c>
      <c r="I115" s="2">
        <v>2380</v>
      </c>
      <c r="J115" s="2">
        <v>0</v>
      </c>
      <c r="K115" s="2">
        <v>35724</v>
      </c>
      <c r="L115" s="2">
        <v>22325</v>
      </c>
      <c r="M115" s="2">
        <v>1141</v>
      </c>
      <c r="N115" s="2">
        <v>0</v>
      </c>
      <c r="O115" s="2">
        <v>0</v>
      </c>
      <c r="P115" s="3">
        <f t="shared" si="2"/>
        <v>75980</v>
      </c>
      <c r="Q115" s="3">
        <v>12590</v>
      </c>
      <c r="R115" s="3">
        <v>28475</v>
      </c>
      <c r="S115" s="5">
        <f t="shared" si="3"/>
        <v>34915</v>
      </c>
    </row>
    <row r="116" spans="1:19" ht="18.75" customHeight="1">
      <c r="A116" s="4" t="s">
        <v>22</v>
      </c>
      <c r="B116" s="10">
        <v>45772</v>
      </c>
      <c r="C116" s="2">
        <v>2110</v>
      </c>
      <c r="D116" s="2">
        <v>2495</v>
      </c>
      <c r="E116" s="2">
        <v>0</v>
      </c>
      <c r="F116" s="2">
        <v>5405</v>
      </c>
      <c r="G116" s="2">
        <v>2799</v>
      </c>
      <c r="H116" s="2">
        <v>835</v>
      </c>
      <c r="I116" s="2">
        <v>4195</v>
      </c>
      <c r="J116" s="2">
        <v>0</v>
      </c>
      <c r="K116" s="2">
        <v>33588</v>
      </c>
      <c r="L116" s="2">
        <v>16085</v>
      </c>
      <c r="M116" s="2">
        <v>1918</v>
      </c>
      <c r="N116" s="2">
        <v>915</v>
      </c>
      <c r="O116" s="2">
        <v>0</v>
      </c>
      <c r="P116" s="3">
        <f t="shared" si="2"/>
        <v>70345</v>
      </c>
      <c r="Q116" s="3">
        <v>13440</v>
      </c>
      <c r="R116" s="3">
        <v>38299</v>
      </c>
      <c r="S116" s="5">
        <f t="shared" si="3"/>
        <v>18606</v>
      </c>
    </row>
    <row r="117" spans="1:19" ht="18.75" customHeight="1">
      <c r="A117" s="4" t="s">
        <v>23</v>
      </c>
      <c r="B117" s="10">
        <v>45773</v>
      </c>
      <c r="C117" s="2">
        <v>3100</v>
      </c>
      <c r="D117" s="2">
        <v>2900</v>
      </c>
      <c r="E117" s="2">
        <v>1055</v>
      </c>
      <c r="F117" s="2">
        <v>5570</v>
      </c>
      <c r="G117" s="2">
        <v>3373</v>
      </c>
      <c r="H117" s="2">
        <v>680</v>
      </c>
      <c r="I117" s="2">
        <v>2035</v>
      </c>
      <c r="J117" s="2">
        <v>0</v>
      </c>
      <c r="K117" s="2">
        <v>29308</v>
      </c>
      <c r="L117" s="2">
        <v>27501</v>
      </c>
      <c r="M117" s="2">
        <v>1806</v>
      </c>
      <c r="N117" s="2">
        <v>296</v>
      </c>
      <c r="O117" s="2">
        <v>0</v>
      </c>
      <c r="P117" s="3">
        <f t="shared" si="2"/>
        <v>77624</v>
      </c>
      <c r="Q117" s="3">
        <v>12760</v>
      </c>
      <c r="R117" s="3">
        <v>27696</v>
      </c>
      <c r="S117" s="5">
        <f t="shared" si="3"/>
        <v>37168</v>
      </c>
    </row>
    <row r="118" spans="1:19" ht="18.75" customHeight="1">
      <c r="A118" s="4" t="s">
        <v>17</v>
      </c>
      <c r="B118" s="10">
        <v>45774</v>
      </c>
      <c r="C118" s="2">
        <v>2850</v>
      </c>
      <c r="D118" s="2">
        <v>2410</v>
      </c>
      <c r="E118" s="2">
        <v>0</v>
      </c>
      <c r="F118" s="2">
        <v>6745</v>
      </c>
      <c r="G118" s="2">
        <v>1985</v>
      </c>
      <c r="H118" s="2">
        <v>275</v>
      </c>
      <c r="I118" s="2">
        <v>2115</v>
      </c>
      <c r="J118" s="2">
        <v>0</v>
      </c>
      <c r="K118" s="2">
        <v>24807</v>
      </c>
      <c r="L118" s="2">
        <v>15239</v>
      </c>
      <c r="M118" s="2">
        <v>325</v>
      </c>
      <c r="N118" s="2">
        <v>105</v>
      </c>
      <c r="O118" s="2">
        <v>2003</v>
      </c>
      <c r="P118" s="3">
        <f t="shared" si="2"/>
        <v>58859</v>
      </c>
      <c r="Q118" s="3">
        <v>21315</v>
      </c>
      <c r="R118" s="3">
        <v>13637</v>
      </c>
      <c r="S118" s="5">
        <f t="shared" si="3"/>
        <v>23907</v>
      </c>
    </row>
    <row r="119" spans="1:19" ht="18.75" customHeight="1">
      <c r="A119" s="4" t="s">
        <v>18</v>
      </c>
      <c r="B119" s="10">
        <v>45775</v>
      </c>
      <c r="C119" s="2">
        <v>2215</v>
      </c>
      <c r="D119" s="2">
        <v>1425</v>
      </c>
      <c r="E119" s="2">
        <v>0</v>
      </c>
      <c r="F119" s="2">
        <v>4200</v>
      </c>
      <c r="G119" s="2">
        <v>2023</v>
      </c>
      <c r="H119" s="2">
        <v>855</v>
      </c>
      <c r="I119" s="2">
        <v>2440</v>
      </c>
      <c r="J119" s="2">
        <v>0</v>
      </c>
      <c r="K119" s="2">
        <v>15876</v>
      </c>
      <c r="L119" s="2">
        <v>18385</v>
      </c>
      <c r="M119" s="2">
        <v>1299</v>
      </c>
      <c r="N119" s="2">
        <v>454</v>
      </c>
      <c r="O119" s="2">
        <v>0</v>
      </c>
      <c r="P119" s="3">
        <f t="shared" si="2"/>
        <v>49172</v>
      </c>
      <c r="Q119" s="3">
        <v>10568</v>
      </c>
      <c r="R119" s="3">
        <v>16315</v>
      </c>
      <c r="S119" s="5">
        <f t="shared" si="3"/>
        <v>22289</v>
      </c>
    </row>
    <row r="120" spans="1:19" ht="18.75" customHeight="1">
      <c r="A120" s="4" t="s">
        <v>19</v>
      </c>
      <c r="B120" s="10">
        <v>45776</v>
      </c>
      <c r="C120" s="2">
        <v>3090</v>
      </c>
      <c r="D120" s="2">
        <v>850</v>
      </c>
      <c r="E120" s="2">
        <v>0</v>
      </c>
      <c r="F120" s="2">
        <v>3500</v>
      </c>
      <c r="G120" s="2">
        <v>2264</v>
      </c>
      <c r="H120" s="2">
        <v>890</v>
      </c>
      <c r="I120" s="2">
        <v>1575</v>
      </c>
      <c r="J120" s="2">
        <v>0</v>
      </c>
      <c r="K120" s="2">
        <v>17194</v>
      </c>
      <c r="L120" s="2">
        <v>11750</v>
      </c>
      <c r="M120" s="2">
        <v>585</v>
      </c>
      <c r="N120" s="2">
        <v>809</v>
      </c>
      <c r="O120" s="2">
        <v>0</v>
      </c>
      <c r="P120" s="3">
        <f t="shared" si="2"/>
        <v>42507</v>
      </c>
      <c r="Q120" s="3">
        <v>14285</v>
      </c>
      <c r="R120" s="3">
        <v>22314</v>
      </c>
      <c r="S120" s="5">
        <f t="shared" si="3"/>
        <v>5908</v>
      </c>
    </row>
    <row r="121" spans="1:19" ht="18.75" customHeight="1">
      <c r="A121" s="4" t="s">
        <v>20</v>
      </c>
      <c r="B121" s="10">
        <v>45777</v>
      </c>
      <c r="C121" s="2">
        <v>1395</v>
      </c>
      <c r="D121" s="2">
        <v>1110</v>
      </c>
      <c r="E121" s="2">
        <v>0</v>
      </c>
      <c r="F121" s="2">
        <v>4890</v>
      </c>
      <c r="G121" s="2">
        <v>3426</v>
      </c>
      <c r="H121" s="2">
        <v>865</v>
      </c>
      <c r="I121" s="2">
        <v>1790</v>
      </c>
      <c r="J121" s="2">
        <v>0</v>
      </c>
      <c r="K121" s="2">
        <v>12159</v>
      </c>
      <c r="L121" s="2">
        <v>7799</v>
      </c>
      <c r="M121" s="2">
        <v>1254</v>
      </c>
      <c r="N121" s="2">
        <v>530</v>
      </c>
      <c r="O121" s="2">
        <v>0</v>
      </c>
      <c r="P121" s="3">
        <f t="shared" si="2"/>
        <v>35218</v>
      </c>
      <c r="Q121" s="3">
        <v>8740</v>
      </c>
      <c r="R121" s="3">
        <v>22903</v>
      </c>
      <c r="S121" s="5">
        <f t="shared" si="3"/>
        <v>3575</v>
      </c>
    </row>
    <row r="122" spans="1:19" ht="18.75" customHeight="1">
      <c r="A122" s="4" t="s">
        <v>21</v>
      </c>
      <c r="B122" s="10">
        <v>45778</v>
      </c>
      <c r="C122" s="2">
        <v>1910</v>
      </c>
      <c r="D122" s="2">
        <v>2100</v>
      </c>
      <c r="E122" s="2">
        <v>1495</v>
      </c>
      <c r="F122" s="2">
        <v>6490</v>
      </c>
      <c r="G122" s="2">
        <v>4745</v>
      </c>
      <c r="H122" s="2">
        <v>325</v>
      </c>
      <c r="I122" s="2">
        <v>2250</v>
      </c>
      <c r="J122" s="2">
        <v>0</v>
      </c>
      <c r="K122" s="2">
        <v>23706</v>
      </c>
      <c r="L122" s="2">
        <v>17943</v>
      </c>
      <c r="M122" s="2">
        <v>692</v>
      </c>
      <c r="N122" s="2">
        <v>511</v>
      </c>
      <c r="O122" s="2">
        <v>0</v>
      </c>
      <c r="P122" s="3">
        <f t="shared" si="2"/>
        <v>62167</v>
      </c>
      <c r="Q122" s="3">
        <v>13070</v>
      </c>
      <c r="R122" s="3">
        <v>23311</v>
      </c>
      <c r="S122" s="5">
        <f t="shared" si="3"/>
        <v>25786</v>
      </c>
    </row>
    <row r="123" spans="1:19" ht="18.75" customHeight="1">
      <c r="A123" s="4" t="s">
        <v>22</v>
      </c>
      <c r="B123" s="10">
        <v>45779</v>
      </c>
      <c r="C123" s="2">
        <v>2475</v>
      </c>
      <c r="D123" s="2">
        <v>2000</v>
      </c>
      <c r="E123" s="2">
        <v>840</v>
      </c>
      <c r="F123" s="2">
        <v>4775</v>
      </c>
      <c r="G123" s="2">
        <v>2274</v>
      </c>
      <c r="H123" s="2">
        <v>1380</v>
      </c>
      <c r="I123" s="2">
        <v>1560</v>
      </c>
      <c r="J123" s="2">
        <v>0</v>
      </c>
      <c r="K123" s="2">
        <v>30166</v>
      </c>
      <c r="L123" s="2">
        <v>24150</v>
      </c>
      <c r="M123" s="2">
        <v>438</v>
      </c>
      <c r="N123" s="2">
        <v>458</v>
      </c>
      <c r="O123" s="2">
        <v>0</v>
      </c>
      <c r="P123" s="3">
        <f t="shared" si="2"/>
        <v>70516</v>
      </c>
      <c r="Q123" s="3">
        <v>14200</v>
      </c>
      <c r="R123" s="3">
        <v>30082</v>
      </c>
      <c r="S123" s="5">
        <f t="shared" si="3"/>
        <v>26234</v>
      </c>
    </row>
    <row r="124" spans="1:19" ht="18.75" customHeight="1">
      <c r="A124" s="4" t="s">
        <v>23</v>
      </c>
      <c r="B124" s="10">
        <v>45780</v>
      </c>
      <c r="C124" s="2">
        <v>2335</v>
      </c>
      <c r="D124" s="2">
        <v>3690</v>
      </c>
      <c r="E124" s="2">
        <v>0</v>
      </c>
      <c r="F124" s="2">
        <v>4430</v>
      </c>
      <c r="G124" s="2">
        <v>4060</v>
      </c>
      <c r="H124" s="2">
        <v>1960</v>
      </c>
      <c r="I124" s="2">
        <v>1940</v>
      </c>
      <c r="J124" s="2">
        <v>0</v>
      </c>
      <c r="K124" s="2">
        <v>44787</v>
      </c>
      <c r="L124" s="2">
        <v>29853</v>
      </c>
      <c r="M124" s="2">
        <v>772</v>
      </c>
      <c r="N124" s="2">
        <v>767</v>
      </c>
      <c r="O124" s="2">
        <v>0</v>
      </c>
      <c r="P124" s="3">
        <f t="shared" si="2"/>
        <v>94594</v>
      </c>
      <c r="Q124" s="3">
        <v>23450</v>
      </c>
      <c r="R124" s="3">
        <v>31902</v>
      </c>
      <c r="S124" s="5">
        <f t="shared" si="3"/>
        <v>39242</v>
      </c>
    </row>
    <row r="125" spans="1:19" ht="18.75" customHeight="1">
      <c r="A125" s="4" t="s">
        <v>17</v>
      </c>
      <c r="B125" s="10">
        <v>45781</v>
      </c>
      <c r="C125" s="2">
        <v>2055</v>
      </c>
      <c r="D125" s="2">
        <v>2370</v>
      </c>
      <c r="E125" s="2">
        <v>0</v>
      </c>
      <c r="F125" s="2">
        <v>4210</v>
      </c>
      <c r="G125" s="2">
        <v>2105</v>
      </c>
      <c r="H125" s="2">
        <v>975</v>
      </c>
      <c r="I125" s="2">
        <v>1195</v>
      </c>
      <c r="J125" s="2">
        <v>0</v>
      </c>
      <c r="K125" s="2">
        <v>36026</v>
      </c>
      <c r="L125" s="2">
        <v>25529</v>
      </c>
      <c r="M125" s="2">
        <v>357</v>
      </c>
      <c r="N125" s="2">
        <v>411</v>
      </c>
      <c r="O125" s="2">
        <v>1599</v>
      </c>
      <c r="P125" s="3">
        <f t="shared" si="2"/>
        <v>76832</v>
      </c>
      <c r="Q125" s="3">
        <v>17035</v>
      </c>
      <c r="R125" s="3">
        <v>36004</v>
      </c>
      <c r="S125" s="5">
        <f t="shared" si="3"/>
        <v>23793</v>
      </c>
    </row>
    <row r="126" spans="1:19" ht="18.75" customHeight="1">
      <c r="A126" s="4" t="s">
        <v>18</v>
      </c>
      <c r="B126" s="10">
        <v>45782</v>
      </c>
      <c r="C126" s="2">
        <v>1610</v>
      </c>
      <c r="D126" s="2">
        <v>3755</v>
      </c>
      <c r="E126" s="2">
        <v>0</v>
      </c>
      <c r="F126" s="2">
        <v>5465</v>
      </c>
      <c r="G126" s="2">
        <v>2683</v>
      </c>
      <c r="H126" s="2">
        <v>670</v>
      </c>
      <c r="I126" s="2">
        <v>1610</v>
      </c>
      <c r="J126" s="2">
        <v>0</v>
      </c>
      <c r="K126" s="2">
        <v>28311</v>
      </c>
      <c r="L126" s="2">
        <v>14123</v>
      </c>
      <c r="M126" s="2">
        <v>536</v>
      </c>
      <c r="N126" s="2">
        <v>667</v>
      </c>
      <c r="O126" s="2">
        <v>0</v>
      </c>
      <c r="P126" s="3">
        <f t="shared" si="2"/>
        <v>59430</v>
      </c>
      <c r="Q126" s="3">
        <v>11860</v>
      </c>
      <c r="R126" s="3">
        <v>26524</v>
      </c>
      <c r="S126" s="5">
        <f t="shared" si="3"/>
        <v>21046</v>
      </c>
    </row>
    <row r="127" spans="1:19" ht="18.75" customHeight="1">
      <c r="A127" s="4" t="s">
        <v>19</v>
      </c>
      <c r="B127" s="10">
        <v>45783</v>
      </c>
      <c r="C127" s="2">
        <v>2850</v>
      </c>
      <c r="D127" s="2">
        <v>1970</v>
      </c>
      <c r="E127" s="2">
        <v>0</v>
      </c>
      <c r="F127" s="2">
        <v>4010</v>
      </c>
      <c r="G127" s="2">
        <v>3680</v>
      </c>
      <c r="H127" s="2">
        <v>965</v>
      </c>
      <c r="I127" s="2">
        <v>1345</v>
      </c>
      <c r="J127" s="2">
        <v>0</v>
      </c>
      <c r="K127" s="2">
        <v>15968</v>
      </c>
      <c r="L127" s="2">
        <v>6897</v>
      </c>
      <c r="M127" s="2">
        <v>1830</v>
      </c>
      <c r="N127" s="2">
        <v>663</v>
      </c>
      <c r="O127" s="2">
        <v>0</v>
      </c>
      <c r="P127" s="3">
        <f t="shared" si="2"/>
        <v>40178</v>
      </c>
      <c r="Q127" s="3">
        <v>11255</v>
      </c>
      <c r="R127" s="3">
        <v>16550</v>
      </c>
      <c r="S127" s="5">
        <f t="shared" si="3"/>
        <v>12373</v>
      </c>
    </row>
    <row r="128" spans="1:19" ht="18.75" customHeight="1">
      <c r="A128" s="4" t="s">
        <v>20</v>
      </c>
      <c r="B128" s="10">
        <v>45784</v>
      </c>
      <c r="C128" s="2">
        <v>1775</v>
      </c>
      <c r="D128" s="2">
        <v>1470</v>
      </c>
      <c r="E128" s="2">
        <v>0</v>
      </c>
      <c r="F128" s="2">
        <v>4010</v>
      </c>
      <c r="G128" s="2">
        <v>1717</v>
      </c>
      <c r="H128" s="2">
        <v>900</v>
      </c>
      <c r="I128" s="2">
        <v>875</v>
      </c>
      <c r="J128" s="2">
        <v>0</v>
      </c>
      <c r="K128" s="2">
        <v>17749</v>
      </c>
      <c r="L128" s="2">
        <v>7298</v>
      </c>
      <c r="M128" s="2">
        <v>1058</v>
      </c>
      <c r="N128" s="2">
        <v>175</v>
      </c>
      <c r="O128" s="2">
        <v>0</v>
      </c>
      <c r="P128" s="3">
        <f t="shared" si="2"/>
        <v>37027</v>
      </c>
      <c r="Q128" s="3">
        <v>10670</v>
      </c>
      <c r="R128" s="3">
        <v>17580</v>
      </c>
      <c r="S128" s="5">
        <f t="shared" si="3"/>
        <v>8777</v>
      </c>
    </row>
    <row r="129" spans="1:19" ht="18.75" customHeight="1">
      <c r="A129" s="4" t="s">
        <v>21</v>
      </c>
      <c r="B129" s="10">
        <v>45785</v>
      </c>
      <c r="C129" s="2">
        <v>2670</v>
      </c>
      <c r="D129" s="2">
        <v>1135</v>
      </c>
      <c r="E129" s="2">
        <v>0</v>
      </c>
      <c r="F129" s="2">
        <v>3095</v>
      </c>
      <c r="G129" s="2">
        <v>1105</v>
      </c>
      <c r="H129" s="2">
        <v>755</v>
      </c>
      <c r="I129" s="2">
        <v>1635</v>
      </c>
      <c r="J129" s="2">
        <v>0</v>
      </c>
      <c r="K129" s="2">
        <v>12506</v>
      </c>
      <c r="L129" s="2">
        <v>6041</v>
      </c>
      <c r="M129" s="2">
        <v>1188</v>
      </c>
      <c r="N129" s="2">
        <v>240</v>
      </c>
      <c r="O129" s="2">
        <v>0</v>
      </c>
      <c r="P129" s="3">
        <f t="shared" si="2"/>
        <v>30370</v>
      </c>
      <c r="Q129" s="3">
        <v>11365</v>
      </c>
      <c r="R129" s="3">
        <v>15758</v>
      </c>
      <c r="S129" s="5">
        <f t="shared" si="3"/>
        <v>3247</v>
      </c>
    </row>
    <row r="130" spans="1:19" ht="18.75" customHeight="1">
      <c r="A130" s="4" t="s">
        <v>22</v>
      </c>
      <c r="B130" s="10">
        <v>45786</v>
      </c>
      <c r="C130" s="2">
        <v>2940</v>
      </c>
      <c r="D130" s="2">
        <v>1720</v>
      </c>
      <c r="E130" s="2">
        <v>0</v>
      </c>
      <c r="F130" s="2">
        <v>4840</v>
      </c>
      <c r="G130" s="2">
        <v>2567.5</v>
      </c>
      <c r="H130" s="2">
        <v>785</v>
      </c>
      <c r="I130" s="2">
        <v>1915</v>
      </c>
      <c r="J130" s="2">
        <v>0</v>
      </c>
      <c r="K130" s="2">
        <v>20218</v>
      </c>
      <c r="L130" s="2">
        <v>13279</v>
      </c>
      <c r="M130" s="2">
        <v>2737</v>
      </c>
      <c r="N130" s="2">
        <v>0</v>
      </c>
      <c r="O130" s="2">
        <v>0</v>
      </c>
      <c r="P130" s="3">
        <f t="shared" si="2"/>
        <v>51001.5</v>
      </c>
      <c r="Q130" s="3">
        <v>10132</v>
      </c>
      <c r="R130" s="3">
        <v>38643</v>
      </c>
      <c r="S130" s="5">
        <f t="shared" si="3"/>
        <v>2226.5</v>
      </c>
    </row>
    <row r="131" spans="1:19" ht="18.75" customHeight="1">
      <c r="A131" s="4" t="s">
        <v>23</v>
      </c>
      <c r="B131" s="10">
        <v>45787</v>
      </c>
      <c r="C131" s="2">
        <v>3490</v>
      </c>
      <c r="D131" s="2">
        <v>1994</v>
      </c>
      <c r="E131" s="2">
        <v>296</v>
      </c>
      <c r="F131" s="2">
        <v>3290</v>
      </c>
      <c r="G131" s="2">
        <v>3730</v>
      </c>
      <c r="H131" s="2">
        <v>685</v>
      </c>
      <c r="I131" s="2">
        <v>1825</v>
      </c>
      <c r="J131" s="2">
        <v>0</v>
      </c>
      <c r="K131" s="2">
        <v>25989</v>
      </c>
      <c r="L131" s="2">
        <v>15505</v>
      </c>
      <c r="M131" s="2">
        <v>1853</v>
      </c>
      <c r="N131" s="2">
        <v>1545</v>
      </c>
      <c r="O131" s="2">
        <v>0</v>
      </c>
      <c r="P131" s="3">
        <f t="shared" ref="P131:P194" si="4">SUM(C131:O131)</f>
        <v>60202</v>
      </c>
      <c r="Q131" s="3">
        <v>13790</v>
      </c>
      <c r="R131" s="3">
        <v>28982</v>
      </c>
      <c r="S131" s="5">
        <f t="shared" ref="S131:S194" si="5">P131-Q131-R131</f>
        <v>17430</v>
      </c>
    </row>
    <row r="132" spans="1:19" ht="18.75" customHeight="1">
      <c r="A132" s="4" t="s">
        <v>17</v>
      </c>
      <c r="B132" s="10">
        <v>45788</v>
      </c>
      <c r="C132" s="2">
        <v>2236</v>
      </c>
      <c r="D132" s="2">
        <v>1200</v>
      </c>
      <c r="E132" s="2">
        <v>0</v>
      </c>
      <c r="F132" s="2">
        <v>5590</v>
      </c>
      <c r="G132" s="2">
        <v>4155</v>
      </c>
      <c r="H132" s="2">
        <v>800</v>
      </c>
      <c r="I132" s="2">
        <v>2130</v>
      </c>
      <c r="J132" s="2">
        <v>0</v>
      </c>
      <c r="K132" s="2">
        <v>26294</v>
      </c>
      <c r="L132" s="2">
        <v>19383</v>
      </c>
      <c r="M132" s="2">
        <v>320</v>
      </c>
      <c r="N132" s="2">
        <v>185</v>
      </c>
      <c r="O132" s="2">
        <v>2959</v>
      </c>
      <c r="P132" s="3">
        <f t="shared" si="4"/>
        <v>65252</v>
      </c>
      <c r="Q132" s="3">
        <v>18547</v>
      </c>
      <c r="R132" s="3">
        <v>21378</v>
      </c>
      <c r="S132" s="5">
        <f t="shared" si="5"/>
        <v>25327</v>
      </c>
    </row>
    <row r="133" spans="1:19" ht="18.75" customHeight="1">
      <c r="A133" s="4" t="s">
        <v>18</v>
      </c>
      <c r="B133" s="10">
        <v>45789</v>
      </c>
      <c r="C133" s="2">
        <v>1155</v>
      </c>
      <c r="D133" s="2">
        <v>1645</v>
      </c>
      <c r="E133" s="2">
        <v>0</v>
      </c>
      <c r="F133" s="2">
        <v>6135</v>
      </c>
      <c r="G133" s="2">
        <v>2446</v>
      </c>
      <c r="H133" s="2">
        <v>810</v>
      </c>
      <c r="I133" s="2">
        <v>2110</v>
      </c>
      <c r="J133" s="2">
        <v>0</v>
      </c>
      <c r="K133" s="2">
        <v>24213</v>
      </c>
      <c r="L133" s="2">
        <v>5578</v>
      </c>
      <c r="M133" s="2">
        <v>648</v>
      </c>
      <c r="N133" s="2">
        <v>147</v>
      </c>
      <c r="O133" s="2">
        <v>0</v>
      </c>
      <c r="P133" s="3">
        <f t="shared" si="4"/>
        <v>44887</v>
      </c>
      <c r="Q133" s="3">
        <v>10210</v>
      </c>
      <c r="R133" s="3">
        <v>26564</v>
      </c>
      <c r="S133" s="5">
        <f t="shared" si="5"/>
        <v>8113</v>
      </c>
    </row>
    <row r="134" spans="1:19" ht="18.75" customHeight="1">
      <c r="A134" s="4" t="s">
        <v>19</v>
      </c>
      <c r="B134" s="10">
        <v>45790</v>
      </c>
      <c r="C134" s="2">
        <v>1340</v>
      </c>
      <c r="D134" s="2">
        <v>1785</v>
      </c>
      <c r="E134" s="2">
        <v>0</v>
      </c>
      <c r="F134" s="2">
        <v>2905</v>
      </c>
      <c r="G134" s="2">
        <v>2975</v>
      </c>
      <c r="H134" s="2">
        <v>1030</v>
      </c>
      <c r="I134" s="2">
        <v>1285</v>
      </c>
      <c r="J134" s="2">
        <v>0</v>
      </c>
      <c r="K134" s="2">
        <v>14329</v>
      </c>
      <c r="L134" s="2">
        <v>7109</v>
      </c>
      <c r="M134" s="2">
        <v>1165</v>
      </c>
      <c r="N134" s="2">
        <v>179</v>
      </c>
      <c r="O134" s="2">
        <v>0</v>
      </c>
      <c r="P134" s="3">
        <f t="shared" si="4"/>
        <v>34102</v>
      </c>
      <c r="Q134" s="3">
        <v>10866</v>
      </c>
      <c r="R134" s="3">
        <v>16223</v>
      </c>
      <c r="S134" s="5">
        <f t="shared" si="5"/>
        <v>7013</v>
      </c>
    </row>
    <row r="135" spans="1:19" ht="18.75" customHeight="1">
      <c r="A135" s="4" t="s">
        <v>20</v>
      </c>
      <c r="B135" s="10">
        <v>45791</v>
      </c>
      <c r="C135" s="2">
        <v>1670</v>
      </c>
      <c r="D135" s="2">
        <v>1040</v>
      </c>
      <c r="E135" s="2">
        <v>0</v>
      </c>
      <c r="F135" s="2">
        <v>3470</v>
      </c>
      <c r="G135" s="2">
        <v>2643</v>
      </c>
      <c r="H135" s="2">
        <v>1530</v>
      </c>
      <c r="I135" s="2">
        <v>1110</v>
      </c>
      <c r="J135" s="2">
        <v>0</v>
      </c>
      <c r="K135" s="2">
        <v>11975</v>
      </c>
      <c r="L135" s="2">
        <v>4212</v>
      </c>
      <c r="M135" s="2">
        <v>814</v>
      </c>
      <c r="N135" s="2">
        <v>562</v>
      </c>
      <c r="O135" s="2">
        <v>0</v>
      </c>
      <c r="P135" s="3">
        <f t="shared" si="4"/>
        <v>29026</v>
      </c>
      <c r="Q135" s="3">
        <v>10427</v>
      </c>
      <c r="R135" s="3">
        <v>15039</v>
      </c>
      <c r="S135" s="5">
        <f t="shared" si="5"/>
        <v>3560</v>
      </c>
    </row>
    <row r="136" spans="1:19" ht="18.75" customHeight="1">
      <c r="A136" s="4" t="s">
        <v>21</v>
      </c>
      <c r="B136" s="10">
        <v>45792</v>
      </c>
      <c r="C136" s="2">
        <v>2355</v>
      </c>
      <c r="D136" s="2">
        <v>1205</v>
      </c>
      <c r="E136" s="2">
        <v>590</v>
      </c>
      <c r="F136" s="2">
        <v>3540</v>
      </c>
      <c r="G136" s="2">
        <v>3175</v>
      </c>
      <c r="H136" s="2">
        <v>775</v>
      </c>
      <c r="I136" s="2">
        <v>1805</v>
      </c>
      <c r="J136" s="2">
        <v>0</v>
      </c>
      <c r="K136" s="2">
        <v>24430</v>
      </c>
      <c r="L136" s="2">
        <v>10450</v>
      </c>
      <c r="M136" s="2">
        <v>881</v>
      </c>
      <c r="N136" s="2">
        <v>305</v>
      </c>
      <c r="O136" s="2">
        <v>0</v>
      </c>
      <c r="P136" s="3">
        <f t="shared" si="4"/>
        <v>49511</v>
      </c>
      <c r="Q136" s="3">
        <v>17750</v>
      </c>
      <c r="R136" s="3">
        <v>17597</v>
      </c>
      <c r="S136" s="5">
        <f t="shared" si="5"/>
        <v>14164</v>
      </c>
    </row>
    <row r="137" spans="1:19" ht="18.75" customHeight="1">
      <c r="A137" s="4" t="s">
        <v>22</v>
      </c>
      <c r="B137" s="10">
        <v>45793</v>
      </c>
      <c r="C137" s="2">
        <v>2775</v>
      </c>
      <c r="D137" s="2">
        <v>2697</v>
      </c>
      <c r="E137" s="2">
        <v>0</v>
      </c>
      <c r="F137" s="2">
        <v>5720</v>
      </c>
      <c r="G137" s="2">
        <v>3488</v>
      </c>
      <c r="H137" s="2">
        <v>1855</v>
      </c>
      <c r="I137" s="2">
        <v>2639</v>
      </c>
      <c r="J137" s="2">
        <v>0</v>
      </c>
      <c r="K137" s="2">
        <v>28075</v>
      </c>
      <c r="L137" s="2">
        <v>14150</v>
      </c>
      <c r="M137" s="2">
        <v>1213</v>
      </c>
      <c r="N137" s="2">
        <v>448</v>
      </c>
      <c r="O137" s="2">
        <v>0</v>
      </c>
      <c r="P137" s="3">
        <f t="shared" si="4"/>
        <v>63060</v>
      </c>
      <c r="Q137" s="3">
        <v>16537</v>
      </c>
      <c r="R137" s="3">
        <v>27346</v>
      </c>
      <c r="S137" s="5">
        <f t="shared" si="5"/>
        <v>19177</v>
      </c>
    </row>
    <row r="138" spans="1:19" ht="18.75" customHeight="1">
      <c r="A138" s="4" t="s">
        <v>23</v>
      </c>
      <c r="B138" s="10">
        <v>45794</v>
      </c>
      <c r="C138" s="2">
        <v>2670</v>
      </c>
      <c r="D138" s="2">
        <v>1270</v>
      </c>
      <c r="E138" s="2">
        <v>0</v>
      </c>
      <c r="F138" s="2">
        <v>4825</v>
      </c>
      <c r="G138" s="2">
        <v>2932</v>
      </c>
      <c r="H138" s="2">
        <v>410</v>
      </c>
      <c r="I138" s="2">
        <v>1435</v>
      </c>
      <c r="J138" s="2">
        <v>0</v>
      </c>
      <c r="K138" s="2">
        <v>27842</v>
      </c>
      <c r="L138" s="2">
        <v>24655</v>
      </c>
      <c r="M138" s="2">
        <v>275</v>
      </c>
      <c r="N138" s="2">
        <v>78</v>
      </c>
      <c r="O138" s="2">
        <v>0</v>
      </c>
      <c r="P138" s="3">
        <f t="shared" si="4"/>
        <v>66392</v>
      </c>
      <c r="Q138" s="3">
        <v>14180</v>
      </c>
      <c r="R138" s="3">
        <v>24965</v>
      </c>
      <c r="S138" s="5">
        <f t="shared" si="5"/>
        <v>27247</v>
      </c>
    </row>
    <row r="139" spans="1:19" ht="18.75" customHeight="1">
      <c r="A139" s="4" t="s">
        <v>17</v>
      </c>
      <c r="B139" s="10">
        <v>45795</v>
      </c>
      <c r="C139" s="2">
        <v>2590</v>
      </c>
      <c r="D139" s="2">
        <v>2060</v>
      </c>
      <c r="E139" s="2">
        <v>0</v>
      </c>
      <c r="F139" s="2">
        <v>6600</v>
      </c>
      <c r="G139" s="2">
        <v>2302</v>
      </c>
      <c r="H139" s="2">
        <v>1510</v>
      </c>
      <c r="I139" s="2">
        <v>1865</v>
      </c>
      <c r="J139" s="2">
        <v>0</v>
      </c>
      <c r="K139" s="2">
        <v>31760</v>
      </c>
      <c r="L139" s="2">
        <v>31353</v>
      </c>
      <c r="M139" s="2">
        <v>636</v>
      </c>
      <c r="N139" s="2">
        <v>745</v>
      </c>
      <c r="O139" s="2">
        <v>3949</v>
      </c>
      <c r="P139" s="3">
        <f t="shared" si="4"/>
        <v>85370</v>
      </c>
      <c r="Q139" s="3">
        <v>22975</v>
      </c>
      <c r="R139" s="3">
        <v>24093</v>
      </c>
      <c r="S139" s="5">
        <f t="shared" si="5"/>
        <v>38302</v>
      </c>
    </row>
    <row r="140" spans="1:19" ht="18.75" customHeight="1">
      <c r="A140" s="4" t="s">
        <v>18</v>
      </c>
      <c r="B140" s="10">
        <v>45796</v>
      </c>
      <c r="C140" s="2">
        <v>1310</v>
      </c>
      <c r="D140" s="2">
        <v>1850</v>
      </c>
      <c r="E140" s="2">
        <v>0</v>
      </c>
      <c r="F140" s="2">
        <v>3519</v>
      </c>
      <c r="G140" s="2">
        <v>2461</v>
      </c>
      <c r="H140" s="2">
        <v>650</v>
      </c>
      <c r="I140" s="2">
        <v>2120</v>
      </c>
      <c r="J140" s="2">
        <v>0</v>
      </c>
      <c r="K140" s="2">
        <v>17629</v>
      </c>
      <c r="L140" s="2">
        <v>6444</v>
      </c>
      <c r="M140" s="2">
        <v>1077</v>
      </c>
      <c r="N140" s="2">
        <v>460</v>
      </c>
      <c r="O140" s="2">
        <v>0</v>
      </c>
      <c r="P140" s="3">
        <f t="shared" si="4"/>
        <v>37520</v>
      </c>
      <c r="Q140" s="3">
        <v>10613</v>
      </c>
      <c r="R140" s="3">
        <v>23886</v>
      </c>
      <c r="S140" s="5">
        <f t="shared" si="5"/>
        <v>3021</v>
      </c>
    </row>
    <row r="141" spans="1:19" ht="18.75" customHeight="1">
      <c r="A141" s="4" t="s">
        <v>19</v>
      </c>
      <c r="B141" s="10">
        <v>45797</v>
      </c>
      <c r="C141" s="2">
        <v>3240</v>
      </c>
      <c r="D141" s="2">
        <v>2215</v>
      </c>
      <c r="E141" s="2">
        <v>0</v>
      </c>
      <c r="F141" s="2">
        <v>4888</v>
      </c>
      <c r="G141" s="2">
        <v>2665</v>
      </c>
      <c r="H141" s="2">
        <v>775</v>
      </c>
      <c r="I141" s="2">
        <v>2000</v>
      </c>
      <c r="J141" s="2">
        <v>0</v>
      </c>
      <c r="K141" s="2">
        <v>17539</v>
      </c>
      <c r="L141" s="2">
        <v>12394</v>
      </c>
      <c r="M141" s="2">
        <v>140</v>
      </c>
      <c r="N141" s="2">
        <v>540</v>
      </c>
      <c r="O141" s="2">
        <v>0</v>
      </c>
      <c r="P141" s="3">
        <f t="shared" si="4"/>
        <v>46396</v>
      </c>
      <c r="Q141" s="3">
        <v>10765</v>
      </c>
      <c r="R141" s="3">
        <v>17076</v>
      </c>
      <c r="S141" s="5">
        <f t="shared" si="5"/>
        <v>18555</v>
      </c>
    </row>
    <row r="142" spans="1:19" ht="18.75" customHeight="1">
      <c r="A142" s="4" t="s">
        <v>20</v>
      </c>
      <c r="B142" s="10">
        <v>45798</v>
      </c>
      <c r="C142" s="2">
        <v>1910</v>
      </c>
      <c r="D142" s="2">
        <v>1652</v>
      </c>
      <c r="E142" s="2">
        <v>0</v>
      </c>
      <c r="F142" s="2">
        <v>4202</v>
      </c>
      <c r="G142" s="2">
        <v>2473</v>
      </c>
      <c r="H142" s="2">
        <v>1000</v>
      </c>
      <c r="I142" s="2">
        <v>1700</v>
      </c>
      <c r="J142" s="2">
        <v>0</v>
      </c>
      <c r="K142" s="2">
        <v>16554</v>
      </c>
      <c r="L142" s="2">
        <v>16687</v>
      </c>
      <c r="M142" s="2">
        <v>565</v>
      </c>
      <c r="N142" s="2">
        <v>343</v>
      </c>
      <c r="O142" s="2">
        <v>0</v>
      </c>
      <c r="P142" s="3">
        <f t="shared" si="4"/>
        <v>47086</v>
      </c>
      <c r="Q142" s="3">
        <v>11490</v>
      </c>
      <c r="R142" s="3">
        <v>15758</v>
      </c>
      <c r="S142" s="5">
        <f t="shared" si="5"/>
        <v>19838</v>
      </c>
    </row>
    <row r="143" spans="1:19" ht="18.75" customHeight="1">
      <c r="A143" s="4" t="s">
        <v>21</v>
      </c>
      <c r="B143" s="10">
        <v>45799</v>
      </c>
      <c r="C143" s="2">
        <v>2665</v>
      </c>
      <c r="D143" s="2">
        <v>1760</v>
      </c>
      <c r="E143" s="2">
        <v>0</v>
      </c>
      <c r="F143" s="2">
        <v>3843</v>
      </c>
      <c r="G143" s="2">
        <v>1995</v>
      </c>
      <c r="H143" s="2">
        <v>1055</v>
      </c>
      <c r="I143" s="2">
        <v>1600</v>
      </c>
      <c r="J143" s="2">
        <v>0</v>
      </c>
      <c r="K143" s="2">
        <v>17209</v>
      </c>
      <c r="L143" s="2">
        <v>12476</v>
      </c>
      <c r="M143" s="2">
        <v>417</v>
      </c>
      <c r="N143" s="2">
        <v>1254</v>
      </c>
      <c r="O143" s="2">
        <v>0</v>
      </c>
      <c r="P143" s="3">
        <f t="shared" si="4"/>
        <v>44274</v>
      </c>
      <c r="Q143" s="3">
        <v>12415</v>
      </c>
      <c r="R143" s="3">
        <v>25479</v>
      </c>
      <c r="S143" s="5">
        <f t="shared" si="5"/>
        <v>6380</v>
      </c>
    </row>
    <row r="144" spans="1:19" ht="18.75" customHeight="1">
      <c r="A144" s="4" t="s">
        <v>22</v>
      </c>
      <c r="B144" s="10">
        <v>45800</v>
      </c>
      <c r="C144" s="2">
        <v>1935</v>
      </c>
      <c r="D144" s="2">
        <v>1410</v>
      </c>
      <c r="E144" s="2">
        <v>0</v>
      </c>
      <c r="F144" s="2">
        <v>4335</v>
      </c>
      <c r="G144" s="2">
        <v>2511</v>
      </c>
      <c r="H144" s="2">
        <v>1360</v>
      </c>
      <c r="I144" s="2">
        <v>2285</v>
      </c>
      <c r="J144" s="2">
        <v>0</v>
      </c>
      <c r="K144" s="2">
        <v>21635</v>
      </c>
      <c r="L144" s="2">
        <v>20650</v>
      </c>
      <c r="M144" s="2">
        <v>445</v>
      </c>
      <c r="N144" s="2">
        <v>0</v>
      </c>
      <c r="O144" s="2">
        <v>0</v>
      </c>
      <c r="P144" s="3">
        <f t="shared" si="4"/>
        <v>56566</v>
      </c>
      <c r="Q144" s="3">
        <v>11258</v>
      </c>
      <c r="R144" s="3">
        <v>21596</v>
      </c>
      <c r="S144" s="5">
        <f t="shared" si="5"/>
        <v>23712</v>
      </c>
    </row>
    <row r="145" spans="1:19" ht="18.75" customHeight="1">
      <c r="A145" s="4" t="s">
        <v>23</v>
      </c>
      <c r="B145" s="10">
        <v>45801</v>
      </c>
      <c r="C145" s="2">
        <v>2220</v>
      </c>
      <c r="D145" s="2">
        <v>1430</v>
      </c>
      <c r="E145" s="2">
        <v>0</v>
      </c>
      <c r="F145" s="2">
        <v>3504</v>
      </c>
      <c r="G145" s="2">
        <v>1885</v>
      </c>
      <c r="H145" s="2">
        <v>1725</v>
      </c>
      <c r="I145" s="2">
        <v>1965</v>
      </c>
      <c r="J145" s="2">
        <v>0</v>
      </c>
      <c r="K145" s="2">
        <v>28001</v>
      </c>
      <c r="L145" s="2">
        <v>23661</v>
      </c>
      <c r="M145" s="2">
        <v>570</v>
      </c>
      <c r="N145" s="2">
        <v>672</v>
      </c>
      <c r="O145" s="2">
        <v>1988</v>
      </c>
      <c r="P145" s="3">
        <f t="shared" si="4"/>
        <v>67621</v>
      </c>
      <c r="Q145" s="3">
        <v>12325</v>
      </c>
      <c r="R145" s="3">
        <v>29420</v>
      </c>
      <c r="S145" s="5">
        <f t="shared" si="5"/>
        <v>25876</v>
      </c>
    </row>
    <row r="146" spans="1:19" ht="18.75" customHeight="1">
      <c r="A146" s="4" t="s">
        <v>17</v>
      </c>
      <c r="B146" s="10">
        <v>45802</v>
      </c>
      <c r="C146" s="2">
        <v>2355</v>
      </c>
      <c r="D146" s="2">
        <v>2205</v>
      </c>
      <c r="E146" s="2">
        <v>0</v>
      </c>
      <c r="F146" s="2">
        <v>4832</v>
      </c>
      <c r="G146" s="2">
        <v>2670</v>
      </c>
      <c r="H146" s="2">
        <v>445</v>
      </c>
      <c r="I146" s="2">
        <v>690</v>
      </c>
      <c r="J146" s="2">
        <v>0</v>
      </c>
      <c r="K146" s="2">
        <v>30901</v>
      </c>
      <c r="L146" s="2">
        <v>27451</v>
      </c>
      <c r="M146" s="2">
        <v>1800</v>
      </c>
      <c r="N146" s="2">
        <v>1372</v>
      </c>
      <c r="O146" s="2">
        <v>0</v>
      </c>
      <c r="P146" s="3">
        <f t="shared" si="4"/>
        <v>74721</v>
      </c>
      <c r="Q146" s="3">
        <v>26458</v>
      </c>
      <c r="R146" s="3">
        <v>32182</v>
      </c>
      <c r="S146" s="5">
        <f t="shared" si="5"/>
        <v>16081</v>
      </c>
    </row>
    <row r="147" spans="1:19" ht="18.75" customHeight="1">
      <c r="A147" s="4" t="s">
        <v>18</v>
      </c>
      <c r="B147" s="10">
        <v>45803</v>
      </c>
      <c r="C147" s="2">
        <v>1710</v>
      </c>
      <c r="D147" s="2">
        <v>1670</v>
      </c>
      <c r="E147" s="2">
        <v>0</v>
      </c>
      <c r="F147" s="2">
        <v>5188</v>
      </c>
      <c r="G147" s="2">
        <v>1585</v>
      </c>
      <c r="H147" s="2">
        <v>880</v>
      </c>
      <c r="I147" s="2">
        <v>2156</v>
      </c>
      <c r="J147" s="2">
        <v>0</v>
      </c>
      <c r="K147" s="2">
        <v>19410</v>
      </c>
      <c r="L147" s="2">
        <v>9782</v>
      </c>
      <c r="M147" s="2">
        <v>1303</v>
      </c>
      <c r="N147" s="2">
        <v>466</v>
      </c>
      <c r="O147" s="2">
        <v>0</v>
      </c>
      <c r="P147" s="3">
        <f t="shared" si="4"/>
        <v>44150</v>
      </c>
      <c r="Q147" s="3">
        <v>11582</v>
      </c>
      <c r="R147" s="3">
        <v>27216</v>
      </c>
      <c r="S147" s="5">
        <f t="shared" si="5"/>
        <v>5352</v>
      </c>
    </row>
    <row r="148" spans="1:19" ht="18.75" customHeight="1">
      <c r="A148" s="4" t="s">
        <v>19</v>
      </c>
      <c r="B148" s="10">
        <v>45804</v>
      </c>
      <c r="C148" s="2">
        <v>1925</v>
      </c>
      <c r="D148" s="2">
        <v>1585</v>
      </c>
      <c r="E148" s="2">
        <v>0</v>
      </c>
      <c r="F148" s="2">
        <v>3860</v>
      </c>
      <c r="G148" s="2">
        <v>2177</v>
      </c>
      <c r="H148" s="2">
        <v>405</v>
      </c>
      <c r="I148" s="2">
        <v>2183</v>
      </c>
      <c r="J148" s="2">
        <v>0</v>
      </c>
      <c r="K148" s="2">
        <v>16112</v>
      </c>
      <c r="L148" s="2">
        <v>6020</v>
      </c>
      <c r="M148" s="2">
        <v>3780</v>
      </c>
      <c r="N148" s="2">
        <v>295</v>
      </c>
      <c r="O148" s="2">
        <v>0</v>
      </c>
      <c r="P148" s="3">
        <f t="shared" si="4"/>
        <v>38342</v>
      </c>
      <c r="Q148" s="3">
        <v>10555</v>
      </c>
      <c r="R148" s="3">
        <v>14734</v>
      </c>
      <c r="S148" s="5">
        <f t="shared" si="5"/>
        <v>13053</v>
      </c>
    </row>
    <row r="149" spans="1:19" ht="18.75" customHeight="1">
      <c r="A149" s="4" t="s">
        <v>20</v>
      </c>
      <c r="B149" s="10">
        <v>45805</v>
      </c>
      <c r="C149" s="2">
        <v>1490</v>
      </c>
      <c r="D149" s="2">
        <v>1480</v>
      </c>
      <c r="E149" s="2">
        <v>0</v>
      </c>
      <c r="F149" s="2">
        <v>3431</v>
      </c>
      <c r="G149" s="2">
        <v>1761</v>
      </c>
      <c r="H149" s="2">
        <v>620</v>
      </c>
      <c r="I149" s="2">
        <v>3202</v>
      </c>
      <c r="J149" s="2">
        <v>0</v>
      </c>
      <c r="K149" s="2">
        <v>12585</v>
      </c>
      <c r="L149" s="2">
        <v>12445</v>
      </c>
      <c r="M149" s="2">
        <v>1343</v>
      </c>
      <c r="N149" s="2">
        <v>396</v>
      </c>
      <c r="O149" s="2">
        <v>0</v>
      </c>
      <c r="P149" s="3">
        <f t="shared" si="4"/>
        <v>38753</v>
      </c>
      <c r="Q149" s="3">
        <v>11457</v>
      </c>
      <c r="R149" s="3">
        <v>13589</v>
      </c>
      <c r="S149" s="5">
        <f t="shared" si="5"/>
        <v>13707</v>
      </c>
    </row>
    <row r="150" spans="1:19" ht="18.75" customHeight="1">
      <c r="A150" s="4" t="s">
        <v>21</v>
      </c>
      <c r="B150" s="10">
        <v>45806</v>
      </c>
      <c r="C150" s="2">
        <v>1905</v>
      </c>
      <c r="D150" s="2">
        <v>1425</v>
      </c>
      <c r="E150" s="2">
        <v>0</v>
      </c>
      <c r="F150" s="2">
        <v>3551</v>
      </c>
      <c r="G150" s="2">
        <v>3446</v>
      </c>
      <c r="H150" s="2">
        <v>1715</v>
      </c>
      <c r="I150" s="2">
        <v>2350</v>
      </c>
      <c r="J150" s="2">
        <v>0</v>
      </c>
      <c r="K150" s="2">
        <v>14835</v>
      </c>
      <c r="L150" s="2">
        <v>11060</v>
      </c>
      <c r="M150" s="2">
        <v>1159</v>
      </c>
      <c r="N150" s="2">
        <v>1265</v>
      </c>
      <c r="O150" s="2">
        <v>0</v>
      </c>
      <c r="P150" s="3">
        <f t="shared" si="4"/>
        <v>42711</v>
      </c>
      <c r="Q150" s="3">
        <v>11307</v>
      </c>
      <c r="R150" s="3">
        <v>24612</v>
      </c>
      <c r="S150" s="5">
        <f t="shared" si="5"/>
        <v>6792</v>
      </c>
    </row>
    <row r="151" spans="1:19" ht="18.75" customHeight="1">
      <c r="A151" s="4" t="s">
        <v>22</v>
      </c>
      <c r="B151" s="10">
        <v>45807</v>
      </c>
      <c r="C151" s="2">
        <v>2130</v>
      </c>
      <c r="D151" s="2">
        <v>1540</v>
      </c>
      <c r="E151" s="2">
        <v>0</v>
      </c>
      <c r="F151" s="2">
        <v>5203</v>
      </c>
      <c r="G151" s="2">
        <v>6129</v>
      </c>
      <c r="H151" s="2">
        <v>1055</v>
      </c>
      <c r="I151" s="2">
        <v>2000</v>
      </c>
      <c r="J151" s="2">
        <v>0</v>
      </c>
      <c r="K151" s="2">
        <v>16943</v>
      </c>
      <c r="L151" s="2">
        <v>12378</v>
      </c>
      <c r="M151" s="2">
        <v>715</v>
      </c>
      <c r="N151" s="2">
        <v>863</v>
      </c>
      <c r="O151" s="2">
        <v>0</v>
      </c>
      <c r="P151" s="3">
        <f t="shared" si="4"/>
        <v>48956</v>
      </c>
      <c r="Q151" s="3">
        <v>11875</v>
      </c>
      <c r="R151" s="3">
        <v>23592</v>
      </c>
      <c r="S151" s="5">
        <f t="shared" si="5"/>
        <v>13489</v>
      </c>
    </row>
    <row r="152" spans="1:19" ht="18.75" customHeight="1">
      <c r="A152" s="4" t="s">
        <v>23</v>
      </c>
      <c r="B152" s="10">
        <v>45808</v>
      </c>
      <c r="C152" s="2">
        <v>3591</v>
      </c>
      <c r="D152" s="2">
        <v>2355</v>
      </c>
      <c r="E152" s="2">
        <v>0</v>
      </c>
      <c r="F152" s="2">
        <v>3810</v>
      </c>
      <c r="G152" s="2">
        <v>3631</v>
      </c>
      <c r="H152" s="2">
        <v>1848</v>
      </c>
      <c r="I152" s="2">
        <v>2348</v>
      </c>
      <c r="J152" s="2">
        <v>0</v>
      </c>
      <c r="K152" s="2">
        <v>21144</v>
      </c>
      <c r="L152" s="2">
        <v>14436</v>
      </c>
      <c r="M152" s="2">
        <v>1062</v>
      </c>
      <c r="N152" s="2">
        <v>389</v>
      </c>
      <c r="O152" s="2">
        <v>0</v>
      </c>
      <c r="P152" s="3">
        <f t="shared" si="4"/>
        <v>54614</v>
      </c>
      <c r="Q152" s="3">
        <v>11666</v>
      </c>
      <c r="R152" s="3">
        <v>21274</v>
      </c>
      <c r="S152" s="5">
        <f t="shared" si="5"/>
        <v>21674</v>
      </c>
    </row>
    <row r="153" spans="1:19" ht="18.75" customHeight="1">
      <c r="A153" s="4" t="s">
        <v>17</v>
      </c>
      <c r="B153" s="10">
        <v>45809</v>
      </c>
      <c r="C153" s="2">
        <v>2750</v>
      </c>
      <c r="D153" s="2">
        <v>2030</v>
      </c>
      <c r="E153" s="2">
        <v>0</v>
      </c>
      <c r="F153" s="2">
        <v>5541</v>
      </c>
      <c r="G153" s="2">
        <v>5190</v>
      </c>
      <c r="H153" s="2">
        <v>495</v>
      </c>
      <c r="I153" s="2">
        <v>1806</v>
      </c>
      <c r="J153" s="2">
        <v>0</v>
      </c>
      <c r="K153" s="2">
        <v>43080</v>
      </c>
      <c r="L153" s="2">
        <v>22756</v>
      </c>
      <c r="M153" s="2">
        <v>813</v>
      </c>
      <c r="N153" s="2">
        <v>1126</v>
      </c>
      <c r="O153" s="2">
        <v>2240</v>
      </c>
      <c r="P153" s="3">
        <f t="shared" si="4"/>
        <v>87827</v>
      </c>
      <c r="Q153" s="3">
        <v>27005</v>
      </c>
      <c r="R153" s="3">
        <v>22289</v>
      </c>
      <c r="S153" s="5">
        <f t="shared" si="5"/>
        <v>38533</v>
      </c>
    </row>
    <row r="154" spans="1:19" ht="18.75" customHeight="1">
      <c r="A154" s="4" t="s">
        <v>18</v>
      </c>
      <c r="B154" s="10">
        <v>45810</v>
      </c>
      <c r="C154" s="2">
        <v>2885</v>
      </c>
      <c r="D154" s="2">
        <v>2390</v>
      </c>
      <c r="E154" s="2">
        <v>0</v>
      </c>
      <c r="F154" s="2">
        <v>5744</v>
      </c>
      <c r="G154" s="2">
        <v>2747</v>
      </c>
      <c r="H154" s="2">
        <v>1090</v>
      </c>
      <c r="I154" s="2">
        <v>1420</v>
      </c>
      <c r="J154" s="2">
        <v>0</v>
      </c>
      <c r="K154" s="2">
        <v>19668</v>
      </c>
      <c r="L154" s="2">
        <v>8720</v>
      </c>
      <c r="M154" s="2">
        <v>1665</v>
      </c>
      <c r="N154" s="2">
        <v>175</v>
      </c>
      <c r="O154" s="2">
        <v>0</v>
      </c>
      <c r="P154" s="3">
        <f t="shared" si="4"/>
        <v>46504</v>
      </c>
      <c r="Q154" s="3">
        <v>12463</v>
      </c>
      <c r="R154" s="3">
        <v>24945</v>
      </c>
      <c r="S154" s="5">
        <f t="shared" si="5"/>
        <v>9096</v>
      </c>
    </row>
    <row r="155" spans="1:19" ht="18.75" customHeight="1">
      <c r="A155" s="4" t="s">
        <v>19</v>
      </c>
      <c r="B155" s="10">
        <v>45811</v>
      </c>
      <c r="C155" s="2">
        <v>1331</v>
      </c>
      <c r="D155" s="2">
        <v>2335</v>
      </c>
      <c r="E155" s="2">
        <v>0</v>
      </c>
      <c r="F155" s="2">
        <v>5390</v>
      </c>
      <c r="G155" s="2">
        <v>2706</v>
      </c>
      <c r="H155" s="2">
        <v>0</v>
      </c>
      <c r="I155" s="2">
        <v>2892</v>
      </c>
      <c r="J155" s="2">
        <v>0</v>
      </c>
      <c r="K155" s="2">
        <v>16388</v>
      </c>
      <c r="L155" s="2">
        <v>7248</v>
      </c>
      <c r="M155" s="2">
        <v>620</v>
      </c>
      <c r="N155" s="2">
        <v>653</v>
      </c>
      <c r="O155" s="2">
        <v>0</v>
      </c>
      <c r="P155" s="3">
        <f t="shared" si="4"/>
        <v>39563</v>
      </c>
      <c r="Q155" s="3">
        <v>9423</v>
      </c>
      <c r="R155" s="3">
        <v>17860</v>
      </c>
      <c r="S155" s="5">
        <f t="shared" si="5"/>
        <v>12280</v>
      </c>
    </row>
    <row r="156" spans="1:19" ht="18.75" customHeight="1">
      <c r="A156" s="4" t="s">
        <v>20</v>
      </c>
      <c r="B156" s="10">
        <v>45812</v>
      </c>
      <c r="C156" s="2">
        <v>1980</v>
      </c>
      <c r="D156" s="2">
        <v>885</v>
      </c>
      <c r="E156" s="2">
        <v>0</v>
      </c>
      <c r="F156" s="2">
        <v>2929</v>
      </c>
      <c r="G156" s="2">
        <v>3818</v>
      </c>
      <c r="H156" s="2">
        <v>1485</v>
      </c>
      <c r="I156" s="2">
        <v>1794</v>
      </c>
      <c r="J156" s="2">
        <v>0</v>
      </c>
      <c r="K156" s="2">
        <v>18226</v>
      </c>
      <c r="L156" s="2">
        <v>8703</v>
      </c>
      <c r="M156" s="2">
        <v>1368</v>
      </c>
      <c r="N156" s="2">
        <v>870</v>
      </c>
      <c r="O156" s="2">
        <v>0</v>
      </c>
      <c r="P156" s="3">
        <f t="shared" si="4"/>
        <v>42058</v>
      </c>
      <c r="Q156" s="3">
        <v>13998</v>
      </c>
      <c r="R156" s="3">
        <v>20889</v>
      </c>
      <c r="S156" s="5">
        <f t="shared" si="5"/>
        <v>7171</v>
      </c>
    </row>
    <row r="157" spans="1:19" ht="18.75" customHeight="1">
      <c r="A157" s="4" t="s">
        <v>21</v>
      </c>
      <c r="B157" s="10">
        <v>45813</v>
      </c>
      <c r="C157" s="2">
        <v>1690</v>
      </c>
      <c r="D157" s="2">
        <v>1645</v>
      </c>
      <c r="E157" s="2">
        <v>520</v>
      </c>
      <c r="F157" s="2">
        <v>4110</v>
      </c>
      <c r="G157" s="2">
        <v>2725</v>
      </c>
      <c r="H157" s="2">
        <v>695</v>
      </c>
      <c r="I157" s="2">
        <v>1858</v>
      </c>
      <c r="J157" s="2">
        <v>0</v>
      </c>
      <c r="K157" s="2">
        <v>14273</v>
      </c>
      <c r="L157" s="2">
        <v>10969</v>
      </c>
      <c r="M157" s="2">
        <v>1394</v>
      </c>
      <c r="N157" s="2">
        <v>473</v>
      </c>
      <c r="O157" s="2">
        <v>0</v>
      </c>
      <c r="P157" s="3">
        <f t="shared" si="4"/>
        <v>40352</v>
      </c>
      <c r="Q157" s="3">
        <v>10472</v>
      </c>
      <c r="R157" s="3">
        <v>26826</v>
      </c>
      <c r="S157" s="5">
        <f t="shared" si="5"/>
        <v>3054</v>
      </c>
    </row>
    <row r="158" spans="1:19" ht="18.75" customHeight="1">
      <c r="A158" s="4" t="s">
        <v>22</v>
      </c>
      <c r="B158" s="10">
        <v>45814</v>
      </c>
      <c r="C158" s="2">
        <v>1425</v>
      </c>
      <c r="D158" s="2">
        <v>2335</v>
      </c>
      <c r="E158" s="2">
        <v>0</v>
      </c>
      <c r="F158" s="2">
        <v>4596</v>
      </c>
      <c r="G158" s="2">
        <v>3602</v>
      </c>
      <c r="H158" s="2">
        <v>1273</v>
      </c>
      <c r="I158" s="2">
        <v>1622</v>
      </c>
      <c r="J158" s="2">
        <v>0</v>
      </c>
      <c r="K158" s="2">
        <v>24601</v>
      </c>
      <c r="L158" s="2">
        <v>14122</v>
      </c>
      <c r="M158" s="2">
        <v>186</v>
      </c>
      <c r="N158" s="2">
        <v>352</v>
      </c>
      <c r="O158" s="2">
        <v>0</v>
      </c>
      <c r="P158" s="3">
        <f t="shared" si="4"/>
        <v>54114</v>
      </c>
      <c r="Q158" s="3">
        <v>11693</v>
      </c>
      <c r="R158" s="3">
        <v>29737</v>
      </c>
      <c r="S158" s="5">
        <f t="shared" si="5"/>
        <v>12684</v>
      </c>
    </row>
    <row r="159" spans="1:19" ht="18.75" customHeight="1">
      <c r="A159" s="4" t="s">
        <v>23</v>
      </c>
      <c r="B159" s="10">
        <v>45815</v>
      </c>
      <c r="C159" s="2">
        <v>2370</v>
      </c>
      <c r="D159" s="2">
        <v>1827</v>
      </c>
      <c r="E159" s="2">
        <v>0</v>
      </c>
      <c r="F159" s="2">
        <v>3575</v>
      </c>
      <c r="G159" s="2">
        <v>3235</v>
      </c>
      <c r="H159" s="2">
        <v>765</v>
      </c>
      <c r="I159" s="2">
        <v>2547</v>
      </c>
      <c r="J159" s="2">
        <v>0</v>
      </c>
      <c r="K159" s="2">
        <v>30662</v>
      </c>
      <c r="L159" s="2">
        <v>16737</v>
      </c>
      <c r="M159" s="2">
        <v>545</v>
      </c>
      <c r="N159" s="2">
        <v>427</v>
      </c>
      <c r="O159" s="2">
        <v>0</v>
      </c>
      <c r="P159" s="3">
        <f t="shared" si="4"/>
        <v>62690</v>
      </c>
      <c r="Q159" s="3">
        <v>13495</v>
      </c>
      <c r="R159" s="3">
        <v>27030</v>
      </c>
      <c r="S159" s="5">
        <f t="shared" si="5"/>
        <v>22165</v>
      </c>
    </row>
    <row r="160" spans="1:19" ht="18.75" customHeight="1">
      <c r="A160" s="4" t="s">
        <v>17</v>
      </c>
      <c r="B160" s="10">
        <v>45816</v>
      </c>
      <c r="C160" s="2">
        <v>3130</v>
      </c>
      <c r="D160" s="2">
        <v>1990</v>
      </c>
      <c r="E160" s="2">
        <v>0</v>
      </c>
      <c r="F160" s="2">
        <v>4962</v>
      </c>
      <c r="G160" s="2">
        <v>2940</v>
      </c>
      <c r="H160" s="2">
        <v>750</v>
      </c>
      <c r="I160" s="2">
        <v>2108</v>
      </c>
      <c r="J160" s="2">
        <v>0</v>
      </c>
      <c r="K160" s="2">
        <v>35581</v>
      </c>
      <c r="L160" s="2">
        <v>21477</v>
      </c>
      <c r="M160" s="2">
        <v>958</v>
      </c>
      <c r="N160" s="2">
        <v>520</v>
      </c>
      <c r="O160" s="2">
        <v>3345</v>
      </c>
      <c r="P160" s="3">
        <f t="shared" si="4"/>
        <v>77761</v>
      </c>
      <c r="Q160" s="3">
        <v>23715</v>
      </c>
      <c r="R160" s="3">
        <v>27336</v>
      </c>
      <c r="S160" s="5">
        <f t="shared" si="5"/>
        <v>26710</v>
      </c>
    </row>
    <row r="161" spans="1:19" ht="18.75" customHeight="1">
      <c r="A161" s="4" t="s">
        <v>18</v>
      </c>
      <c r="B161" s="10">
        <v>45817</v>
      </c>
      <c r="C161" s="2">
        <v>2520</v>
      </c>
      <c r="D161" s="2">
        <v>1640</v>
      </c>
      <c r="E161" s="2">
        <v>0</v>
      </c>
      <c r="F161" s="2">
        <v>4714</v>
      </c>
      <c r="G161" s="2">
        <v>1829</v>
      </c>
      <c r="H161" s="2">
        <v>1010</v>
      </c>
      <c r="I161" s="2">
        <v>1316</v>
      </c>
      <c r="J161" s="2">
        <v>0</v>
      </c>
      <c r="K161" s="2">
        <v>20183</v>
      </c>
      <c r="L161" s="2">
        <v>12604</v>
      </c>
      <c r="M161" s="2">
        <v>740</v>
      </c>
      <c r="N161" s="2">
        <v>778</v>
      </c>
      <c r="O161" s="2">
        <v>0</v>
      </c>
      <c r="P161" s="3">
        <f t="shared" si="4"/>
        <v>47334</v>
      </c>
      <c r="Q161" s="3">
        <v>11930</v>
      </c>
      <c r="R161" s="3">
        <v>24651</v>
      </c>
      <c r="S161" s="5">
        <f t="shared" si="5"/>
        <v>10753</v>
      </c>
    </row>
    <row r="162" spans="1:19" ht="18.75" customHeight="1">
      <c r="A162" s="4" t="s">
        <v>19</v>
      </c>
      <c r="B162" s="10">
        <v>45818</v>
      </c>
      <c r="C162" s="2">
        <v>1437</v>
      </c>
      <c r="D162" s="2">
        <v>2205</v>
      </c>
      <c r="E162" s="2">
        <v>0</v>
      </c>
      <c r="F162" s="2">
        <v>4943</v>
      </c>
      <c r="G162" s="2">
        <v>3095</v>
      </c>
      <c r="H162" s="2">
        <v>700</v>
      </c>
      <c r="I162" s="2">
        <v>1531</v>
      </c>
      <c r="J162" s="2">
        <v>0</v>
      </c>
      <c r="K162" s="2">
        <v>12692</v>
      </c>
      <c r="L162" s="2">
        <v>17602</v>
      </c>
      <c r="M162" s="2">
        <v>687</v>
      </c>
      <c r="N162" s="2">
        <v>383</v>
      </c>
      <c r="O162" s="2">
        <v>0</v>
      </c>
      <c r="P162" s="3">
        <f t="shared" si="4"/>
        <v>45275</v>
      </c>
      <c r="Q162" s="3">
        <v>10710</v>
      </c>
      <c r="R162" s="3">
        <v>18318</v>
      </c>
      <c r="S162" s="5">
        <f t="shared" si="5"/>
        <v>16247</v>
      </c>
    </row>
    <row r="163" spans="1:19" ht="18.75" customHeight="1">
      <c r="A163" s="4" t="s">
        <v>20</v>
      </c>
      <c r="B163" s="10">
        <v>45819</v>
      </c>
      <c r="C163" s="2">
        <v>2111</v>
      </c>
      <c r="D163" s="2">
        <v>1135</v>
      </c>
      <c r="E163" s="2">
        <v>0</v>
      </c>
      <c r="F163" s="2">
        <v>3856</v>
      </c>
      <c r="G163" s="2">
        <v>5028</v>
      </c>
      <c r="H163" s="2">
        <v>760</v>
      </c>
      <c r="I163" s="2">
        <v>1919</v>
      </c>
      <c r="J163" s="2">
        <v>0</v>
      </c>
      <c r="K163" s="2">
        <v>10953</v>
      </c>
      <c r="L163" s="2">
        <v>13073</v>
      </c>
      <c r="M163" s="2">
        <v>802</v>
      </c>
      <c r="N163" s="2">
        <v>231</v>
      </c>
      <c r="O163" s="2">
        <v>0</v>
      </c>
      <c r="P163" s="3">
        <f t="shared" si="4"/>
        <v>39868</v>
      </c>
      <c r="Q163" s="3">
        <v>15753</v>
      </c>
      <c r="R163" s="3">
        <v>17759</v>
      </c>
      <c r="S163" s="5">
        <f t="shared" si="5"/>
        <v>6356</v>
      </c>
    </row>
    <row r="164" spans="1:19" ht="18.75" customHeight="1">
      <c r="A164" s="4" t="s">
        <v>21</v>
      </c>
      <c r="B164" s="10">
        <v>45820</v>
      </c>
      <c r="C164" s="2">
        <v>2915</v>
      </c>
      <c r="D164" s="2">
        <v>1575</v>
      </c>
      <c r="E164" s="2">
        <v>0</v>
      </c>
      <c r="F164" s="2">
        <v>3022</v>
      </c>
      <c r="G164" s="2">
        <v>2119</v>
      </c>
      <c r="H164" s="2">
        <v>1114</v>
      </c>
      <c r="I164" s="2">
        <v>1606</v>
      </c>
      <c r="J164" s="2">
        <v>0</v>
      </c>
      <c r="K164" s="2">
        <v>12955</v>
      </c>
      <c r="L164" s="2">
        <v>9996</v>
      </c>
      <c r="M164" s="2">
        <v>170</v>
      </c>
      <c r="N164" s="2">
        <v>126</v>
      </c>
      <c r="O164" s="2">
        <v>0</v>
      </c>
      <c r="P164" s="3">
        <f t="shared" si="4"/>
        <v>35598</v>
      </c>
      <c r="Q164" s="3">
        <v>10045</v>
      </c>
      <c r="R164" s="3">
        <v>23838</v>
      </c>
      <c r="S164" s="5">
        <f t="shared" si="5"/>
        <v>1715</v>
      </c>
    </row>
    <row r="165" spans="1:19" ht="18.75" customHeight="1">
      <c r="A165" s="4" t="s">
        <v>22</v>
      </c>
      <c r="B165" s="10">
        <v>45821</v>
      </c>
      <c r="C165" s="2">
        <v>2665</v>
      </c>
      <c r="D165" s="2">
        <v>1175</v>
      </c>
      <c r="E165" s="2">
        <v>0</v>
      </c>
      <c r="F165" s="2">
        <v>4565</v>
      </c>
      <c r="G165" s="2">
        <v>1576</v>
      </c>
      <c r="H165" s="2">
        <v>1190</v>
      </c>
      <c r="I165" s="2">
        <v>1874</v>
      </c>
      <c r="J165" s="2">
        <v>0</v>
      </c>
      <c r="K165" s="2">
        <v>16760</v>
      </c>
      <c r="L165" s="2">
        <v>14608</v>
      </c>
      <c r="M165" s="2">
        <v>1852</v>
      </c>
      <c r="N165" s="2">
        <v>378</v>
      </c>
      <c r="O165" s="2">
        <v>0</v>
      </c>
      <c r="P165" s="3">
        <f t="shared" si="4"/>
        <v>46643</v>
      </c>
      <c r="Q165" s="3">
        <v>12342</v>
      </c>
      <c r="R165" s="3">
        <v>17044</v>
      </c>
      <c r="S165" s="5">
        <f t="shared" si="5"/>
        <v>17257</v>
      </c>
    </row>
    <row r="166" spans="1:19" ht="18.75" customHeight="1">
      <c r="A166" s="4" t="s">
        <v>23</v>
      </c>
      <c r="B166" s="10">
        <v>45822</v>
      </c>
      <c r="C166" s="2">
        <v>2715</v>
      </c>
      <c r="D166" s="2">
        <v>1520</v>
      </c>
      <c r="E166" s="2">
        <v>0</v>
      </c>
      <c r="F166" s="2">
        <v>6392</v>
      </c>
      <c r="G166" s="2">
        <v>2698</v>
      </c>
      <c r="H166" s="2">
        <v>860</v>
      </c>
      <c r="I166" s="2">
        <v>1678</v>
      </c>
      <c r="J166" s="2">
        <v>0</v>
      </c>
      <c r="K166" s="2">
        <v>35591</v>
      </c>
      <c r="L166" s="2">
        <v>13250</v>
      </c>
      <c r="M166" s="2">
        <v>1053</v>
      </c>
      <c r="N166" s="2">
        <v>229</v>
      </c>
      <c r="O166" s="2">
        <v>0</v>
      </c>
      <c r="P166" s="3">
        <f t="shared" si="4"/>
        <v>65986</v>
      </c>
      <c r="Q166" s="3">
        <v>15050</v>
      </c>
      <c r="R166" s="3">
        <v>32377</v>
      </c>
      <c r="S166" s="5">
        <f t="shared" si="5"/>
        <v>18559</v>
      </c>
    </row>
    <row r="167" spans="1:19" ht="18.75" customHeight="1">
      <c r="A167" s="4" t="s">
        <v>17</v>
      </c>
      <c r="B167" s="10">
        <v>45823</v>
      </c>
      <c r="C167" s="2">
        <v>2645</v>
      </c>
      <c r="D167" s="2">
        <v>775</v>
      </c>
      <c r="E167" s="2">
        <v>0</v>
      </c>
      <c r="F167" s="2">
        <v>3625</v>
      </c>
      <c r="G167" s="2">
        <v>2484</v>
      </c>
      <c r="H167" s="2">
        <v>1350</v>
      </c>
      <c r="I167" s="2">
        <v>1408</v>
      </c>
      <c r="J167" s="2">
        <v>0</v>
      </c>
      <c r="K167" s="2">
        <v>34650</v>
      </c>
      <c r="L167" s="2">
        <v>27238</v>
      </c>
      <c r="M167" s="2">
        <v>1167</v>
      </c>
      <c r="N167" s="2">
        <v>1879</v>
      </c>
      <c r="O167" s="2">
        <v>2389</v>
      </c>
      <c r="P167" s="3">
        <f t="shared" si="4"/>
        <v>79610</v>
      </c>
      <c r="Q167" s="3">
        <v>27045</v>
      </c>
      <c r="R167" s="3">
        <v>32494</v>
      </c>
      <c r="S167" s="5">
        <f t="shared" si="5"/>
        <v>20071</v>
      </c>
    </row>
    <row r="168" spans="1:19" ht="18.75" customHeight="1">
      <c r="A168" s="4" t="s">
        <v>18</v>
      </c>
      <c r="B168" s="10">
        <v>45824</v>
      </c>
      <c r="C168" s="2">
        <v>3460</v>
      </c>
      <c r="D168" s="2">
        <v>1720</v>
      </c>
      <c r="E168" s="2">
        <v>0</v>
      </c>
      <c r="F168" s="2">
        <v>4790</v>
      </c>
      <c r="G168" s="2">
        <v>1143</v>
      </c>
      <c r="H168" s="2">
        <v>1013</v>
      </c>
      <c r="I168" s="2">
        <v>1724</v>
      </c>
      <c r="J168" s="2">
        <v>0</v>
      </c>
      <c r="K168" s="2">
        <v>15787</v>
      </c>
      <c r="L168" s="2">
        <v>14316</v>
      </c>
      <c r="M168" s="2">
        <v>1588</v>
      </c>
      <c r="N168" s="2">
        <v>579</v>
      </c>
      <c r="O168" s="2">
        <v>0</v>
      </c>
      <c r="P168" s="3">
        <f t="shared" si="4"/>
        <v>46120</v>
      </c>
      <c r="Q168" s="3">
        <v>11000</v>
      </c>
      <c r="R168" s="3">
        <v>33258</v>
      </c>
      <c r="S168" s="5">
        <f t="shared" si="5"/>
        <v>1862</v>
      </c>
    </row>
    <row r="169" spans="1:19" ht="18.75" customHeight="1">
      <c r="A169" s="4" t="s">
        <v>19</v>
      </c>
      <c r="B169" s="10">
        <v>45825</v>
      </c>
      <c r="C169" s="2">
        <v>3930</v>
      </c>
      <c r="D169" s="2">
        <v>2085</v>
      </c>
      <c r="E169" s="2">
        <v>0</v>
      </c>
      <c r="F169" s="2">
        <v>3580</v>
      </c>
      <c r="G169" s="2">
        <v>2168</v>
      </c>
      <c r="H169" s="2">
        <v>1025</v>
      </c>
      <c r="I169" s="2">
        <v>2485</v>
      </c>
      <c r="J169" s="2">
        <v>0</v>
      </c>
      <c r="K169" s="2">
        <v>15663</v>
      </c>
      <c r="L169" s="2">
        <v>9449</v>
      </c>
      <c r="M169" s="2">
        <v>1817</v>
      </c>
      <c r="N169" s="2">
        <v>175</v>
      </c>
      <c r="O169" s="2">
        <v>0</v>
      </c>
      <c r="P169" s="3">
        <f t="shared" si="4"/>
        <v>42377</v>
      </c>
      <c r="Q169" s="3">
        <v>11203</v>
      </c>
      <c r="R169" s="3">
        <v>25806</v>
      </c>
      <c r="S169" s="5">
        <f t="shared" si="5"/>
        <v>5368</v>
      </c>
    </row>
    <row r="170" spans="1:19" ht="18.75" customHeight="1">
      <c r="A170" s="4" t="s">
        <v>20</v>
      </c>
      <c r="B170" s="10">
        <v>45826</v>
      </c>
      <c r="C170" s="2">
        <v>1900</v>
      </c>
      <c r="D170" s="2">
        <v>1095</v>
      </c>
      <c r="E170" s="2">
        <v>0</v>
      </c>
      <c r="F170" s="2">
        <v>3848</v>
      </c>
      <c r="G170" s="2">
        <v>3100</v>
      </c>
      <c r="H170" s="2">
        <v>0</v>
      </c>
      <c r="I170" s="2">
        <v>2001</v>
      </c>
      <c r="J170" s="2">
        <v>0</v>
      </c>
      <c r="K170" s="2">
        <v>19943</v>
      </c>
      <c r="L170" s="2">
        <v>9757</v>
      </c>
      <c r="M170" s="2">
        <v>2216</v>
      </c>
      <c r="N170" s="2">
        <v>545</v>
      </c>
      <c r="O170" s="2">
        <v>0</v>
      </c>
      <c r="P170" s="3">
        <f t="shared" si="4"/>
        <v>44405</v>
      </c>
      <c r="Q170" s="3">
        <v>15467</v>
      </c>
      <c r="R170" s="3">
        <v>18401</v>
      </c>
      <c r="S170" s="5">
        <f t="shared" si="5"/>
        <v>10537</v>
      </c>
    </row>
    <row r="171" spans="1:19" ht="18.75" customHeight="1">
      <c r="A171" s="4" t="s">
        <v>21</v>
      </c>
      <c r="B171" s="10">
        <v>45827</v>
      </c>
      <c r="C171" s="2">
        <v>2300</v>
      </c>
      <c r="D171" s="2">
        <v>2160</v>
      </c>
      <c r="E171" s="2">
        <v>0</v>
      </c>
      <c r="F171" s="2">
        <v>2683</v>
      </c>
      <c r="G171" s="2">
        <v>2287</v>
      </c>
      <c r="H171" s="2">
        <v>845</v>
      </c>
      <c r="I171" s="2">
        <v>1622</v>
      </c>
      <c r="J171" s="2">
        <v>0</v>
      </c>
      <c r="K171" s="2">
        <v>14765</v>
      </c>
      <c r="L171" s="2">
        <v>8792</v>
      </c>
      <c r="M171" s="2">
        <v>1706</v>
      </c>
      <c r="N171" s="2">
        <v>405</v>
      </c>
      <c r="O171" s="2">
        <v>0</v>
      </c>
      <c r="P171" s="3">
        <f t="shared" si="4"/>
        <v>37565</v>
      </c>
      <c r="Q171" s="3">
        <v>9515</v>
      </c>
      <c r="R171" s="3">
        <v>14934</v>
      </c>
      <c r="S171" s="5">
        <f t="shared" si="5"/>
        <v>13116</v>
      </c>
    </row>
    <row r="172" spans="1:19" ht="18.75" customHeight="1">
      <c r="A172" s="4" t="s">
        <v>22</v>
      </c>
      <c r="B172" s="10">
        <v>45828</v>
      </c>
      <c r="C172" s="2">
        <v>2290</v>
      </c>
      <c r="D172" s="2">
        <v>0</v>
      </c>
      <c r="E172" s="2">
        <v>0</v>
      </c>
      <c r="F172" s="2">
        <v>5697</v>
      </c>
      <c r="G172" s="2">
        <v>3425</v>
      </c>
      <c r="H172" s="2">
        <v>585</v>
      </c>
      <c r="I172" s="2">
        <v>3416</v>
      </c>
      <c r="J172" s="2">
        <v>0</v>
      </c>
      <c r="K172" s="2">
        <v>22548</v>
      </c>
      <c r="L172" s="2">
        <v>14778</v>
      </c>
      <c r="M172" s="2">
        <v>930</v>
      </c>
      <c r="N172" s="2">
        <v>0</v>
      </c>
      <c r="O172" s="2">
        <v>0</v>
      </c>
      <c r="P172" s="3">
        <f t="shared" si="4"/>
        <v>53669</v>
      </c>
      <c r="Q172" s="3">
        <v>10900</v>
      </c>
      <c r="R172" s="3">
        <v>27933</v>
      </c>
      <c r="S172" s="5">
        <f t="shared" si="5"/>
        <v>14836</v>
      </c>
    </row>
    <row r="173" spans="1:19" ht="18.75" customHeight="1">
      <c r="A173" s="4" t="s">
        <v>23</v>
      </c>
      <c r="B173" s="10">
        <v>45829</v>
      </c>
      <c r="C173" s="2">
        <v>2760</v>
      </c>
      <c r="D173" s="2">
        <v>2255</v>
      </c>
      <c r="E173" s="2">
        <v>0</v>
      </c>
      <c r="F173" s="2">
        <v>4181</v>
      </c>
      <c r="G173" s="2">
        <v>3702</v>
      </c>
      <c r="H173" s="2">
        <v>750</v>
      </c>
      <c r="I173" s="2">
        <v>1683</v>
      </c>
      <c r="J173" s="2">
        <v>0</v>
      </c>
      <c r="K173" s="2">
        <v>25306</v>
      </c>
      <c r="L173" s="2">
        <v>13520</v>
      </c>
      <c r="M173" s="2">
        <v>258</v>
      </c>
      <c r="N173" s="2">
        <v>274</v>
      </c>
      <c r="O173" s="2">
        <v>0</v>
      </c>
      <c r="P173" s="3">
        <f t="shared" si="4"/>
        <v>54689</v>
      </c>
      <c r="Q173" s="3">
        <v>15340</v>
      </c>
      <c r="R173" s="3">
        <v>19073</v>
      </c>
      <c r="S173" s="5">
        <f t="shared" si="5"/>
        <v>20276</v>
      </c>
    </row>
    <row r="174" spans="1:19" ht="18.75" customHeight="1">
      <c r="A174" s="4" t="s">
        <v>17</v>
      </c>
      <c r="B174" s="10">
        <v>45830</v>
      </c>
      <c r="C174" s="2">
        <v>2435</v>
      </c>
      <c r="D174" s="2">
        <v>1215</v>
      </c>
      <c r="E174" s="2">
        <v>0</v>
      </c>
      <c r="F174" s="2">
        <v>2320</v>
      </c>
      <c r="G174" s="2">
        <v>1763</v>
      </c>
      <c r="H174" s="2">
        <v>720</v>
      </c>
      <c r="I174" s="2">
        <v>530</v>
      </c>
      <c r="J174" s="2">
        <v>0</v>
      </c>
      <c r="K174" s="2">
        <v>28940</v>
      </c>
      <c r="L174" s="2">
        <v>16869</v>
      </c>
      <c r="M174" s="2">
        <v>942</v>
      </c>
      <c r="N174" s="2">
        <v>687</v>
      </c>
      <c r="O174" s="2">
        <v>2748</v>
      </c>
      <c r="P174" s="3">
        <f t="shared" si="4"/>
        <v>59169</v>
      </c>
      <c r="Q174" s="3">
        <v>22590</v>
      </c>
      <c r="R174" s="3">
        <v>17199</v>
      </c>
      <c r="S174" s="5">
        <f t="shared" si="5"/>
        <v>19380</v>
      </c>
    </row>
    <row r="175" spans="1:19" ht="18.75" customHeight="1">
      <c r="A175" s="4" t="s">
        <v>18</v>
      </c>
      <c r="B175" s="10">
        <v>45831</v>
      </c>
      <c r="C175" s="2">
        <v>1925</v>
      </c>
      <c r="D175" s="2">
        <v>1545</v>
      </c>
      <c r="E175" s="2">
        <v>0</v>
      </c>
      <c r="F175" s="2">
        <v>4915</v>
      </c>
      <c r="G175" s="2">
        <v>2865</v>
      </c>
      <c r="H175" s="2">
        <v>1680</v>
      </c>
      <c r="I175" s="2">
        <v>2356</v>
      </c>
      <c r="J175" s="2">
        <v>0</v>
      </c>
      <c r="K175" s="2">
        <v>12796</v>
      </c>
      <c r="L175" s="2">
        <v>11281</v>
      </c>
      <c r="M175" s="2">
        <v>1096</v>
      </c>
      <c r="N175" s="2">
        <v>154</v>
      </c>
      <c r="O175" s="2">
        <v>0</v>
      </c>
      <c r="P175" s="3">
        <f t="shared" si="4"/>
        <v>40613</v>
      </c>
      <c r="Q175" s="3">
        <v>10702</v>
      </c>
      <c r="R175" s="3">
        <v>20355</v>
      </c>
      <c r="S175" s="5">
        <f t="shared" si="5"/>
        <v>9556</v>
      </c>
    </row>
    <row r="176" spans="1:19" ht="18.75" customHeight="1">
      <c r="A176" s="4" t="s">
        <v>19</v>
      </c>
      <c r="B176" s="10">
        <v>45832</v>
      </c>
      <c r="C176" s="2">
        <v>1715</v>
      </c>
      <c r="D176" s="2">
        <v>1231</v>
      </c>
      <c r="E176" s="2">
        <v>0</v>
      </c>
      <c r="F176" s="2">
        <v>6367</v>
      </c>
      <c r="G176" s="2">
        <v>2710</v>
      </c>
      <c r="H176" s="2">
        <v>0</v>
      </c>
      <c r="I176" s="2">
        <v>2130</v>
      </c>
      <c r="J176" s="2">
        <v>0</v>
      </c>
      <c r="K176" s="2">
        <v>17661</v>
      </c>
      <c r="L176" s="2">
        <v>10402</v>
      </c>
      <c r="M176" s="2">
        <v>1126</v>
      </c>
      <c r="N176" s="2">
        <v>199</v>
      </c>
      <c r="O176" s="2">
        <v>0</v>
      </c>
      <c r="P176" s="3">
        <f t="shared" si="4"/>
        <v>43541</v>
      </c>
      <c r="Q176" s="3">
        <v>12075</v>
      </c>
      <c r="R176" s="3">
        <v>22513</v>
      </c>
      <c r="S176" s="5">
        <f t="shared" si="5"/>
        <v>8953</v>
      </c>
    </row>
    <row r="177" spans="1:19" ht="18.75" customHeight="1">
      <c r="A177" s="4" t="s">
        <v>20</v>
      </c>
      <c r="B177" s="10">
        <v>45833</v>
      </c>
      <c r="C177" s="2">
        <v>1480</v>
      </c>
      <c r="D177" s="2">
        <v>1150</v>
      </c>
      <c r="E177" s="2">
        <v>0</v>
      </c>
      <c r="F177" s="2">
        <v>3228</v>
      </c>
      <c r="G177" s="2">
        <v>2301</v>
      </c>
      <c r="H177" s="2">
        <v>1080</v>
      </c>
      <c r="I177" s="2">
        <v>1652</v>
      </c>
      <c r="J177" s="2">
        <v>0</v>
      </c>
      <c r="K177" s="2">
        <v>17409</v>
      </c>
      <c r="L177" s="2">
        <v>14483</v>
      </c>
      <c r="M177" s="2">
        <v>702</v>
      </c>
      <c r="N177" s="2">
        <v>101</v>
      </c>
      <c r="O177" s="2">
        <v>0</v>
      </c>
      <c r="P177" s="3">
        <f t="shared" si="4"/>
        <v>43586</v>
      </c>
      <c r="Q177" s="3">
        <v>16208</v>
      </c>
      <c r="R177" s="3">
        <v>19331</v>
      </c>
      <c r="S177" s="5">
        <f t="shared" si="5"/>
        <v>8047</v>
      </c>
    </row>
    <row r="178" spans="1:19" ht="18.75" customHeight="1">
      <c r="A178" s="4" t="s">
        <v>21</v>
      </c>
      <c r="B178" s="10">
        <v>45834</v>
      </c>
      <c r="C178" s="2">
        <v>1135</v>
      </c>
      <c r="D178" s="2">
        <v>1735</v>
      </c>
      <c r="E178" s="2">
        <v>0</v>
      </c>
      <c r="F178" s="2">
        <v>2696</v>
      </c>
      <c r="G178" s="2">
        <v>2550</v>
      </c>
      <c r="H178" s="2">
        <v>1640</v>
      </c>
      <c r="I178" s="2">
        <v>1343</v>
      </c>
      <c r="J178" s="2">
        <v>0</v>
      </c>
      <c r="K178" s="2">
        <v>14793</v>
      </c>
      <c r="L178" s="2">
        <v>11782</v>
      </c>
      <c r="M178" s="2">
        <v>720</v>
      </c>
      <c r="N178" s="2">
        <v>280</v>
      </c>
      <c r="O178" s="2">
        <v>0</v>
      </c>
      <c r="P178" s="3">
        <f t="shared" si="4"/>
        <v>38674</v>
      </c>
      <c r="Q178" s="3">
        <v>10242</v>
      </c>
      <c r="R178" s="3">
        <v>27753</v>
      </c>
      <c r="S178" s="5">
        <f t="shared" si="5"/>
        <v>679</v>
      </c>
    </row>
    <row r="179" spans="1:19" ht="18.75" customHeight="1">
      <c r="A179" s="4" t="s">
        <v>22</v>
      </c>
      <c r="B179" s="10">
        <v>45835</v>
      </c>
      <c r="C179" s="2">
        <v>1735</v>
      </c>
      <c r="D179" s="2">
        <v>2065</v>
      </c>
      <c r="E179" s="2">
        <v>0</v>
      </c>
      <c r="F179" s="2">
        <v>4593</v>
      </c>
      <c r="G179" s="2">
        <v>3350</v>
      </c>
      <c r="H179" s="2">
        <v>1690</v>
      </c>
      <c r="I179" s="2">
        <v>1330</v>
      </c>
      <c r="J179" s="2">
        <v>0</v>
      </c>
      <c r="K179" s="2">
        <v>28027</v>
      </c>
      <c r="L179" s="2">
        <v>16282</v>
      </c>
      <c r="M179" s="2">
        <v>892</v>
      </c>
      <c r="N179" s="2">
        <v>0</v>
      </c>
      <c r="O179" s="2">
        <v>0</v>
      </c>
      <c r="P179" s="3">
        <f t="shared" si="4"/>
        <v>59964</v>
      </c>
      <c r="Q179" s="3">
        <v>13556</v>
      </c>
      <c r="R179" s="3">
        <v>33231</v>
      </c>
      <c r="S179" s="5">
        <f t="shared" si="5"/>
        <v>13177</v>
      </c>
    </row>
    <row r="180" spans="1:19" ht="18.75" customHeight="1">
      <c r="A180" s="4" t="s">
        <v>23</v>
      </c>
      <c r="B180" s="10">
        <v>45836</v>
      </c>
      <c r="C180" s="2">
        <v>2410</v>
      </c>
      <c r="D180" s="2">
        <v>2645</v>
      </c>
      <c r="E180" s="2">
        <v>0</v>
      </c>
      <c r="F180" s="2">
        <v>3404</v>
      </c>
      <c r="G180" s="2">
        <v>2660</v>
      </c>
      <c r="H180" s="2">
        <v>730</v>
      </c>
      <c r="I180" s="2">
        <v>1481</v>
      </c>
      <c r="J180" s="2">
        <v>0</v>
      </c>
      <c r="K180" s="2">
        <v>32110</v>
      </c>
      <c r="L180" s="2">
        <v>24961</v>
      </c>
      <c r="M180" s="2">
        <v>2542</v>
      </c>
      <c r="N180" s="2">
        <v>969</v>
      </c>
      <c r="O180" s="2">
        <v>0</v>
      </c>
      <c r="P180" s="3">
        <f t="shared" si="4"/>
        <v>73912</v>
      </c>
      <c r="Q180" s="3">
        <v>16570</v>
      </c>
      <c r="R180" s="3">
        <v>37113</v>
      </c>
      <c r="S180" s="5">
        <f t="shared" si="5"/>
        <v>20229</v>
      </c>
    </row>
    <row r="181" spans="1:19" ht="18.75" customHeight="1">
      <c r="A181" s="4" t="s">
        <v>17</v>
      </c>
      <c r="B181" s="10">
        <v>45837</v>
      </c>
      <c r="C181" s="2">
        <v>2805</v>
      </c>
      <c r="D181" s="2">
        <v>990</v>
      </c>
      <c r="E181" s="2">
        <v>0</v>
      </c>
      <c r="F181" s="2">
        <v>2340</v>
      </c>
      <c r="G181" s="2">
        <v>2974</v>
      </c>
      <c r="H181" s="2">
        <v>565</v>
      </c>
      <c r="I181" s="2">
        <v>1490</v>
      </c>
      <c r="J181" s="2">
        <v>0</v>
      </c>
      <c r="K181" s="2">
        <v>33927</v>
      </c>
      <c r="L181" s="2">
        <v>31429</v>
      </c>
      <c r="M181" s="2">
        <v>368</v>
      </c>
      <c r="N181" s="2">
        <v>846</v>
      </c>
      <c r="O181" s="2">
        <v>2981</v>
      </c>
      <c r="P181" s="3">
        <f t="shared" si="4"/>
        <v>80715</v>
      </c>
      <c r="Q181" s="3">
        <v>22782</v>
      </c>
      <c r="R181" s="3">
        <v>30106</v>
      </c>
      <c r="S181" s="5">
        <f t="shared" si="5"/>
        <v>27827</v>
      </c>
    </row>
    <row r="182" spans="1:19" ht="18.75" customHeight="1">
      <c r="A182" s="4" t="s">
        <v>18</v>
      </c>
      <c r="B182" s="10">
        <v>45838</v>
      </c>
      <c r="C182" s="2">
        <v>1325</v>
      </c>
      <c r="D182" s="2">
        <v>600</v>
      </c>
      <c r="E182" s="2">
        <v>0</v>
      </c>
      <c r="F182" s="2">
        <v>4807</v>
      </c>
      <c r="G182" s="2">
        <v>1250</v>
      </c>
      <c r="H182" s="2">
        <v>0</v>
      </c>
      <c r="I182" s="2">
        <v>2356</v>
      </c>
      <c r="J182" s="2">
        <v>0</v>
      </c>
      <c r="K182" s="2">
        <v>17641</v>
      </c>
      <c r="L182" s="2">
        <v>13167</v>
      </c>
      <c r="M182" s="2">
        <v>550</v>
      </c>
      <c r="N182" s="2">
        <v>892</v>
      </c>
      <c r="O182" s="2">
        <v>0</v>
      </c>
      <c r="P182" s="3">
        <f t="shared" si="4"/>
        <v>42588</v>
      </c>
      <c r="Q182" s="3">
        <v>11332</v>
      </c>
      <c r="R182" s="3">
        <v>30741</v>
      </c>
      <c r="S182" s="5">
        <f t="shared" si="5"/>
        <v>515</v>
      </c>
    </row>
    <row r="183" spans="1:19" ht="18.75" customHeight="1">
      <c r="A183" s="4" t="s">
        <v>19</v>
      </c>
      <c r="B183" s="10">
        <v>45839</v>
      </c>
      <c r="C183" s="2">
        <v>2790</v>
      </c>
      <c r="D183" s="2">
        <v>1515</v>
      </c>
      <c r="E183" s="2">
        <v>0</v>
      </c>
      <c r="F183" s="2">
        <v>3488</v>
      </c>
      <c r="G183" s="2">
        <v>2614</v>
      </c>
      <c r="H183" s="2">
        <v>1050</v>
      </c>
      <c r="I183" s="2">
        <v>1483</v>
      </c>
      <c r="J183" s="2">
        <v>0</v>
      </c>
      <c r="K183" s="2">
        <v>18924</v>
      </c>
      <c r="L183" s="2">
        <v>8308</v>
      </c>
      <c r="M183" s="2">
        <v>1249</v>
      </c>
      <c r="N183" s="2">
        <v>0</v>
      </c>
      <c r="O183" s="2">
        <v>0</v>
      </c>
      <c r="P183" s="3">
        <f t="shared" si="4"/>
        <v>41421</v>
      </c>
      <c r="Q183" s="3">
        <v>14980</v>
      </c>
      <c r="R183" s="3">
        <v>20027</v>
      </c>
      <c r="S183" s="5">
        <f t="shared" si="5"/>
        <v>6414</v>
      </c>
    </row>
    <row r="184" spans="1:19" ht="18.75" customHeight="1">
      <c r="A184" s="4" t="s">
        <v>20</v>
      </c>
      <c r="B184" s="10">
        <v>45840</v>
      </c>
      <c r="C184" s="2">
        <v>1600</v>
      </c>
      <c r="D184" s="2">
        <v>1725</v>
      </c>
      <c r="E184" s="2">
        <v>0</v>
      </c>
      <c r="F184" s="2">
        <v>3879</v>
      </c>
      <c r="G184" s="2">
        <v>3211.5</v>
      </c>
      <c r="H184" s="2">
        <v>1220</v>
      </c>
      <c r="I184" s="2">
        <v>2158</v>
      </c>
      <c r="J184" s="2">
        <v>0</v>
      </c>
      <c r="K184" s="2">
        <v>13550</v>
      </c>
      <c r="L184" s="2">
        <v>6419</v>
      </c>
      <c r="M184" s="2">
        <v>1394</v>
      </c>
      <c r="N184" s="2">
        <v>801</v>
      </c>
      <c r="O184" s="2">
        <v>0</v>
      </c>
      <c r="P184" s="3">
        <f t="shared" si="4"/>
        <v>35957.5</v>
      </c>
      <c r="Q184" s="3">
        <v>16254</v>
      </c>
      <c r="R184" s="3">
        <v>15825</v>
      </c>
      <c r="S184" s="5">
        <f t="shared" si="5"/>
        <v>3878.5</v>
      </c>
    </row>
    <row r="185" spans="1:19" ht="18.75" customHeight="1">
      <c r="A185" s="4" t="s">
        <v>21</v>
      </c>
      <c r="B185" s="10">
        <v>45841</v>
      </c>
      <c r="C185" s="2">
        <v>2165</v>
      </c>
      <c r="D185" s="2">
        <v>1740</v>
      </c>
      <c r="E185" s="2">
        <v>0</v>
      </c>
      <c r="F185" s="2">
        <v>4982</v>
      </c>
      <c r="G185" s="2">
        <v>1522</v>
      </c>
      <c r="H185" s="2">
        <v>996</v>
      </c>
      <c r="I185" s="2">
        <v>1800</v>
      </c>
      <c r="J185" s="2">
        <v>0</v>
      </c>
      <c r="K185" s="2">
        <v>21353</v>
      </c>
      <c r="L185" s="2">
        <v>3410</v>
      </c>
      <c r="M185" s="2">
        <v>1418</v>
      </c>
      <c r="N185" s="2">
        <v>184</v>
      </c>
      <c r="O185" s="2">
        <v>0</v>
      </c>
      <c r="P185" s="3">
        <f t="shared" si="4"/>
        <v>39570</v>
      </c>
      <c r="Q185" s="3">
        <v>10415</v>
      </c>
      <c r="R185" s="3">
        <v>16587</v>
      </c>
      <c r="S185" s="5">
        <f t="shared" si="5"/>
        <v>12568</v>
      </c>
    </row>
    <row r="186" spans="1:19" ht="18.75" customHeight="1">
      <c r="A186" s="4" t="s">
        <v>22</v>
      </c>
      <c r="B186" s="10">
        <v>45842</v>
      </c>
      <c r="C186" s="2">
        <v>3250</v>
      </c>
      <c r="D186" s="2">
        <v>1940</v>
      </c>
      <c r="E186" s="2" t="s">
        <v>56</v>
      </c>
      <c r="F186" s="2">
        <v>4978</v>
      </c>
      <c r="G186" s="2">
        <v>1214</v>
      </c>
      <c r="H186" s="2">
        <v>1525</v>
      </c>
      <c r="I186" s="2">
        <v>3669</v>
      </c>
      <c r="J186" s="2">
        <v>0</v>
      </c>
      <c r="K186" s="2">
        <v>21351</v>
      </c>
      <c r="L186" s="2">
        <v>11254</v>
      </c>
      <c r="M186" s="2">
        <v>840</v>
      </c>
      <c r="N186" s="2">
        <v>208</v>
      </c>
      <c r="O186" s="2">
        <v>0</v>
      </c>
      <c r="P186" s="3">
        <f t="shared" si="4"/>
        <v>50229</v>
      </c>
      <c r="Q186" s="3">
        <v>12720</v>
      </c>
      <c r="R186" s="3">
        <v>17960</v>
      </c>
      <c r="S186" s="5">
        <f t="shared" si="5"/>
        <v>19549</v>
      </c>
    </row>
    <row r="187" spans="1:19" ht="18.75" customHeight="1">
      <c r="A187" s="4" t="s">
        <v>23</v>
      </c>
      <c r="B187" s="10">
        <v>45843</v>
      </c>
      <c r="C187" s="2">
        <v>2310</v>
      </c>
      <c r="D187" s="2">
        <v>1555</v>
      </c>
      <c r="E187" s="2" t="s">
        <v>56</v>
      </c>
      <c r="F187" s="2">
        <v>4368</v>
      </c>
      <c r="G187" s="2">
        <v>1782</v>
      </c>
      <c r="H187" s="2">
        <v>1039</v>
      </c>
      <c r="I187" s="2">
        <v>1389</v>
      </c>
      <c r="J187" s="2">
        <v>0</v>
      </c>
      <c r="K187" s="2">
        <v>30761</v>
      </c>
      <c r="L187" s="2">
        <v>25904</v>
      </c>
      <c r="M187" s="2">
        <v>521</v>
      </c>
      <c r="N187" s="2">
        <v>543</v>
      </c>
      <c r="O187" s="2">
        <v>0</v>
      </c>
      <c r="P187" s="3">
        <f t="shared" si="4"/>
        <v>70172</v>
      </c>
      <c r="Q187" s="3">
        <v>12890</v>
      </c>
      <c r="R187" s="3">
        <v>29163</v>
      </c>
      <c r="S187" s="5">
        <f t="shared" si="5"/>
        <v>28119</v>
      </c>
    </row>
    <row r="188" spans="1:19" ht="18.75" customHeight="1">
      <c r="A188" s="4" t="s">
        <v>17</v>
      </c>
      <c r="B188" s="10">
        <v>45844</v>
      </c>
      <c r="C188" s="2">
        <v>2680</v>
      </c>
      <c r="D188" s="2">
        <v>810</v>
      </c>
      <c r="E188" s="2">
        <v>0</v>
      </c>
      <c r="F188" s="2">
        <v>4094</v>
      </c>
      <c r="G188" s="2">
        <v>1140</v>
      </c>
      <c r="H188" s="2">
        <v>510</v>
      </c>
      <c r="I188" s="2">
        <v>744</v>
      </c>
      <c r="J188" s="2">
        <v>0</v>
      </c>
      <c r="K188" s="2">
        <v>22360</v>
      </c>
      <c r="L188" s="2">
        <v>22934</v>
      </c>
      <c r="M188" s="2">
        <v>0</v>
      </c>
      <c r="N188" s="2">
        <v>1442</v>
      </c>
      <c r="O188" s="2">
        <v>1378</v>
      </c>
      <c r="P188" s="3">
        <f t="shared" si="4"/>
        <v>58092</v>
      </c>
      <c r="Q188" s="3">
        <v>24075</v>
      </c>
      <c r="R188" s="3">
        <v>23178</v>
      </c>
      <c r="S188" s="5">
        <f t="shared" si="5"/>
        <v>10839</v>
      </c>
    </row>
    <row r="189" spans="1:19" ht="18.75" customHeight="1">
      <c r="A189" s="4" t="s">
        <v>18</v>
      </c>
      <c r="B189" s="10">
        <v>45845</v>
      </c>
      <c r="C189" s="2">
        <v>1140</v>
      </c>
      <c r="D189" s="2">
        <v>1495</v>
      </c>
      <c r="E189" s="2">
        <v>0</v>
      </c>
      <c r="F189" s="2">
        <v>3497</v>
      </c>
      <c r="G189" s="2">
        <v>955</v>
      </c>
      <c r="H189" s="2">
        <v>480</v>
      </c>
      <c r="I189" s="2">
        <v>1865</v>
      </c>
      <c r="J189" s="2">
        <v>0</v>
      </c>
      <c r="K189" s="2">
        <v>17238</v>
      </c>
      <c r="L189" s="2">
        <v>7066</v>
      </c>
      <c r="M189" s="2">
        <v>6737</v>
      </c>
      <c r="N189" s="2">
        <v>514</v>
      </c>
      <c r="O189" s="2">
        <v>0</v>
      </c>
      <c r="P189" s="3">
        <f t="shared" si="4"/>
        <v>40987</v>
      </c>
      <c r="Q189" s="3">
        <v>14920</v>
      </c>
      <c r="R189" s="3">
        <v>22071</v>
      </c>
      <c r="S189" s="5">
        <f t="shared" si="5"/>
        <v>3996</v>
      </c>
    </row>
    <row r="190" spans="1:19" ht="18.75" customHeight="1">
      <c r="A190" s="4" t="s">
        <v>19</v>
      </c>
      <c r="B190" s="10">
        <v>45846</v>
      </c>
      <c r="C190" s="2">
        <v>1335</v>
      </c>
      <c r="D190" s="2">
        <v>1295</v>
      </c>
      <c r="E190" s="2">
        <v>0</v>
      </c>
      <c r="F190" s="2">
        <v>3922</v>
      </c>
      <c r="G190" s="2">
        <v>892</v>
      </c>
      <c r="H190" s="2">
        <v>740</v>
      </c>
      <c r="I190" s="2">
        <v>1189</v>
      </c>
      <c r="J190" s="2">
        <v>0</v>
      </c>
      <c r="K190" s="2">
        <v>17408</v>
      </c>
      <c r="L190" s="2">
        <v>12920</v>
      </c>
      <c r="M190" s="2">
        <v>1690</v>
      </c>
      <c r="N190" s="2">
        <v>625</v>
      </c>
      <c r="O190" s="2">
        <v>0</v>
      </c>
      <c r="P190" s="3">
        <f t="shared" si="4"/>
        <v>42016</v>
      </c>
      <c r="Q190" s="3">
        <v>10745</v>
      </c>
      <c r="R190" s="3">
        <v>15685</v>
      </c>
      <c r="S190" s="5">
        <f t="shared" si="5"/>
        <v>15586</v>
      </c>
    </row>
    <row r="191" spans="1:19" ht="18.75" customHeight="1">
      <c r="A191" s="4" t="s">
        <v>20</v>
      </c>
      <c r="B191" s="10">
        <v>45847</v>
      </c>
      <c r="C191" s="2">
        <v>2020</v>
      </c>
      <c r="D191" s="2">
        <v>1680</v>
      </c>
      <c r="E191" s="2">
        <v>0</v>
      </c>
      <c r="F191" s="2">
        <v>3291</v>
      </c>
      <c r="G191" s="2">
        <v>1354</v>
      </c>
      <c r="H191" s="2">
        <v>200</v>
      </c>
      <c r="I191" s="2">
        <v>2615</v>
      </c>
      <c r="J191" s="2">
        <v>0</v>
      </c>
      <c r="K191" s="2">
        <v>17353</v>
      </c>
      <c r="L191" s="2">
        <v>11323</v>
      </c>
      <c r="M191" s="2">
        <v>393</v>
      </c>
      <c r="N191" s="2">
        <v>0</v>
      </c>
      <c r="O191" s="2">
        <v>0</v>
      </c>
      <c r="P191" s="3">
        <f t="shared" si="4"/>
        <v>40229</v>
      </c>
      <c r="Q191" s="3">
        <v>14554</v>
      </c>
      <c r="R191" s="3">
        <v>22180</v>
      </c>
      <c r="S191" s="5">
        <f t="shared" si="5"/>
        <v>3495</v>
      </c>
    </row>
    <row r="192" spans="1:19" ht="18.75" customHeight="1">
      <c r="A192" s="4" t="s">
        <v>21</v>
      </c>
      <c r="B192" s="10">
        <v>45848</v>
      </c>
      <c r="C192" s="2">
        <v>1745</v>
      </c>
      <c r="D192" s="2">
        <v>985</v>
      </c>
      <c r="E192" s="2">
        <v>0</v>
      </c>
      <c r="F192" s="2">
        <v>3560</v>
      </c>
      <c r="G192" s="2">
        <v>2182</v>
      </c>
      <c r="H192" s="2">
        <v>915</v>
      </c>
      <c r="I192" s="2">
        <v>1682</v>
      </c>
      <c r="J192" s="2">
        <v>0</v>
      </c>
      <c r="K192" s="2">
        <v>15593</v>
      </c>
      <c r="L192" s="2">
        <v>14328</v>
      </c>
      <c r="M192" s="2">
        <v>2375</v>
      </c>
      <c r="N192" s="2">
        <v>237</v>
      </c>
      <c r="O192" s="2">
        <v>0</v>
      </c>
      <c r="P192" s="3">
        <f t="shared" si="4"/>
        <v>43602</v>
      </c>
      <c r="Q192" s="3">
        <v>10905</v>
      </c>
      <c r="R192" s="3">
        <v>32479</v>
      </c>
      <c r="S192" s="5">
        <f t="shared" si="5"/>
        <v>218</v>
      </c>
    </row>
    <row r="193" spans="1:19" ht="18.75" customHeight="1">
      <c r="A193" s="4" t="s">
        <v>22</v>
      </c>
      <c r="B193" s="10">
        <v>45849</v>
      </c>
      <c r="C193" s="2">
        <v>2530</v>
      </c>
      <c r="D193" s="2">
        <v>1963</v>
      </c>
      <c r="E193" s="2">
        <v>0</v>
      </c>
      <c r="F193" s="2">
        <v>4048</v>
      </c>
      <c r="G193" s="2">
        <v>1494</v>
      </c>
      <c r="H193" s="2">
        <v>1065</v>
      </c>
      <c r="I193" s="2">
        <v>2533</v>
      </c>
      <c r="J193" s="2">
        <v>0</v>
      </c>
      <c r="K193" s="2">
        <v>17163</v>
      </c>
      <c r="L193" s="2">
        <v>16252</v>
      </c>
      <c r="M193" s="2">
        <v>888</v>
      </c>
      <c r="N193" s="2">
        <v>265</v>
      </c>
      <c r="O193" s="2">
        <v>0</v>
      </c>
      <c r="P193" s="3">
        <f t="shared" si="4"/>
        <v>48201</v>
      </c>
      <c r="Q193" s="3">
        <v>13215</v>
      </c>
      <c r="R193" s="3">
        <v>32064</v>
      </c>
      <c r="S193" s="5">
        <f t="shared" si="5"/>
        <v>2922</v>
      </c>
    </row>
    <row r="194" spans="1:19" ht="18.75" customHeight="1">
      <c r="A194" s="4" t="s">
        <v>23</v>
      </c>
      <c r="B194" s="10">
        <v>45850</v>
      </c>
      <c r="C194" s="2">
        <v>1990</v>
      </c>
      <c r="D194" s="2">
        <v>0</v>
      </c>
      <c r="E194" s="2">
        <v>0</v>
      </c>
      <c r="F194" s="2">
        <v>3897</v>
      </c>
      <c r="G194" s="2">
        <v>1395</v>
      </c>
      <c r="H194" s="2">
        <v>1760</v>
      </c>
      <c r="I194" s="2">
        <v>1371</v>
      </c>
      <c r="J194" s="2">
        <v>0</v>
      </c>
      <c r="K194" s="2">
        <v>31953</v>
      </c>
      <c r="L194" s="2">
        <v>17140</v>
      </c>
      <c r="M194" s="2">
        <v>1109</v>
      </c>
      <c r="N194" s="2">
        <v>1654</v>
      </c>
      <c r="O194" s="2">
        <v>0</v>
      </c>
      <c r="P194" s="3">
        <f t="shared" si="4"/>
        <v>62269</v>
      </c>
      <c r="Q194" s="3">
        <v>15960</v>
      </c>
      <c r="R194" s="3">
        <v>31861</v>
      </c>
      <c r="S194" s="5">
        <f t="shared" si="5"/>
        <v>14448</v>
      </c>
    </row>
    <row r="195" spans="1:19" ht="18.75" customHeight="1">
      <c r="A195" s="4" t="s">
        <v>17</v>
      </c>
      <c r="B195" s="10">
        <v>45851</v>
      </c>
      <c r="C195" s="2">
        <v>1755</v>
      </c>
      <c r="D195" s="2">
        <v>1065</v>
      </c>
      <c r="E195" s="2">
        <v>0</v>
      </c>
      <c r="F195" s="2">
        <v>5070</v>
      </c>
      <c r="G195" s="2">
        <v>1443</v>
      </c>
      <c r="H195" s="2">
        <v>1370</v>
      </c>
      <c r="I195" s="2">
        <v>3171</v>
      </c>
      <c r="J195" s="2">
        <v>0</v>
      </c>
      <c r="K195" s="2">
        <v>30733</v>
      </c>
      <c r="L195" s="2">
        <v>28071</v>
      </c>
      <c r="M195" s="2">
        <v>3833</v>
      </c>
      <c r="N195" s="2">
        <v>560</v>
      </c>
      <c r="O195" s="2">
        <v>2925</v>
      </c>
      <c r="P195" s="3">
        <f t="shared" ref="P195:P258" si="6">SUM(C195:O195)</f>
        <v>79996</v>
      </c>
      <c r="Q195" s="3">
        <v>26515</v>
      </c>
      <c r="R195" s="3">
        <v>15777</v>
      </c>
      <c r="S195" s="5">
        <f t="shared" ref="S195:S258" si="7">P195-Q195-R195</f>
        <v>37704</v>
      </c>
    </row>
    <row r="196" spans="1:19" ht="18.75" customHeight="1">
      <c r="A196" s="4" t="s">
        <v>18</v>
      </c>
      <c r="B196" s="10">
        <v>45852</v>
      </c>
      <c r="C196" s="2">
        <v>1785</v>
      </c>
      <c r="D196" s="2">
        <v>2250</v>
      </c>
      <c r="E196" s="2">
        <v>0</v>
      </c>
      <c r="F196" s="2">
        <v>5047</v>
      </c>
      <c r="G196" s="2">
        <v>2147</v>
      </c>
      <c r="H196" s="2">
        <v>1235</v>
      </c>
      <c r="I196" s="2">
        <v>1923</v>
      </c>
      <c r="J196" s="2">
        <v>0</v>
      </c>
      <c r="K196" s="2">
        <v>21843</v>
      </c>
      <c r="L196" s="2">
        <v>16316</v>
      </c>
      <c r="M196" s="2">
        <v>1304</v>
      </c>
      <c r="N196" s="2">
        <v>716</v>
      </c>
      <c r="O196" s="2">
        <v>0</v>
      </c>
      <c r="P196" s="3">
        <f t="shared" si="6"/>
        <v>54566</v>
      </c>
      <c r="Q196" s="3">
        <v>12610</v>
      </c>
      <c r="R196" s="3">
        <v>29941</v>
      </c>
      <c r="S196" s="5">
        <f t="shared" si="7"/>
        <v>12015</v>
      </c>
    </row>
    <row r="197" spans="1:19" ht="18.75" customHeight="1">
      <c r="A197" s="4" t="s">
        <v>19</v>
      </c>
      <c r="B197" s="10">
        <v>45853</v>
      </c>
      <c r="C197" s="2">
        <v>1090</v>
      </c>
      <c r="D197" s="2">
        <v>1715</v>
      </c>
      <c r="E197" s="2">
        <v>0</v>
      </c>
      <c r="F197" s="2">
        <v>4295</v>
      </c>
      <c r="G197" s="2">
        <v>1642</v>
      </c>
      <c r="H197" s="2">
        <v>1150</v>
      </c>
      <c r="I197" s="2">
        <v>1463</v>
      </c>
      <c r="J197" s="2">
        <v>0</v>
      </c>
      <c r="K197" s="2">
        <v>20496</v>
      </c>
      <c r="L197" s="2">
        <v>22203</v>
      </c>
      <c r="M197" s="2">
        <v>687</v>
      </c>
      <c r="N197" s="2">
        <v>532</v>
      </c>
      <c r="O197" s="2">
        <v>0</v>
      </c>
      <c r="P197" s="3">
        <f t="shared" si="6"/>
        <v>55273</v>
      </c>
      <c r="Q197" s="3">
        <v>17956</v>
      </c>
      <c r="R197" s="3">
        <v>36374</v>
      </c>
      <c r="S197" s="5">
        <f t="shared" si="7"/>
        <v>943</v>
      </c>
    </row>
    <row r="198" spans="1:19" ht="18.75" customHeight="1">
      <c r="A198" s="4" t="s">
        <v>20</v>
      </c>
      <c r="B198" s="10">
        <v>45854</v>
      </c>
      <c r="C198" s="2">
        <v>2305</v>
      </c>
      <c r="D198" s="2">
        <v>1825</v>
      </c>
      <c r="E198" s="2">
        <v>0</v>
      </c>
      <c r="F198" s="2">
        <v>4621</v>
      </c>
      <c r="G198" s="2">
        <v>881</v>
      </c>
      <c r="H198" s="2">
        <v>742</v>
      </c>
      <c r="I198" s="2">
        <v>1794</v>
      </c>
      <c r="J198" s="2">
        <v>0</v>
      </c>
      <c r="K198" s="2">
        <v>16950</v>
      </c>
      <c r="L198" s="2">
        <v>13200</v>
      </c>
      <c r="M198" s="2">
        <v>1202</v>
      </c>
      <c r="N198" s="2">
        <v>0</v>
      </c>
      <c r="O198" s="2">
        <v>0</v>
      </c>
      <c r="P198" s="3">
        <f t="shared" si="6"/>
        <v>43520</v>
      </c>
      <c r="Q198" s="3">
        <v>15033</v>
      </c>
      <c r="R198" s="3">
        <v>17164</v>
      </c>
      <c r="S198" s="5">
        <f t="shared" si="7"/>
        <v>11323</v>
      </c>
    </row>
    <row r="199" spans="1:19" ht="18.75" customHeight="1">
      <c r="A199" s="4" t="s">
        <v>21</v>
      </c>
      <c r="B199" s="10">
        <v>45855</v>
      </c>
      <c r="C199" s="2">
        <v>1070</v>
      </c>
      <c r="D199" s="2">
        <v>1750</v>
      </c>
      <c r="E199" s="2">
        <v>0</v>
      </c>
      <c r="F199" s="2">
        <v>4658</v>
      </c>
      <c r="G199" s="2">
        <v>1064</v>
      </c>
      <c r="H199" s="2">
        <v>695</v>
      </c>
      <c r="I199" s="2">
        <v>2686</v>
      </c>
      <c r="J199" s="2">
        <v>0</v>
      </c>
      <c r="K199" s="2">
        <v>26999</v>
      </c>
      <c r="L199" s="2">
        <v>13266</v>
      </c>
      <c r="M199" s="2">
        <v>963</v>
      </c>
      <c r="N199" s="2">
        <v>421</v>
      </c>
      <c r="O199" s="2">
        <v>0</v>
      </c>
      <c r="P199" s="3">
        <f t="shared" si="6"/>
        <v>53572</v>
      </c>
      <c r="Q199" s="3">
        <v>11035</v>
      </c>
      <c r="R199" s="3">
        <v>26455</v>
      </c>
      <c r="S199" s="5">
        <f t="shared" si="7"/>
        <v>16082</v>
      </c>
    </row>
    <row r="200" spans="1:19" ht="18.75" customHeight="1">
      <c r="A200" s="4" t="s">
        <v>22</v>
      </c>
      <c r="B200" s="10">
        <v>45856</v>
      </c>
      <c r="C200" s="2">
        <v>1680</v>
      </c>
      <c r="D200" s="2">
        <v>2075</v>
      </c>
      <c r="E200" s="2">
        <v>0</v>
      </c>
      <c r="F200" s="2">
        <v>6563</v>
      </c>
      <c r="G200" s="2">
        <v>1751</v>
      </c>
      <c r="H200" s="2">
        <v>805</v>
      </c>
      <c r="I200" s="2">
        <v>3003</v>
      </c>
      <c r="J200" s="2">
        <v>0</v>
      </c>
      <c r="K200" s="2">
        <v>30751</v>
      </c>
      <c r="L200" s="2">
        <v>16647</v>
      </c>
      <c r="M200" s="2">
        <v>545</v>
      </c>
      <c r="N200" s="2">
        <v>474</v>
      </c>
      <c r="O200" s="2">
        <v>0</v>
      </c>
      <c r="P200" s="3">
        <f t="shared" si="6"/>
        <v>64294</v>
      </c>
      <c r="Q200" s="3">
        <v>11580</v>
      </c>
      <c r="R200" s="3">
        <v>29163</v>
      </c>
      <c r="S200" s="5">
        <f t="shared" si="7"/>
        <v>23551</v>
      </c>
    </row>
    <row r="201" spans="1:19" ht="18.75" customHeight="1">
      <c r="A201" s="4" t="s">
        <v>23</v>
      </c>
      <c r="B201" s="10">
        <v>45857</v>
      </c>
      <c r="C201" s="2">
        <v>2275</v>
      </c>
      <c r="D201" s="2">
        <v>1355</v>
      </c>
      <c r="E201" s="2">
        <v>0</v>
      </c>
      <c r="F201" s="2">
        <v>5112</v>
      </c>
      <c r="G201" s="2">
        <v>871</v>
      </c>
      <c r="H201" s="2">
        <v>1975</v>
      </c>
      <c r="I201" s="2">
        <v>1438</v>
      </c>
      <c r="J201" s="2">
        <v>0</v>
      </c>
      <c r="K201" s="2">
        <v>37170</v>
      </c>
      <c r="L201" s="2">
        <v>28896</v>
      </c>
      <c r="M201" s="2">
        <v>545</v>
      </c>
      <c r="N201" s="2">
        <v>0</v>
      </c>
      <c r="O201" s="2">
        <v>0</v>
      </c>
      <c r="P201" s="3">
        <f t="shared" si="6"/>
        <v>79637</v>
      </c>
      <c r="Q201" s="3">
        <v>17225</v>
      </c>
      <c r="R201" s="3">
        <v>31626</v>
      </c>
      <c r="S201" s="5">
        <f t="shared" si="7"/>
        <v>30786</v>
      </c>
    </row>
    <row r="202" spans="1:19" ht="18.75" customHeight="1">
      <c r="A202" s="4" t="s">
        <v>17</v>
      </c>
      <c r="B202" s="10">
        <v>45858</v>
      </c>
      <c r="C202" s="2">
        <v>3090</v>
      </c>
      <c r="D202" s="2">
        <v>2830</v>
      </c>
      <c r="E202" s="2">
        <v>0</v>
      </c>
      <c r="F202" s="2">
        <v>6335</v>
      </c>
      <c r="G202" s="2">
        <v>1377</v>
      </c>
      <c r="H202" s="2">
        <v>365</v>
      </c>
      <c r="I202" s="2">
        <v>1680</v>
      </c>
      <c r="J202" s="2">
        <v>0</v>
      </c>
      <c r="K202" s="2">
        <v>47876</v>
      </c>
      <c r="L202" s="2">
        <v>27591</v>
      </c>
      <c r="M202" s="2">
        <v>770</v>
      </c>
      <c r="N202" s="2">
        <v>146</v>
      </c>
      <c r="O202" s="2">
        <v>2727</v>
      </c>
      <c r="P202" s="3">
        <f t="shared" si="6"/>
        <v>94787</v>
      </c>
      <c r="Q202" s="3">
        <v>25050</v>
      </c>
      <c r="R202" s="3">
        <v>36130</v>
      </c>
      <c r="S202" s="5">
        <f t="shared" si="7"/>
        <v>33607</v>
      </c>
    </row>
    <row r="203" spans="1:19" ht="18.75" customHeight="1">
      <c r="A203" s="4" t="s">
        <v>18</v>
      </c>
      <c r="B203" s="10">
        <v>45859</v>
      </c>
      <c r="C203" s="2">
        <v>3210</v>
      </c>
      <c r="D203" s="2">
        <v>1940</v>
      </c>
      <c r="E203" s="2">
        <v>0</v>
      </c>
      <c r="F203" s="2">
        <v>6672</v>
      </c>
      <c r="G203" s="2">
        <v>683</v>
      </c>
      <c r="H203" s="2">
        <v>710</v>
      </c>
      <c r="I203" s="2">
        <v>3312</v>
      </c>
      <c r="J203" s="2">
        <v>0</v>
      </c>
      <c r="K203" s="2">
        <v>37018</v>
      </c>
      <c r="L203" s="2">
        <v>19328</v>
      </c>
      <c r="M203" s="2">
        <v>611</v>
      </c>
      <c r="N203" s="2">
        <v>794</v>
      </c>
      <c r="O203" s="2">
        <v>0</v>
      </c>
      <c r="P203" s="3">
        <f t="shared" si="6"/>
        <v>74278</v>
      </c>
      <c r="Q203" s="3">
        <v>12995</v>
      </c>
      <c r="R203" s="3">
        <v>33743</v>
      </c>
      <c r="S203" s="5">
        <f t="shared" si="7"/>
        <v>27540</v>
      </c>
    </row>
    <row r="204" spans="1:19" ht="18.75" customHeight="1">
      <c r="A204" s="4" t="s">
        <v>19</v>
      </c>
      <c r="B204" s="10">
        <v>45860</v>
      </c>
      <c r="C204" s="2">
        <v>1910</v>
      </c>
      <c r="D204" s="2">
        <v>3180</v>
      </c>
      <c r="E204" s="2">
        <v>0</v>
      </c>
      <c r="F204" s="2">
        <v>4763</v>
      </c>
      <c r="G204" s="2">
        <v>2035</v>
      </c>
      <c r="H204" s="2">
        <v>945</v>
      </c>
      <c r="I204" s="2">
        <v>2387</v>
      </c>
      <c r="J204" s="2">
        <v>0</v>
      </c>
      <c r="K204" s="2">
        <v>24873</v>
      </c>
      <c r="L204" s="2">
        <v>19676</v>
      </c>
      <c r="M204" s="2">
        <v>1129</v>
      </c>
      <c r="N204" s="2">
        <v>244</v>
      </c>
      <c r="O204" s="2">
        <v>0</v>
      </c>
      <c r="P204" s="3">
        <f t="shared" si="6"/>
        <v>61142</v>
      </c>
      <c r="Q204" s="3">
        <v>12925</v>
      </c>
      <c r="R204" s="3">
        <v>31625</v>
      </c>
      <c r="S204" s="5">
        <f t="shared" si="7"/>
        <v>16592</v>
      </c>
    </row>
    <row r="205" spans="1:19" ht="18.75" customHeight="1">
      <c r="A205" s="4" t="s">
        <v>20</v>
      </c>
      <c r="B205" s="10">
        <v>45861</v>
      </c>
      <c r="C205" s="2">
        <v>1615</v>
      </c>
      <c r="D205" s="2">
        <v>1644</v>
      </c>
      <c r="E205" s="2">
        <v>0</v>
      </c>
      <c r="F205" s="2">
        <v>6479</v>
      </c>
      <c r="G205" s="2">
        <v>3220</v>
      </c>
      <c r="H205" s="2">
        <v>555</v>
      </c>
      <c r="I205" s="2">
        <v>1850</v>
      </c>
      <c r="J205" s="2">
        <v>0</v>
      </c>
      <c r="K205" s="2">
        <v>25103</v>
      </c>
      <c r="L205" s="2">
        <v>22777</v>
      </c>
      <c r="M205" s="2">
        <v>1239</v>
      </c>
      <c r="N205" s="2">
        <v>395</v>
      </c>
      <c r="O205" s="2">
        <v>0</v>
      </c>
      <c r="P205" s="3">
        <f t="shared" si="6"/>
        <v>64877</v>
      </c>
      <c r="Q205" s="3">
        <v>18140</v>
      </c>
      <c r="R205" s="3">
        <v>29561</v>
      </c>
      <c r="S205" s="5">
        <f t="shared" si="7"/>
        <v>17176</v>
      </c>
    </row>
    <row r="206" spans="1:19" ht="18.75" customHeight="1">
      <c r="A206" s="4" t="s">
        <v>21</v>
      </c>
      <c r="B206" s="10">
        <v>45862</v>
      </c>
      <c r="C206" s="2">
        <v>2180</v>
      </c>
      <c r="D206" s="2">
        <v>2975</v>
      </c>
      <c r="E206" s="2">
        <v>0</v>
      </c>
      <c r="F206" s="2">
        <v>4155</v>
      </c>
      <c r="G206" s="2">
        <v>1142</v>
      </c>
      <c r="H206" s="2">
        <v>900</v>
      </c>
      <c r="I206" s="2">
        <v>1617</v>
      </c>
      <c r="J206" s="2">
        <v>0</v>
      </c>
      <c r="K206" s="2">
        <v>32456</v>
      </c>
      <c r="L206" s="2">
        <v>23568</v>
      </c>
      <c r="M206" s="2">
        <v>1370</v>
      </c>
      <c r="N206" s="2">
        <v>90</v>
      </c>
      <c r="O206" s="2">
        <v>0</v>
      </c>
      <c r="P206" s="3">
        <f t="shared" si="6"/>
        <v>70453</v>
      </c>
      <c r="Q206" s="3">
        <v>13475</v>
      </c>
      <c r="R206" s="3">
        <v>44449</v>
      </c>
      <c r="S206" s="5">
        <f t="shared" si="7"/>
        <v>12529</v>
      </c>
    </row>
    <row r="207" spans="1:19" ht="18.75" customHeight="1">
      <c r="A207" s="4" t="s">
        <v>22</v>
      </c>
      <c r="B207" s="10">
        <v>45863</v>
      </c>
      <c r="C207" s="2">
        <v>2365</v>
      </c>
      <c r="D207" s="2">
        <v>2050</v>
      </c>
      <c r="E207" s="2">
        <v>0</v>
      </c>
      <c r="F207" s="2">
        <v>5450</v>
      </c>
      <c r="G207" s="2">
        <v>2046</v>
      </c>
      <c r="H207" s="2">
        <v>1585</v>
      </c>
      <c r="I207" s="2">
        <v>1905</v>
      </c>
      <c r="J207" s="2">
        <v>0</v>
      </c>
      <c r="K207" s="2">
        <v>27954</v>
      </c>
      <c r="L207" s="2">
        <v>21582</v>
      </c>
      <c r="M207" s="2">
        <v>987</v>
      </c>
      <c r="N207" s="2">
        <v>868</v>
      </c>
      <c r="O207" s="2">
        <v>0</v>
      </c>
      <c r="P207" s="3">
        <f t="shared" si="6"/>
        <v>66792</v>
      </c>
      <c r="Q207" s="3">
        <v>21110</v>
      </c>
      <c r="R207" s="3">
        <v>29956</v>
      </c>
      <c r="S207" s="5">
        <f t="shared" si="7"/>
        <v>15726</v>
      </c>
    </row>
    <row r="208" spans="1:19" ht="18.75" customHeight="1">
      <c r="A208" s="4" t="s">
        <v>23</v>
      </c>
      <c r="B208" s="10">
        <v>45864</v>
      </c>
      <c r="C208" s="2">
        <v>3095</v>
      </c>
      <c r="D208" s="2">
        <v>2255</v>
      </c>
      <c r="E208" s="2">
        <v>0</v>
      </c>
      <c r="F208" s="2">
        <v>5708</v>
      </c>
      <c r="G208" s="2">
        <v>1646</v>
      </c>
      <c r="H208" s="2">
        <v>764</v>
      </c>
      <c r="I208" s="2">
        <v>1924</v>
      </c>
      <c r="J208" s="2">
        <v>0</v>
      </c>
      <c r="K208" s="2">
        <v>42901</v>
      </c>
      <c r="L208" s="2">
        <v>19329</v>
      </c>
      <c r="M208" s="2">
        <v>804</v>
      </c>
      <c r="N208" s="2">
        <v>810</v>
      </c>
      <c r="O208" s="2">
        <v>0</v>
      </c>
      <c r="P208" s="3">
        <f t="shared" si="6"/>
        <v>79236</v>
      </c>
      <c r="Q208" s="3">
        <v>17252</v>
      </c>
      <c r="R208" s="3">
        <v>39861</v>
      </c>
      <c r="S208" s="5">
        <f t="shared" si="7"/>
        <v>22123</v>
      </c>
    </row>
    <row r="209" spans="1:19" ht="18.75" customHeight="1">
      <c r="A209" s="4" t="s">
        <v>17</v>
      </c>
      <c r="B209" s="10">
        <v>45865</v>
      </c>
      <c r="C209" s="2">
        <v>1430</v>
      </c>
      <c r="D209" s="2">
        <v>1380</v>
      </c>
      <c r="E209" s="2">
        <v>0</v>
      </c>
      <c r="F209" s="2">
        <v>3398</v>
      </c>
      <c r="G209" s="2">
        <v>1760</v>
      </c>
      <c r="H209" s="2">
        <v>0</v>
      </c>
      <c r="I209" s="2">
        <v>1993</v>
      </c>
      <c r="J209" s="2">
        <v>0</v>
      </c>
      <c r="K209" s="2">
        <v>39147</v>
      </c>
      <c r="L209" s="2">
        <v>39390</v>
      </c>
      <c r="M209" s="2">
        <v>1591</v>
      </c>
      <c r="N209" s="2">
        <v>238</v>
      </c>
      <c r="O209" s="2">
        <v>3702</v>
      </c>
      <c r="P209" s="3">
        <f t="shared" si="6"/>
        <v>94029</v>
      </c>
      <c r="Q209" s="3">
        <v>28948</v>
      </c>
      <c r="R209" s="3">
        <v>37936</v>
      </c>
      <c r="S209" s="5">
        <f t="shared" si="7"/>
        <v>27145</v>
      </c>
    </row>
    <row r="210" spans="1:19" ht="18.75" customHeight="1">
      <c r="A210" s="4" t="s">
        <v>18</v>
      </c>
      <c r="B210" s="10">
        <v>45866</v>
      </c>
      <c r="C210" s="2">
        <v>2680</v>
      </c>
      <c r="D210" s="2">
        <v>2745</v>
      </c>
      <c r="E210" s="2">
        <v>0</v>
      </c>
      <c r="F210" s="2">
        <v>6727</v>
      </c>
      <c r="G210" s="2">
        <v>2154</v>
      </c>
      <c r="H210" s="2">
        <v>925</v>
      </c>
      <c r="I210" s="2">
        <v>2043</v>
      </c>
      <c r="J210" s="2">
        <v>0</v>
      </c>
      <c r="K210" s="2">
        <v>26131</v>
      </c>
      <c r="L210" s="2">
        <v>22768</v>
      </c>
      <c r="M210" s="2">
        <v>1270</v>
      </c>
      <c r="N210" s="2">
        <v>223</v>
      </c>
      <c r="O210" s="2">
        <v>0</v>
      </c>
      <c r="P210" s="3">
        <f t="shared" si="6"/>
        <v>67666</v>
      </c>
      <c r="Q210" s="3">
        <v>14235</v>
      </c>
      <c r="R210" s="3">
        <v>33290</v>
      </c>
      <c r="S210" s="5">
        <f t="shared" si="7"/>
        <v>20141</v>
      </c>
    </row>
    <row r="211" spans="1:19" ht="18.75" customHeight="1">
      <c r="A211" s="4" t="s">
        <v>19</v>
      </c>
      <c r="B211" s="10">
        <v>45867</v>
      </c>
      <c r="C211" s="2">
        <v>2065</v>
      </c>
      <c r="D211" s="2">
        <v>1930</v>
      </c>
      <c r="E211" s="2">
        <v>0</v>
      </c>
      <c r="F211" s="2">
        <v>5875</v>
      </c>
      <c r="G211" s="2">
        <v>1125</v>
      </c>
      <c r="H211" s="2">
        <v>885</v>
      </c>
      <c r="I211" s="2">
        <v>1758</v>
      </c>
      <c r="J211" s="2">
        <v>0</v>
      </c>
      <c r="K211" s="2">
        <v>25662</v>
      </c>
      <c r="L211" s="2">
        <v>15249</v>
      </c>
      <c r="M211" s="2">
        <v>280</v>
      </c>
      <c r="N211" s="2">
        <v>801</v>
      </c>
      <c r="O211" s="2">
        <v>0</v>
      </c>
      <c r="P211" s="3">
        <f t="shared" si="6"/>
        <v>55630</v>
      </c>
      <c r="Q211" s="3">
        <v>12305</v>
      </c>
      <c r="R211" s="3">
        <v>28566</v>
      </c>
      <c r="S211" s="5">
        <f t="shared" si="7"/>
        <v>14759</v>
      </c>
    </row>
    <row r="212" spans="1:19" ht="18.75" customHeight="1">
      <c r="A212" s="4" t="s">
        <v>20</v>
      </c>
      <c r="B212" s="10">
        <v>45868</v>
      </c>
      <c r="C212" s="2">
        <v>3070</v>
      </c>
      <c r="D212" s="2">
        <v>1815</v>
      </c>
      <c r="E212" s="2">
        <v>0</v>
      </c>
      <c r="F212" s="2">
        <v>6048</v>
      </c>
      <c r="G212" s="2">
        <v>522</v>
      </c>
      <c r="H212" s="2">
        <v>520</v>
      </c>
      <c r="I212" s="2">
        <v>1568</v>
      </c>
      <c r="J212" s="2">
        <v>0</v>
      </c>
      <c r="K212" s="2">
        <v>25029</v>
      </c>
      <c r="L212" s="2">
        <v>15254</v>
      </c>
      <c r="M212" s="2">
        <v>1699</v>
      </c>
      <c r="N212" s="2">
        <v>580</v>
      </c>
      <c r="O212" s="2">
        <v>0</v>
      </c>
      <c r="P212" s="3">
        <f t="shared" si="6"/>
        <v>56105</v>
      </c>
      <c r="Q212" s="3">
        <v>19343</v>
      </c>
      <c r="R212" s="3">
        <v>18024</v>
      </c>
      <c r="S212" s="5">
        <f t="shared" si="7"/>
        <v>18738</v>
      </c>
    </row>
    <row r="213" spans="1:19" ht="18.75" customHeight="1">
      <c r="A213" s="4" t="s">
        <v>21</v>
      </c>
      <c r="B213" s="10">
        <v>45869</v>
      </c>
      <c r="C213" s="2">
        <v>2095</v>
      </c>
      <c r="D213" s="2">
        <v>2936</v>
      </c>
      <c r="E213" s="2">
        <v>0</v>
      </c>
      <c r="F213" s="2">
        <v>3451</v>
      </c>
      <c r="G213" s="2">
        <v>1134</v>
      </c>
      <c r="H213" s="2">
        <v>830</v>
      </c>
      <c r="I213" s="2">
        <v>1700</v>
      </c>
      <c r="J213" s="2">
        <v>0</v>
      </c>
      <c r="K213" s="2">
        <v>28818</v>
      </c>
      <c r="L213" s="2">
        <v>25871</v>
      </c>
      <c r="M213" s="2">
        <v>1810</v>
      </c>
      <c r="N213" s="2">
        <v>1006</v>
      </c>
      <c r="O213" s="2">
        <v>0</v>
      </c>
      <c r="P213" s="3">
        <f t="shared" si="6"/>
        <v>69651</v>
      </c>
      <c r="Q213" s="3">
        <v>18285</v>
      </c>
      <c r="R213" s="3">
        <v>33581</v>
      </c>
      <c r="S213" s="5">
        <f t="shared" si="7"/>
        <v>17785</v>
      </c>
    </row>
    <row r="214" spans="1:19" ht="18.75" customHeight="1">
      <c r="A214" s="4" t="s">
        <v>22</v>
      </c>
      <c r="B214" s="10">
        <v>45870</v>
      </c>
      <c r="C214" s="2">
        <v>2290</v>
      </c>
      <c r="D214" s="2">
        <v>2430</v>
      </c>
      <c r="E214" s="2">
        <v>0</v>
      </c>
      <c r="F214" s="2">
        <v>5869</v>
      </c>
      <c r="G214" s="2">
        <v>1143</v>
      </c>
      <c r="H214" s="2">
        <v>1020</v>
      </c>
      <c r="I214" s="2">
        <v>2270</v>
      </c>
      <c r="J214" s="2">
        <v>0</v>
      </c>
      <c r="K214" s="2">
        <v>32419</v>
      </c>
      <c r="L214" s="2">
        <v>24197</v>
      </c>
      <c r="M214" s="2">
        <v>250</v>
      </c>
      <c r="N214" s="2">
        <v>623</v>
      </c>
      <c r="O214" s="2">
        <v>0</v>
      </c>
      <c r="P214" s="3">
        <f t="shared" si="6"/>
        <v>72511</v>
      </c>
      <c r="Q214" s="3">
        <v>13515</v>
      </c>
      <c r="R214" s="3">
        <v>31144</v>
      </c>
      <c r="S214" s="5">
        <f t="shared" si="7"/>
        <v>27852</v>
      </c>
    </row>
    <row r="215" spans="1:19" ht="18.75" customHeight="1">
      <c r="A215" s="4" t="s">
        <v>23</v>
      </c>
      <c r="B215" s="10">
        <v>45871</v>
      </c>
      <c r="C215" s="2">
        <v>1265</v>
      </c>
      <c r="D215" s="2">
        <v>2243</v>
      </c>
      <c r="E215" s="2">
        <v>0</v>
      </c>
      <c r="F215" s="2">
        <v>6102</v>
      </c>
      <c r="G215" s="2">
        <v>2172</v>
      </c>
      <c r="H215" s="2">
        <v>950</v>
      </c>
      <c r="I215" s="2">
        <v>1808</v>
      </c>
      <c r="J215" s="2">
        <v>0</v>
      </c>
      <c r="K215" s="2">
        <v>40814</v>
      </c>
      <c r="L215" s="2">
        <v>20492</v>
      </c>
      <c r="M215" s="2">
        <v>1100</v>
      </c>
      <c r="N215" s="2">
        <v>185</v>
      </c>
      <c r="O215" s="2">
        <v>0</v>
      </c>
      <c r="P215" s="3">
        <f t="shared" si="6"/>
        <v>77131</v>
      </c>
      <c r="Q215" s="3">
        <v>18425</v>
      </c>
      <c r="R215" s="3">
        <v>26523</v>
      </c>
      <c r="S215" s="5">
        <f t="shared" si="7"/>
        <v>32183</v>
      </c>
    </row>
    <row r="216" spans="1:19" ht="18.75" customHeight="1">
      <c r="A216" s="4" t="s">
        <v>17</v>
      </c>
      <c r="B216" s="10">
        <v>45872</v>
      </c>
      <c r="C216" s="2">
        <v>2990</v>
      </c>
      <c r="D216" s="2">
        <v>3400</v>
      </c>
      <c r="E216" s="2">
        <v>0</v>
      </c>
      <c r="F216" s="2">
        <v>8315</v>
      </c>
      <c r="G216" s="2">
        <v>1840</v>
      </c>
      <c r="H216" s="2">
        <v>815</v>
      </c>
      <c r="I216" s="2">
        <v>1055</v>
      </c>
      <c r="J216" s="2">
        <v>0</v>
      </c>
      <c r="K216" s="2">
        <v>41767</v>
      </c>
      <c r="L216" s="2">
        <v>27873</v>
      </c>
      <c r="M216" s="2">
        <v>1447</v>
      </c>
      <c r="N216" s="2">
        <v>304</v>
      </c>
      <c r="O216" s="2">
        <v>1321</v>
      </c>
      <c r="P216" s="3">
        <f t="shared" si="6"/>
        <v>91127</v>
      </c>
      <c r="Q216" s="3">
        <v>29420</v>
      </c>
      <c r="R216" s="3">
        <v>39558</v>
      </c>
      <c r="S216" s="5">
        <f t="shared" si="7"/>
        <v>22149</v>
      </c>
    </row>
    <row r="217" spans="1:19" ht="18.75" customHeight="1">
      <c r="A217" s="4" t="s">
        <v>18</v>
      </c>
      <c r="B217" s="10">
        <v>45873</v>
      </c>
      <c r="C217" s="2">
        <v>1555</v>
      </c>
      <c r="D217" s="2">
        <v>2610</v>
      </c>
      <c r="E217" s="2">
        <v>0</v>
      </c>
      <c r="F217" s="2">
        <v>8196</v>
      </c>
      <c r="G217" s="2">
        <v>1455</v>
      </c>
      <c r="H217" s="2">
        <v>700</v>
      </c>
      <c r="I217" s="2">
        <v>978</v>
      </c>
      <c r="J217" s="2">
        <v>0</v>
      </c>
      <c r="K217" s="2">
        <v>21929</v>
      </c>
      <c r="L217" s="2">
        <v>20618</v>
      </c>
      <c r="M217" s="2">
        <v>545</v>
      </c>
      <c r="N217" s="2">
        <v>447</v>
      </c>
      <c r="O217" s="2">
        <v>0</v>
      </c>
      <c r="P217" s="3">
        <f t="shared" si="6"/>
        <v>59033</v>
      </c>
      <c r="Q217" s="3">
        <v>11880</v>
      </c>
      <c r="R217" s="3">
        <v>40227</v>
      </c>
      <c r="S217" s="5">
        <f t="shared" si="7"/>
        <v>6926</v>
      </c>
    </row>
    <row r="218" spans="1:19" ht="18.75" customHeight="1">
      <c r="A218" s="4" t="s">
        <v>19</v>
      </c>
      <c r="B218" s="10">
        <v>45874</v>
      </c>
      <c r="C218" s="2">
        <v>1810</v>
      </c>
      <c r="D218" s="2">
        <v>1510</v>
      </c>
      <c r="E218" s="2">
        <v>0</v>
      </c>
      <c r="F218" s="2">
        <v>6031</v>
      </c>
      <c r="G218" s="2">
        <v>1810.5</v>
      </c>
      <c r="H218" s="2">
        <v>1440</v>
      </c>
      <c r="I218" s="2">
        <v>1800</v>
      </c>
      <c r="J218" s="2">
        <v>0</v>
      </c>
      <c r="K218" s="2">
        <v>27410</v>
      </c>
      <c r="L218" s="2">
        <v>13245</v>
      </c>
      <c r="M218" s="2">
        <v>55</v>
      </c>
      <c r="N218" s="2">
        <v>142</v>
      </c>
      <c r="O218" s="2">
        <v>0</v>
      </c>
      <c r="P218" s="3">
        <f t="shared" si="6"/>
        <v>55253.5</v>
      </c>
      <c r="Q218" s="3">
        <v>13884</v>
      </c>
      <c r="R218" s="3">
        <v>25818</v>
      </c>
      <c r="S218" s="5">
        <f t="shared" si="7"/>
        <v>15551.5</v>
      </c>
    </row>
    <row r="219" spans="1:19" ht="18.75" customHeight="1">
      <c r="A219" s="4" t="s">
        <v>20</v>
      </c>
      <c r="B219" s="10">
        <v>45875</v>
      </c>
      <c r="C219" s="2">
        <v>2335</v>
      </c>
      <c r="D219" s="2">
        <v>1675</v>
      </c>
      <c r="E219" s="2">
        <v>0</v>
      </c>
      <c r="F219" s="2">
        <v>4923</v>
      </c>
      <c r="G219" s="2">
        <v>2036</v>
      </c>
      <c r="H219" s="2">
        <v>800</v>
      </c>
      <c r="I219" s="2">
        <v>1351</v>
      </c>
      <c r="J219" s="2">
        <v>0</v>
      </c>
      <c r="K219" s="2">
        <v>28401</v>
      </c>
      <c r="L219" s="2">
        <v>13472</v>
      </c>
      <c r="M219" s="2">
        <v>295</v>
      </c>
      <c r="N219" s="2">
        <v>435</v>
      </c>
      <c r="O219" s="2">
        <v>0</v>
      </c>
      <c r="P219" s="3">
        <f t="shared" si="6"/>
        <v>55723</v>
      </c>
      <c r="Q219" s="3">
        <v>17772</v>
      </c>
      <c r="R219" s="3">
        <v>18827</v>
      </c>
      <c r="S219" s="5">
        <f t="shared" si="7"/>
        <v>19124</v>
      </c>
    </row>
    <row r="220" spans="1:19" ht="18.75" customHeight="1">
      <c r="A220" s="4" t="s">
        <v>21</v>
      </c>
      <c r="B220" s="10">
        <v>45876</v>
      </c>
      <c r="C220" s="2">
        <v>1590</v>
      </c>
      <c r="D220" s="2">
        <v>1595</v>
      </c>
      <c r="E220" s="2">
        <v>0</v>
      </c>
      <c r="F220" s="2">
        <v>5548</v>
      </c>
      <c r="G220" s="2">
        <v>2483</v>
      </c>
      <c r="H220" s="2">
        <v>930</v>
      </c>
      <c r="I220" s="2">
        <v>2408</v>
      </c>
      <c r="J220" s="2">
        <v>0</v>
      </c>
      <c r="K220" s="2">
        <v>21455</v>
      </c>
      <c r="L220" s="2">
        <v>15267</v>
      </c>
      <c r="M220" s="2">
        <v>867</v>
      </c>
      <c r="N220" s="2">
        <v>1050</v>
      </c>
      <c r="O220" s="2">
        <v>0</v>
      </c>
      <c r="P220" s="3">
        <f t="shared" si="6"/>
        <v>53193</v>
      </c>
      <c r="Q220" s="3">
        <v>11912</v>
      </c>
      <c r="R220" s="3">
        <v>30786</v>
      </c>
      <c r="S220" s="5">
        <f t="shared" si="7"/>
        <v>10495</v>
      </c>
    </row>
    <row r="221" spans="1:19" ht="18.75" customHeight="1">
      <c r="A221" s="4" t="s">
        <v>22</v>
      </c>
      <c r="B221" s="10">
        <v>45877</v>
      </c>
      <c r="C221" s="2">
        <v>1825</v>
      </c>
      <c r="D221" s="2">
        <v>1655</v>
      </c>
      <c r="E221" s="2">
        <v>0</v>
      </c>
      <c r="F221" s="2">
        <v>5120</v>
      </c>
      <c r="G221" s="2">
        <v>2096</v>
      </c>
      <c r="H221" s="2">
        <v>1535</v>
      </c>
      <c r="I221" s="2">
        <v>1210</v>
      </c>
      <c r="J221" s="2">
        <v>0</v>
      </c>
      <c r="K221" s="2">
        <v>28717</v>
      </c>
      <c r="L221" s="2">
        <v>23512</v>
      </c>
      <c r="M221" s="2">
        <v>1570</v>
      </c>
      <c r="N221" s="2">
        <v>943</v>
      </c>
      <c r="O221" s="2">
        <v>0</v>
      </c>
      <c r="P221" s="3">
        <f t="shared" si="6"/>
        <v>68183</v>
      </c>
      <c r="Q221" s="3">
        <v>14265</v>
      </c>
      <c r="R221" s="3">
        <v>29915</v>
      </c>
      <c r="S221" s="5">
        <f t="shared" si="7"/>
        <v>24003</v>
      </c>
    </row>
    <row r="222" spans="1:19" ht="18.75" customHeight="1">
      <c r="A222" s="4" t="s">
        <v>23</v>
      </c>
      <c r="B222" s="10">
        <v>45878</v>
      </c>
      <c r="C222" s="2">
        <v>2240</v>
      </c>
      <c r="D222" s="2">
        <v>1310</v>
      </c>
      <c r="E222" s="2">
        <v>0</v>
      </c>
      <c r="F222" s="2">
        <v>6452</v>
      </c>
      <c r="G222" s="2">
        <v>1280</v>
      </c>
      <c r="H222" s="2">
        <v>850</v>
      </c>
      <c r="I222" s="2">
        <v>2546</v>
      </c>
      <c r="J222" s="2">
        <v>0</v>
      </c>
      <c r="K222" s="2">
        <v>29074</v>
      </c>
      <c r="L222" s="2">
        <v>33443</v>
      </c>
      <c r="M222" s="2">
        <v>1258</v>
      </c>
      <c r="N222" s="2">
        <v>771</v>
      </c>
      <c r="O222" s="2">
        <v>0</v>
      </c>
      <c r="P222" s="3">
        <f t="shared" si="6"/>
        <v>79224</v>
      </c>
      <c r="Q222" s="3">
        <v>17450</v>
      </c>
      <c r="R222" s="3">
        <v>36558</v>
      </c>
      <c r="S222" s="5">
        <f t="shared" si="7"/>
        <v>25216</v>
      </c>
    </row>
    <row r="223" spans="1:19" ht="18.75" customHeight="1">
      <c r="A223" s="4" t="s">
        <v>17</v>
      </c>
      <c r="B223" s="10">
        <v>45879</v>
      </c>
      <c r="C223" s="2">
        <v>2740</v>
      </c>
      <c r="D223" s="2">
        <v>2365</v>
      </c>
      <c r="E223" s="2">
        <v>0</v>
      </c>
      <c r="F223" s="2">
        <v>6135</v>
      </c>
      <c r="G223" s="2">
        <v>2270</v>
      </c>
      <c r="H223" s="2">
        <v>835</v>
      </c>
      <c r="I223" s="2">
        <v>3138</v>
      </c>
      <c r="J223" s="2">
        <v>0</v>
      </c>
      <c r="K223" s="2">
        <v>39625</v>
      </c>
      <c r="L223" s="2">
        <v>31256</v>
      </c>
      <c r="M223" s="2">
        <v>1150</v>
      </c>
      <c r="N223" s="2">
        <v>828</v>
      </c>
      <c r="O223" s="2">
        <v>1056</v>
      </c>
      <c r="P223" s="3">
        <f t="shared" si="6"/>
        <v>91398</v>
      </c>
      <c r="Q223" s="3">
        <v>31260</v>
      </c>
      <c r="R223" s="3">
        <v>21615</v>
      </c>
      <c r="S223" s="5">
        <f t="shared" si="7"/>
        <v>38523</v>
      </c>
    </row>
    <row r="224" spans="1:19" ht="18.75" customHeight="1">
      <c r="A224" s="4" t="s">
        <v>18</v>
      </c>
      <c r="B224" s="10">
        <v>45880</v>
      </c>
      <c r="C224" s="2">
        <v>1730</v>
      </c>
      <c r="D224" s="2">
        <v>2615</v>
      </c>
      <c r="E224" s="2">
        <v>0</v>
      </c>
      <c r="F224" s="2">
        <v>7638</v>
      </c>
      <c r="G224" s="2">
        <v>2062</v>
      </c>
      <c r="H224" s="2">
        <v>1120</v>
      </c>
      <c r="I224" s="2">
        <v>2499</v>
      </c>
      <c r="J224" s="2">
        <v>0</v>
      </c>
      <c r="K224" s="2">
        <v>21695</v>
      </c>
      <c r="L224" s="2">
        <v>22605</v>
      </c>
      <c r="M224" s="2">
        <v>770</v>
      </c>
      <c r="N224" s="2">
        <v>813</v>
      </c>
      <c r="O224" s="2">
        <v>0</v>
      </c>
      <c r="P224" s="3">
        <f t="shared" si="6"/>
        <v>63547</v>
      </c>
      <c r="Q224" s="3">
        <v>15195</v>
      </c>
      <c r="R224" s="3">
        <v>34652</v>
      </c>
      <c r="S224" s="5">
        <f t="shared" si="7"/>
        <v>13700</v>
      </c>
    </row>
    <row r="225" spans="1:19" ht="18.75" customHeight="1">
      <c r="A225" s="4" t="s">
        <v>19</v>
      </c>
      <c r="B225" s="10">
        <v>45881</v>
      </c>
      <c r="C225" s="2">
        <v>2260</v>
      </c>
      <c r="D225" s="2">
        <v>2800</v>
      </c>
      <c r="E225" s="2">
        <v>0</v>
      </c>
      <c r="F225" s="2">
        <v>5688</v>
      </c>
      <c r="G225" s="2">
        <v>1228</v>
      </c>
      <c r="H225" s="2">
        <v>545</v>
      </c>
      <c r="I225" s="2">
        <v>1075</v>
      </c>
      <c r="J225" s="2">
        <v>0</v>
      </c>
      <c r="K225" s="2">
        <v>20191</v>
      </c>
      <c r="L225" s="2">
        <v>19730</v>
      </c>
      <c r="M225" s="2">
        <v>1283</v>
      </c>
      <c r="N225" s="2">
        <v>913</v>
      </c>
      <c r="O225" s="2">
        <v>0</v>
      </c>
      <c r="P225" s="3">
        <f t="shared" si="6"/>
        <v>55713</v>
      </c>
      <c r="Q225" s="3">
        <v>11450</v>
      </c>
      <c r="R225" s="3">
        <v>26011</v>
      </c>
      <c r="S225" s="5">
        <f t="shared" si="7"/>
        <v>18252</v>
      </c>
    </row>
    <row r="226" spans="1:19" ht="18.75" customHeight="1">
      <c r="A226" s="4" t="s">
        <v>20</v>
      </c>
      <c r="B226" s="10">
        <v>45882</v>
      </c>
      <c r="C226" s="2">
        <v>1515</v>
      </c>
      <c r="D226" s="2">
        <v>1180</v>
      </c>
      <c r="E226" s="2">
        <v>0</v>
      </c>
      <c r="F226" s="2">
        <v>3996</v>
      </c>
      <c r="G226" s="2">
        <v>1206</v>
      </c>
      <c r="H226" s="2">
        <v>1640</v>
      </c>
      <c r="I226" s="2">
        <v>2611</v>
      </c>
      <c r="J226" s="2">
        <v>0</v>
      </c>
      <c r="K226" s="2">
        <v>26595</v>
      </c>
      <c r="L226" s="2">
        <v>13065</v>
      </c>
      <c r="M226" s="2">
        <v>494</v>
      </c>
      <c r="N226" s="2">
        <v>957</v>
      </c>
      <c r="O226" s="2">
        <v>0</v>
      </c>
      <c r="P226" s="3">
        <f t="shared" si="6"/>
        <v>53259</v>
      </c>
      <c r="Q226" s="3">
        <v>11660</v>
      </c>
      <c r="R226" s="3">
        <v>20357</v>
      </c>
      <c r="S226" s="5">
        <f t="shared" si="7"/>
        <v>21242</v>
      </c>
    </row>
    <row r="227" spans="1:19" ht="18.75" customHeight="1">
      <c r="A227" s="4" t="s">
        <v>21</v>
      </c>
      <c r="B227" s="10">
        <v>45883</v>
      </c>
      <c r="C227" s="2">
        <v>2535</v>
      </c>
      <c r="D227" s="2">
        <v>2265</v>
      </c>
      <c r="E227" s="2">
        <v>0</v>
      </c>
      <c r="F227" s="2">
        <v>6196</v>
      </c>
      <c r="G227" s="2">
        <v>1630</v>
      </c>
      <c r="H227" s="2">
        <v>1075</v>
      </c>
      <c r="I227" s="2">
        <v>1185</v>
      </c>
      <c r="J227" s="2">
        <v>0</v>
      </c>
      <c r="K227" s="2">
        <v>31658</v>
      </c>
      <c r="L227" s="2">
        <v>17359</v>
      </c>
      <c r="M227" s="2">
        <v>632</v>
      </c>
      <c r="N227" s="2">
        <v>360</v>
      </c>
      <c r="O227" s="2">
        <v>0</v>
      </c>
      <c r="P227" s="3">
        <f t="shared" si="6"/>
        <v>64895</v>
      </c>
      <c r="Q227" s="3">
        <v>11805</v>
      </c>
      <c r="R227" s="3">
        <v>19282</v>
      </c>
      <c r="S227" s="5">
        <f t="shared" si="7"/>
        <v>33808</v>
      </c>
    </row>
    <row r="228" spans="1:19" ht="18.75" customHeight="1">
      <c r="A228" s="4" t="s">
        <v>22</v>
      </c>
      <c r="B228" s="10">
        <v>45884</v>
      </c>
      <c r="C228" s="2">
        <v>3130</v>
      </c>
      <c r="D228" s="2">
        <v>2010</v>
      </c>
      <c r="E228" s="2">
        <v>0</v>
      </c>
      <c r="F228" s="2">
        <v>5455</v>
      </c>
      <c r="G228" s="2">
        <v>3700</v>
      </c>
      <c r="H228" s="2">
        <v>1690</v>
      </c>
      <c r="I228" s="2">
        <v>1848</v>
      </c>
      <c r="J228" s="2">
        <v>0</v>
      </c>
      <c r="K228" s="2">
        <v>29015</v>
      </c>
      <c r="L228" s="2">
        <v>17180</v>
      </c>
      <c r="M228" s="2">
        <v>1005</v>
      </c>
      <c r="N228" s="2">
        <v>762</v>
      </c>
      <c r="O228" s="2">
        <v>0</v>
      </c>
      <c r="P228" s="3">
        <f t="shared" si="6"/>
        <v>65795</v>
      </c>
      <c r="Q228" s="3">
        <v>19580</v>
      </c>
      <c r="R228" s="3">
        <v>38774</v>
      </c>
      <c r="S228" s="5">
        <f t="shared" si="7"/>
        <v>7441</v>
      </c>
    </row>
    <row r="229" spans="1:19" ht="18.75" customHeight="1">
      <c r="A229" s="4" t="s">
        <v>23</v>
      </c>
      <c r="B229" s="10">
        <v>45885</v>
      </c>
      <c r="C229" s="2">
        <v>3495</v>
      </c>
      <c r="D229" s="2">
        <v>2395</v>
      </c>
      <c r="E229" s="2">
        <v>0</v>
      </c>
      <c r="F229" s="2">
        <v>6085</v>
      </c>
      <c r="G229" s="2">
        <v>3079</v>
      </c>
      <c r="H229" s="2">
        <v>895</v>
      </c>
      <c r="I229" s="2">
        <v>1431</v>
      </c>
      <c r="J229" s="2">
        <v>0</v>
      </c>
      <c r="K229" s="2">
        <v>43205</v>
      </c>
      <c r="L229" s="2">
        <v>35403</v>
      </c>
      <c r="M229" s="2">
        <v>563</v>
      </c>
      <c r="N229" s="2">
        <v>248</v>
      </c>
      <c r="O229" s="2">
        <v>0</v>
      </c>
      <c r="P229" s="3">
        <f t="shared" si="6"/>
        <v>96799</v>
      </c>
      <c r="Q229" s="3">
        <v>28198</v>
      </c>
      <c r="R229" s="3">
        <v>39183</v>
      </c>
      <c r="S229" s="5">
        <f t="shared" si="7"/>
        <v>29418</v>
      </c>
    </row>
    <row r="230" spans="1:19" ht="18.75" customHeight="1">
      <c r="A230" s="4" t="s">
        <v>17</v>
      </c>
      <c r="B230" s="10">
        <v>45886</v>
      </c>
      <c r="C230" s="2">
        <v>3075</v>
      </c>
      <c r="D230" s="2">
        <v>4245</v>
      </c>
      <c r="E230" s="2">
        <v>0</v>
      </c>
      <c r="F230" s="2">
        <v>6950</v>
      </c>
      <c r="G230" s="2">
        <v>2330</v>
      </c>
      <c r="H230" s="2">
        <v>0</v>
      </c>
      <c r="I230" s="2">
        <v>1983</v>
      </c>
      <c r="J230" s="2">
        <v>0</v>
      </c>
      <c r="K230" s="2">
        <v>41174</v>
      </c>
      <c r="L230" s="2">
        <v>27824</v>
      </c>
      <c r="M230" s="2">
        <v>842</v>
      </c>
      <c r="N230" s="2">
        <v>600</v>
      </c>
      <c r="O230" s="2">
        <v>1933</v>
      </c>
      <c r="P230" s="3">
        <f t="shared" si="6"/>
        <v>90956</v>
      </c>
      <c r="Q230" s="3">
        <v>31145</v>
      </c>
      <c r="R230" s="3">
        <v>24689</v>
      </c>
      <c r="S230" s="5">
        <f t="shared" si="7"/>
        <v>35122</v>
      </c>
    </row>
    <row r="231" spans="1:19" ht="18.75" customHeight="1">
      <c r="A231" s="4" t="s">
        <v>18</v>
      </c>
      <c r="B231" s="10">
        <v>45887</v>
      </c>
      <c r="C231" s="2">
        <v>1705</v>
      </c>
      <c r="D231" s="2">
        <v>2545</v>
      </c>
      <c r="E231" s="2">
        <v>0</v>
      </c>
      <c r="F231" s="2">
        <v>6206</v>
      </c>
      <c r="G231" s="2">
        <v>1655</v>
      </c>
      <c r="H231" s="2">
        <v>1320</v>
      </c>
      <c r="I231" s="2">
        <v>1456</v>
      </c>
      <c r="J231" s="2">
        <v>0</v>
      </c>
      <c r="K231" s="2">
        <v>25177</v>
      </c>
      <c r="L231" s="2">
        <v>18862</v>
      </c>
      <c r="M231" s="2">
        <v>1090</v>
      </c>
      <c r="N231" s="2">
        <v>679</v>
      </c>
      <c r="O231" s="2">
        <v>0</v>
      </c>
      <c r="P231" s="3">
        <f t="shared" si="6"/>
        <v>60695</v>
      </c>
      <c r="Q231" s="3">
        <v>15199</v>
      </c>
      <c r="R231" s="3">
        <v>39679</v>
      </c>
      <c r="S231" s="5">
        <f t="shared" si="7"/>
        <v>5817</v>
      </c>
    </row>
    <row r="232" spans="1:19" ht="18.75" customHeight="1">
      <c r="A232" s="4" t="s">
        <v>19</v>
      </c>
      <c r="B232" s="10">
        <v>45888</v>
      </c>
      <c r="C232" s="2">
        <v>3355</v>
      </c>
      <c r="D232" s="2">
        <v>1080</v>
      </c>
      <c r="E232" s="2">
        <v>0</v>
      </c>
      <c r="F232" s="2">
        <v>5015</v>
      </c>
      <c r="G232" s="2">
        <v>1704</v>
      </c>
      <c r="H232" s="2">
        <v>1016</v>
      </c>
      <c r="I232" s="2">
        <v>1231</v>
      </c>
      <c r="J232" s="2">
        <v>0</v>
      </c>
      <c r="K232" s="2">
        <v>28609</v>
      </c>
      <c r="L232" s="2">
        <v>18430</v>
      </c>
      <c r="M232" s="2">
        <v>680</v>
      </c>
      <c r="N232" s="2">
        <v>1370</v>
      </c>
      <c r="O232" s="2">
        <v>0</v>
      </c>
      <c r="P232" s="3">
        <f t="shared" si="6"/>
        <v>62490</v>
      </c>
      <c r="Q232" s="3">
        <v>10905</v>
      </c>
      <c r="R232" s="3">
        <v>20962</v>
      </c>
      <c r="S232" s="5">
        <f t="shared" si="7"/>
        <v>30623</v>
      </c>
    </row>
    <row r="233" spans="1:19" ht="18.75" customHeight="1">
      <c r="A233" s="4" t="s">
        <v>20</v>
      </c>
      <c r="B233" s="10">
        <v>45889</v>
      </c>
      <c r="C233" s="2">
        <v>1255</v>
      </c>
      <c r="D233" s="2">
        <v>1445</v>
      </c>
      <c r="E233" s="2">
        <v>0</v>
      </c>
      <c r="F233" s="2">
        <v>3442</v>
      </c>
      <c r="G233" s="2">
        <v>2551</v>
      </c>
      <c r="H233" s="2">
        <v>1255</v>
      </c>
      <c r="I233" s="2">
        <v>940</v>
      </c>
      <c r="J233" s="2">
        <v>0</v>
      </c>
      <c r="K233" s="2">
        <v>25925</v>
      </c>
      <c r="L233" s="2">
        <v>20593</v>
      </c>
      <c r="M233" s="2">
        <v>320</v>
      </c>
      <c r="N233" s="2">
        <v>0</v>
      </c>
      <c r="O233" s="2">
        <v>0</v>
      </c>
      <c r="P233" s="3">
        <f t="shared" si="6"/>
        <v>57726</v>
      </c>
      <c r="Q233" s="3">
        <v>10515</v>
      </c>
      <c r="R233" s="3">
        <v>25199</v>
      </c>
      <c r="S233" s="5">
        <f t="shared" si="7"/>
        <v>22012</v>
      </c>
    </row>
    <row r="234" spans="1:19" ht="18.75" customHeight="1">
      <c r="A234" s="4" t="s">
        <v>21</v>
      </c>
      <c r="B234" s="10">
        <v>45890</v>
      </c>
      <c r="C234" s="2">
        <v>2500</v>
      </c>
      <c r="D234" s="2">
        <v>1740</v>
      </c>
      <c r="E234" s="2">
        <v>0</v>
      </c>
      <c r="F234" s="2">
        <v>5872</v>
      </c>
      <c r="G234" s="2">
        <v>2340</v>
      </c>
      <c r="H234" s="2">
        <v>0</v>
      </c>
      <c r="I234" s="2">
        <v>850</v>
      </c>
      <c r="J234" s="2">
        <v>0</v>
      </c>
      <c r="K234" s="2">
        <v>21057</v>
      </c>
      <c r="L234" s="2">
        <v>16566</v>
      </c>
      <c r="M234" s="2">
        <v>1196</v>
      </c>
      <c r="N234" s="2">
        <v>765</v>
      </c>
      <c r="O234" s="2">
        <v>0</v>
      </c>
      <c r="P234" s="3">
        <f t="shared" si="6"/>
        <v>52886</v>
      </c>
      <c r="Q234" s="3">
        <v>11165</v>
      </c>
      <c r="R234" s="3">
        <v>39278</v>
      </c>
      <c r="S234" s="5">
        <f t="shared" si="7"/>
        <v>2443</v>
      </c>
    </row>
    <row r="235" spans="1:19" ht="18.75" customHeight="1">
      <c r="A235" s="4" t="s">
        <v>22</v>
      </c>
      <c r="B235" s="10">
        <v>45891</v>
      </c>
      <c r="C235" s="2">
        <v>2630</v>
      </c>
      <c r="D235" s="2">
        <v>1715</v>
      </c>
      <c r="E235" s="2">
        <v>0</v>
      </c>
      <c r="F235" s="2">
        <v>6240</v>
      </c>
      <c r="G235" s="2">
        <v>3192</v>
      </c>
      <c r="H235" s="2">
        <v>960</v>
      </c>
      <c r="I235" s="2">
        <v>1319</v>
      </c>
      <c r="J235" s="2">
        <v>0</v>
      </c>
      <c r="K235" s="2">
        <v>29610</v>
      </c>
      <c r="L235" s="2">
        <v>27799</v>
      </c>
      <c r="M235" s="2">
        <v>1125</v>
      </c>
      <c r="N235" s="2">
        <v>561</v>
      </c>
      <c r="O235" s="2">
        <v>0</v>
      </c>
      <c r="P235" s="3">
        <f t="shared" si="6"/>
        <v>75151</v>
      </c>
      <c r="Q235" s="3">
        <v>12745</v>
      </c>
      <c r="R235" s="3">
        <v>21109</v>
      </c>
      <c r="S235" s="5">
        <f t="shared" si="7"/>
        <v>41297</v>
      </c>
    </row>
    <row r="236" spans="1:19" ht="18.75" customHeight="1">
      <c r="A236" s="4" t="s">
        <v>23</v>
      </c>
      <c r="B236" s="10">
        <v>45892</v>
      </c>
      <c r="C236" s="2">
        <v>2355</v>
      </c>
      <c r="D236" s="2">
        <v>2525</v>
      </c>
      <c r="E236" s="2">
        <v>0</v>
      </c>
      <c r="F236" s="2">
        <v>4061.5</v>
      </c>
      <c r="G236" s="2">
        <v>1928</v>
      </c>
      <c r="H236" s="2">
        <v>0</v>
      </c>
      <c r="I236" s="2">
        <v>1885</v>
      </c>
      <c r="J236" s="2">
        <v>0</v>
      </c>
      <c r="K236" s="2">
        <v>32886</v>
      </c>
      <c r="L236" s="2">
        <v>25177</v>
      </c>
      <c r="M236" s="2">
        <v>1520</v>
      </c>
      <c r="N236" s="2">
        <v>1067</v>
      </c>
      <c r="O236" s="2">
        <v>0</v>
      </c>
      <c r="P236" s="3">
        <f t="shared" si="6"/>
        <v>73404.5</v>
      </c>
      <c r="Q236" s="3">
        <v>15995</v>
      </c>
      <c r="R236" s="3">
        <v>42203</v>
      </c>
      <c r="S236" s="5">
        <f t="shared" si="7"/>
        <v>15206.5</v>
      </c>
    </row>
    <row r="237" spans="1:19" ht="18.75" customHeight="1">
      <c r="A237" s="4" t="s">
        <v>17</v>
      </c>
      <c r="B237" s="10">
        <v>45893</v>
      </c>
      <c r="C237" s="2">
        <v>2845</v>
      </c>
      <c r="D237" s="2">
        <v>1650</v>
      </c>
      <c r="E237" s="2">
        <v>0</v>
      </c>
      <c r="F237" s="2">
        <v>5851</v>
      </c>
      <c r="G237" s="2">
        <v>1886</v>
      </c>
      <c r="H237" s="2">
        <v>870</v>
      </c>
      <c r="I237" s="2">
        <v>2441</v>
      </c>
      <c r="J237" s="2">
        <v>0</v>
      </c>
      <c r="K237" s="2">
        <v>38291</v>
      </c>
      <c r="L237" s="2">
        <v>22525</v>
      </c>
      <c r="M237" s="2">
        <v>470</v>
      </c>
      <c r="N237" s="2">
        <v>440</v>
      </c>
      <c r="O237" s="2">
        <v>523</v>
      </c>
      <c r="P237" s="3">
        <f t="shared" si="6"/>
        <v>77792</v>
      </c>
      <c r="Q237" s="3">
        <v>25485</v>
      </c>
      <c r="R237" s="3">
        <v>28965</v>
      </c>
      <c r="S237" s="5">
        <f t="shared" si="7"/>
        <v>23342</v>
      </c>
    </row>
    <row r="238" spans="1:19" ht="18.75" customHeight="1">
      <c r="A238" s="4" t="s">
        <v>18</v>
      </c>
      <c r="B238" s="10">
        <v>45894</v>
      </c>
      <c r="C238" s="2">
        <v>2815</v>
      </c>
      <c r="D238" s="2">
        <v>1995</v>
      </c>
      <c r="E238" s="2">
        <v>0</v>
      </c>
      <c r="F238" s="2">
        <v>7116</v>
      </c>
      <c r="G238" s="2">
        <v>1501</v>
      </c>
      <c r="H238" s="2">
        <v>665</v>
      </c>
      <c r="I238" s="2">
        <v>1709</v>
      </c>
      <c r="J238" s="2">
        <v>0</v>
      </c>
      <c r="K238" s="2">
        <v>23665</v>
      </c>
      <c r="L238" s="2">
        <v>13575</v>
      </c>
      <c r="M238" s="2">
        <v>1011</v>
      </c>
      <c r="N238" s="2">
        <v>90</v>
      </c>
      <c r="O238" s="2">
        <v>0</v>
      </c>
      <c r="P238" s="3">
        <f t="shared" si="6"/>
        <v>54142</v>
      </c>
      <c r="Q238" s="3">
        <v>11677</v>
      </c>
      <c r="R238" s="3">
        <v>34509</v>
      </c>
      <c r="S238" s="5">
        <f t="shared" si="7"/>
        <v>7956</v>
      </c>
    </row>
    <row r="239" spans="1:19" ht="18.75" customHeight="1">
      <c r="A239" s="4" t="s">
        <v>19</v>
      </c>
      <c r="B239" s="10">
        <v>45895</v>
      </c>
      <c r="C239" s="2">
        <v>2305</v>
      </c>
      <c r="D239" s="2">
        <v>1420</v>
      </c>
      <c r="E239" s="2">
        <v>0</v>
      </c>
      <c r="F239" s="2">
        <v>4616</v>
      </c>
      <c r="G239" s="2">
        <v>2478</v>
      </c>
      <c r="H239" s="2">
        <v>1243</v>
      </c>
      <c r="I239" s="2">
        <v>1214.5</v>
      </c>
      <c r="J239" s="2">
        <v>0</v>
      </c>
      <c r="K239" s="2">
        <v>10389</v>
      </c>
      <c r="L239" s="2">
        <v>14260</v>
      </c>
      <c r="M239" s="2">
        <v>564</v>
      </c>
      <c r="N239" s="2">
        <v>831</v>
      </c>
      <c r="O239" s="2">
        <v>0</v>
      </c>
      <c r="P239" s="3">
        <f t="shared" si="6"/>
        <v>39320.5</v>
      </c>
      <c r="Q239" s="3">
        <v>12060</v>
      </c>
      <c r="R239" s="3">
        <v>17994</v>
      </c>
      <c r="S239" s="5">
        <f t="shared" si="7"/>
        <v>9266.5</v>
      </c>
    </row>
    <row r="240" spans="1:19" ht="18.75" customHeight="1">
      <c r="A240" s="4" t="s">
        <v>20</v>
      </c>
      <c r="B240" s="10">
        <v>45896</v>
      </c>
      <c r="C240" s="2">
        <v>2550</v>
      </c>
      <c r="D240" s="2">
        <v>1060</v>
      </c>
      <c r="E240" s="2">
        <v>0</v>
      </c>
      <c r="F240" s="2">
        <v>3218</v>
      </c>
      <c r="G240" s="2">
        <v>1785</v>
      </c>
      <c r="H240" s="2">
        <v>720</v>
      </c>
      <c r="I240" s="2">
        <v>1586</v>
      </c>
      <c r="J240" s="2">
        <v>0</v>
      </c>
      <c r="K240" s="2">
        <v>22601</v>
      </c>
      <c r="L240" s="2">
        <v>16939</v>
      </c>
      <c r="M240" s="2">
        <v>620</v>
      </c>
      <c r="N240" s="2">
        <v>260</v>
      </c>
      <c r="O240" s="2">
        <v>0</v>
      </c>
      <c r="P240" s="3">
        <f t="shared" si="6"/>
        <v>51339</v>
      </c>
      <c r="Q240" s="3">
        <v>10795</v>
      </c>
      <c r="R240" s="3">
        <v>35455</v>
      </c>
      <c r="S240" s="5">
        <f t="shared" si="7"/>
        <v>5089</v>
      </c>
    </row>
    <row r="241" spans="1:19" ht="18.75" customHeight="1">
      <c r="A241" s="4" t="s">
        <v>21</v>
      </c>
      <c r="B241" s="10">
        <v>45897</v>
      </c>
      <c r="C241" s="2">
        <v>2130</v>
      </c>
      <c r="D241" s="2">
        <v>1170</v>
      </c>
      <c r="E241" s="2">
        <v>0</v>
      </c>
      <c r="F241" s="2">
        <v>3399</v>
      </c>
      <c r="G241" s="2">
        <v>2530</v>
      </c>
      <c r="H241" s="2">
        <v>1195</v>
      </c>
      <c r="I241" s="2">
        <v>2263</v>
      </c>
      <c r="J241" s="2">
        <v>0</v>
      </c>
      <c r="K241" s="2">
        <v>22698</v>
      </c>
      <c r="L241" s="2">
        <v>9354</v>
      </c>
      <c r="M241" s="2">
        <v>1440</v>
      </c>
      <c r="N241" s="2">
        <v>1347</v>
      </c>
      <c r="O241" s="2">
        <v>0</v>
      </c>
      <c r="P241" s="3">
        <f t="shared" si="6"/>
        <v>47526</v>
      </c>
      <c r="Q241" s="3">
        <v>16110</v>
      </c>
      <c r="R241" s="3">
        <v>27719</v>
      </c>
      <c r="S241" s="5">
        <f t="shared" si="7"/>
        <v>3697</v>
      </c>
    </row>
    <row r="242" spans="1:19" ht="18.75" customHeight="1">
      <c r="A242" s="4" t="s">
        <v>22</v>
      </c>
      <c r="B242" s="10">
        <v>45898</v>
      </c>
      <c r="C242" s="2">
        <v>2060</v>
      </c>
      <c r="D242" s="2">
        <v>1920</v>
      </c>
      <c r="E242" s="2">
        <v>0</v>
      </c>
      <c r="F242" s="2">
        <v>5208</v>
      </c>
      <c r="G242" s="2">
        <v>2610</v>
      </c>
      <c r="H242" s="2">
        <v>1180</v>
      </c>
      <c r="I242" s="2">
        <v>1003</v>
      </c>
      <c r="J242" s="2">
        <v>0</v>
      </c>
      <c r="K242" s="2">
        <v>18455</v>
      </c>
      <c r="L242" s="2">
        <v>15688</v>
      </c>
      <c r="M242" s="2">
        <v>1099</v>
      </c>
      <c r="N242" s="2">
        <v>649</v>
      </c>
      <c r="O242" s="2">
        <v>0</v>
      </c>
      <c r="P242" s="3">
        <f t="shared" si="6"/>
        <v>49872</v>
      </c>
      <c r="Q242" s="3">
        <v>14425</v>
      </c>
      <c r="R242" s="3">
        <v>17929</v>
      </c>
      <c r="S242" s="5">
        <f t="shared" si="7"/>
        <v>17518</v>
      </c>
    </row>
    <row r="243" spans="1:19" ht="18.75" customHeight="1">
      <c r="A243" s="4" t="s">
        <v>23</v>
      </c>
      <c r="B243" s="10">
        <v>45899</v>
      </c>
      <c r="C243" s="2">
        <v>2315</v>
      </c>
      <c r="D243" s="2">
        <v>1875</v>
      </c>
      <c r="E243" s="2">
        <v>0</v>
      </c>
      <c r="F243" s="2">
        <v>4325</v>
      </c>
      <c r="G243" s="2">
        <v>3283</v>
      </c>
      <c r="H243" s="2">
        <v>705</v>
      </c>
      <c r="I243" s="2">
        <v>1676</v>
      </c>
      <c r="J243" s="2">
        <v>0</v>
      </c>
      <c r="K243" s="2">
        <v>23042</v>
      </c>
      <c r="L243" s="2">
        <v>22846</v>
      </c>
      <c r="M243" s="2">
        <v>1148</v>
      </c>
      <c r="N243" s="2">
        <v>1134</v>
      </c>
      <c r="O243" s="2">
        <v>0</v>
      </c>
      <c r="P243" s="3">
        <f t="shared" si="6"/>
        <v>62349</v>
      </c>
      <c r="Q243" s="3">
        <v>16850</v>
      </c>
      <c r="R243" s="3">
        <v>25461</v>
      </c>
      <c r="S243" s="5">
        <f t="shared" si="7"/>
        <v>20038</v>
      </c>
    </row>
    <row r="244" spans="1:19" ht="18.75" customHeight="1">
      <c r="A244" s="4" t="s">
        <v>17</v>
      </c>
      <c r="B244" s="10">
        <v>45900</v>
      </c>
      <c r="C244" s="2">
        <v>3125</v>
      </c>
      <c r="D244" s="2">
        <v>1805</v>
      </c>
      <c r="E244" s="2">
        <v>0</v>
      </c>
      <c r="F244" s="2">
        <v>4550</v>
      </c>
      <c r="G244" s="2">
        <v>3754</v>
      </c>
      <c r="H244" s="2">
        <v>870</v>
      </c>
      <c r="I244" s="2">
        <v>1783</v>
      </c>
      <c r="J244" s="2">
        <v>0</v>
      </c>
      <c r="K244" s="2">
        <v>32948</v>
      </c>
      <c r="L244" s="2">
        <v>13946</v>
      </c>
      <c r="M244" s="2">
        <v>1677</v>
      </c>
      <c r="N244" s="2">
        <v>1113</v>
      </c>
      <c r="O244" s="2">
        <v>2202</v>
      </c>
      <c r="P244" s="3">
        <f t="shared" si="6"/>
        <v>67773</v>
      </c>
      <c r="Q244" s="3">
        <v>29425</v>
      </c>
      <c r="R244" s="3">
        <v>14042</v>
      </c>
      <c r="S244" s="5">
        <f t="shared" si="7"/>
        <v>24306</v>
      </c>
    </row>
    <row r="245" spans="1:19" ht="18.75" customHeight="1">
      <c r="A245" s="4" t="s">
        <v>18</v>
      </c>
      <c r="B245" s="10">
        <v>45901</v>
      </c>
      <c r="C245" s="2">
        <v>2195</v>
      </c>
      <c r="D245" s="2">
        <v>1115</v>
      </c>
      <c r="E245" s="2">
        <v>0</v>
      </c>
      <c r="F245" s="2">
        <v>4939</v>
      </c>
      <c r="G245" s="2">
        <v>2932</v>
      </c>
      <c r="H245" s="2">
        <v>635</v>
      </c>
      <c r="I245" s="2">
        <v>1705</v>
      </c>
      <c r="J245" s="2">
        <v>0</v>
      </c>
      <c r="K245" s="2">
        <v>11636</v>
      </c>
      <c r="L245" s="2">
        <v>8857</v>
      </c>
      <c r="M245" s="2">
        <v>1231</v>
      </c>
      <c r="N245" s="2">
        <v>300</v>
      </c>
      <c r="O245" s="2">
        <v>0</v>
      </c>
      <c r="P245" s="3">
        <f t="shared" si="6"/>
        <v>35545</v>
      </c>
      <c r="Q245" s="3">
        <v>9325</v>
      </c>
      <c r="R245" s="3">
        <v>14477</v>
      </c>
      <c r="S245" s="5">
        <f t="shared" si="7"/>
        <v>11743</v>
      </c>
    </row>
    <row r="246" spans="1:19" ht="18.75" customHeight="1">
      <c r="A246" s="4" t="s">
        <v>19</v>
      </c>
      <c r="B246" s="10">
        <v>45902</v>
      </c>
      <c r="C246" s="2">
        <v>1455</v>
      </c>
      <c r="D246" s="2">
        <v>1444</v>
      </c>
      <c r="E246" s="2">
        <v>0</v>
      </c>
      <c r="F246" s="2">
        <v>4423</v>
      </c>
      <c r="G246" s="2">
        <v>2726</v>
      </c>
      <c r="H246" s="2">
        <v>558</v>
      </c>
      <c r="I246" s="2">
        <v>2076</v>
      </c>
      <c r="J246" s="2">
        <v>0</v>
      </c>
      <c r="K246" s="2">
        <v>12042</v>
      </c>
      <c r="L246" s="2">
        <v>7370</v>
      </c>
      <c r="M246" s="2">
        <v>727</v>
      </c>
      <c r="N246" s="2">
        <v>485</v>
      </c>
      <c r="O246" s="2">
        <v>0</v>
      </c>
      <c r="P246" s="3">
        <f t="shared" si="6"/>
        <v>33306</v>
      </c>
      <c r="Q246" s="3">
        <v>10645</v>
      </c>
      <c r="R246" s="3">
        <v>20614</v>
      </c>
      <c r="S246" s="5">
        <f t="shared" si="7"/>
        <v>2047</v>
      </c>
    </row>
    <row r="247" spans="1:19" ht="18.75" customHeight="1">
      <c r="A247" s="4" t="s">
        <v>20</v>
      </c>
      <c r="B247" s="10">
        <v>45903</v>
      </c>
      <c r="C247" s="2">
        <v>1965</v>
      </c>
      <c r="D247" s="2">
        <v>995</v>
      </c>
      <c r="E247" s="2">
        <v>0</v>
      </c>
      <c r="F247" s="2">
        <v>2320</v>
      </c>
      <c r="G247" s="2">
        <v>1251</v>
      </c>
      <c r="H247" s="2">
        <v>1230</v>
      </c>
      <c r="I247" s="2">
        <v>1603</v>
      </c>
      <c r="J247" s="2">
        <v>0</v>
      </c>
      <c r="K247" s="2">
        <v>15720</v>
      </c>
      <c r="L247" s="2">
        <v>7057</v>
      </c>
      <c r="M247" s="2">
        <v>1470</v>
      </c>
      <c r="N247" s="2">
        <v>135</v>
      </c>
      <c r="O247" s="2">
        <v>0</v>
      </c>
      <c r="P247" s="3">
        <f t="shared" si="6"/>
        <v>33746</v>
      </c>
      <c r="Q247" s="3">
        <v>9713</v>
      </c>
      <c r="R247" s="3">
        <v>13021</v>
      </c>
      <c r="S247" s="5">
        <f t="shared" si="7"/>
        <v>11012</v>
      </c>
    </row>
    <row r="248" spans="1:19" ht="18.75" customHeight="1">
      <c r="A248" s="4" t="s">
        <v>21</v>
      </c>
      <c r="B248" s="10">
        <v>45904</v>
      </c>
      <c r="C248" s="2">
        <v>1420</v>
      </c>
      <c r="D248" s="2">
        <v>1055</v>
      </c>
      <c r="E248" s="2">
        <v>0</v>
      </c>
      <c r="F248" s="2">
        <v>2985</v>
      </c>
      <c r="G248" s="2">
        <v>1583</v>
      </c>
      <c r="H248" s="2">
        <v>780</v>
      </c>
      <c r="I248" s="2">
        <v>1452</v>
      </c>
      <c r="J248" s="2">
        <v>0</v>
      </c>
      <c r="K248" s="2">
        <v>9618</v>
      </c>
      <c r="L248" s="2">
        <v>5340</v>
      </c>
      <c r="M248" s="2">
        <v>430</v>
      </c>
      <c r="N248" s="2">
        <v>907</v>
      </c>
      <c r="O248" s="2">
        <v>0</v>
      </c>
      <c r="P248" s="3">
        <f t="shared" si="6"/>
        <v>25570</v>
      </c>
      <c r="Q248" s="3">
        <v>9640</v>
      </c>
      <c r="R248" s="3">
        <v>16494</v>
      </c>
      <c r="S248" s="5">
        <f t="shared" si="7"/>
        <v>-564</v>
      </c>
    </row>
    <row r="249" spans="1:19" ht="18.75" customHeight="1">
      <c r="A249" s="4" t="s">
        <v>22</v>
      </c>
      <c r="B249" s="10">
        <v>45905</v>
      </c>
      <c r="C249" s="2">
        <v>1470</v>
      </c>
      <c r="D249" s="2">
        <v>1650</v>
      </c>
      <c r="E249" s="2">
        <v>0</v>
      </c>
      <c r="F249" s="2">
        <v>4215</v>
      </c>
      <c r="G249" s="2">
        <v>2570</v>
      </c>
      <c r="H249" s="2">
        <v>930</v>
      </c>
      <c r="I249" s="2">
        <v>2008</v>
      </c>
      <c r="J249" s="2">
        <v>0</v>
      </c>
      <c r="K249" s="2">
        <v>9150</v>
      </c>
      <c r="L249" s="2">
        <v>11455</v>
      </c>
      <c r="M249" s="2">
        <v>1174</v>
      </c>
      <c r="N249" s="2">
        <v>371</v>
      </c>
      <c r="O249" s="2">
        <v>0</v>
      </c>
      <c r="P249" s="3">
        <f t="shared" si="6"/>
        <v>34993</v>
      </c>
      <c r="Q249" s="3">
        <v>10590</v>
      </c>
      <c r="R249" s="3">
        <v>18359</v>
      </c>
      <c r="S249" s="5">
        <f t="shared" si="7"/>
        <v>6044</v>
      </c>
    </row>
    <row r="250" spans="1:19" ht="18.75" customHeight="1">
      <c r="A250" s="4" t="s">
        <v>23</v>
      </c>
      <c r="B250" s="10">
        <v>45906</v>
      </c>
      <c r="C250" s="2">
        <v>1855</v>
      </c>
      <c r="D250" s="2">
        <v>1505</v>
      </c>
      <c r="E250" s="2">
        <v>0</v>
      </c>
      <c r="F250" s="2">
        <v>5347</v>
      </c>
      <c r="G250" s="2">
        <v>1380</v>
      </c>
      <c r="H250" s="2">
        <v>660</v>
      </c>
      <c r="I250" s="2">
        <v>2285</v>
      </c>
      <c r="J250" s="2">
        <v>0</v>
      </c>
      <c r="K250" s="2">
        <v>18480</v>
      </c>
      <c r="L250" s="2">
        <v>12926</v>
      </c>
      <c r="M250" s="2">
        <v>1193</v>
      </c>
      <c r="N250" s="2">
        <v>543</v>
      </c>
      <c r="O250" s="2">
        <v>0</v>
      </c>
      <c r="P250" s="3">
        <f t="shared" si="6"/>
        <v>46174</v>
      </c>
      <c r="Q250" s="3">
        <v>15425</v>
      </c>
      <c r="R250" s="3">
        <v>25671</v>
      </c>
      <c r="S250" s="5">
        <f t="shared" si="7"/>
        <v>5078</v>
      </c>
    </row>
    <row r="251" spans="1:19" ht="18.75" customHeight="1">
      <c r="A251" s="4" t="s">
        <v>17</v>
      </c>
      <c r="B251" s="10">
        <v>45907</v>
      </c>
      <c r="C251" s="2">
        <v>2070</v>
      </c>
      <c r="D251" s="2">
        <v>1820</v>
      </c>
      <c r="E251" s="2">
        <v>0</v>
      </c>
      <c r="F251" s="2">
        <v>2734</v>
      </c>
      <c r="G251" s="2">
        <v>2340</v>
      </c>
      <c r="H251" s="2">
        <v>650</v>
      </c>
      <c r="I251" s="2">
        <v>1013</v>
      </c>
      <c r="J251" s="2">
        <v>0</v>
      </c>
      <c r="K251" s="2">
        <v>19742</v>
      </c>
      <c r="L251" s="2">
        <v>19069</v>
      </c>
      <c r="M251" s="2">
        <v>2170</v>
      </c>
      <c r="N251" s="2">
        <v>233</v>
      </c>
      <c r="O251" s="2">
        <v>3180</v>
      </c>
      <c r="P251" s="3">
        <f t="shared" si="6"/>
        <v>55021</v>
      </c>
      <c r="Q251" s="3">
        <v>21205</v>
      </c>
      <c r="R251" s="3">
        <v>18137</v>
      </c>
      <c r="S251" s="5">
        <f t="shared" si="7"/>
        <v>15679</v>
      </c>
    </row>
    <row r="252" spans="1:19" ht="18.75" customHeight="1">
      <c r="A252" s="4" t="s">
        <v>18</v>
      </c>
      <c r="B252" s="10">
        <v>45908</v>
      </c>
      <c r="C252" s="2">
        <v>1864</v>
      </c>
      <c r="D252" s="2">
        <v>1135</v>
      </c>
      <c r="E252" s="2">
        <v>0</v>
      </c>
      <c r="F252" s="2">
        <v>3009</v>
      </c>
      <c r="G252" s="2">
        <v>790</v>
      </c>
      <c r="H252" s="2">
        <v>1439</v>
      </c>
      <c r="I252" s="2">
        <v>1778</v>
      </c>
      <c r="J252" s="2">
        <v>0</v>
      </c>
      <c r="K252" s="2">
        <v>11695</v>
      </c>
      <c r="L252" s="2">
        <v>7806</v>
      </c>
      <c r="M252" s="2">
        <v>1223</v>
      </c>
      <c r="N252" s="2">
        <v>610</v>
      </c>
      <c r="O252" s="2">
        <v>0</v>
      </c>
      <c r="P252" s="3">
        <f t="shared" si="6"/>
        <v>31349</v>
      </c>
      <c r="Q252" s="3">
        <v>11922</v>
      </c>
      <c r="R252" s="3">
        <v>17758</v>
      </c>
      <c r="S252" s="5">
        <f t="shared" si="7"/>
        <v>1669</v>
      </c>
    </row>
    <row r="253" spans="1:19" ht="18.75" customHeight="1">
      <c r="A253" s="4" t="s">
        <v>19</v>
      </c>
      <c r="B253" s="10">
        <v>45909</v>
      </c>
      <c r="C253" s="2">
        <v>1360</v>
      </c>
      <c r="D253" s="2">
        <v>760</v>
      </c>
      <c r="E253" s="2">
        <v>0</v>
      </c>
      <c r="F253" s="2">
        <v>2628</v>
      </c>
      <c r="G253" s="2">
        <v>1675</v>
      </c>
      <c r="H253" s="2">
        <v>430</v>
      </c>
      <c r="I253" s="2">
        <v>685</v>
      </c>
      <c r="J253" s="2">
        <v>0</v>
      </c>
      <c r="K253" s="2">
        <v>13103</v>
      </c>
      <c r="L253" s="2">
        <v>4770</v>
      </c>
      <c r="M253" s="2">
        <v>408</v>
      </c>
      <c r="N253" s="2">
        <v>0</v>
      </c>
      <c r="O253" s="2">
        <v>0</v>
      </c>
      <c r="P253" s="3">
        <f t="shared" si="6"/>
        <v>25819</v>
      </c>
      <c r="Q253" s="3">
        <v>7900</v>
      </c>
      <c r="R253" s="3">
        <v>14363</v>
      </c>
      <c r="S253" s="5">
        <f t="shared" si="7"/>
        <v>3556</v>
      </c>
    </row>
    <row r="254" spans="1:19" ht="18.75" customHeight="1">
      <c r="A254" s="4" t="s">
        <v>20</v>
      </c>
      <c r="B254" s="10">
        <v>45910</v>
      </c>
      <c r="C254" s="2">
        <v>1665</v>
      </c>
      <c r="D254" s="2">
        <v>1650</v>
      </c>
      <c r="E254" s="2">
        <v>0</v>
      </c>
      <c r="F254" s="2">
        <v>4188</v>
      </c>
      <c r="G254" s="2">
        <v>1295</v>
      </c>
      <c r="H254" s="2">
        <v>1130</v>
      </c>
      <c r="I254" s="2">
        <v>1444</v>
      </c>
      <c r="J254" s="2">
        <v>0</v>
      </c>
      <c r="K254" s="2">
        <v>13075</v>
      </c>
      <c r="L254" s="2">
        <v>7220</v>
      </c>
      <c r="M254" s="2">
        <v>385</v>
      </c>
      <c r="N254" s="2">
        <v>90</v>
      </c>
      <c r="O254" s="2">
        <v>0</v>
      </c>
      <c r="P254" s="3">
        <f t="shared" si="6"/>
        <v>32142</v>
      </c>
      <c r="Q254" s="3">
        <v>9005</v>
      </c>
      <c r="R254" s="3">
        <v>17281</v>
      </c>
      <c r="S254" s="5">
        <f t="shared" si="7"/>
        <v>5856</v>
      </c>
    </row>
    <row r="255" spans="1:19" ht="18.75" customHeight="1">
      <c r="A255" s="4" t="s">
        <v>21</v>
      </c>
      <c r="B255" s="10">
        <v>45911</v>
      </c>
      <c r="C255" s="2">
        <v>2000</v>
      </c>
      <c r="D255" s="2">
        <v>825</v>
      </c>
      <c r="E255" s="2">
        <v>0</v>
      </c>
      <c r="F255" s="2">
        <v>2006</v>
      </c>
      <c r="G255" s="2">
        <v>2072</v>
      </c>
      <c r="H255" s="2">
        <v>1145</v>
      </c>
      <c r="I255" s="2">
        <v>1648</v>
      </c>
      <c r="J255" s="2">
        <v>0</v>
      </c>
      <c r="K255" s="2">
        <v>12402</v>
      </c>
      <c r="L255" s="2">
        <v>3762</v>
      </c>
      <c r="M255" s="2">
        <v>360</v>
      </c>
      <c r="N255" s="2">
        <v>235</v>
      </c>
      <c r="O255" s="2">
        <v>0</v>
      </c>
      <c r="P255" s="3">
        <f t="shared" si="6"/>
        <v>26455</v>
      </c>
      <c r="Q255" s="3">
        <v>9805</v>
      </c>
      <c r="R255" s="3">
        <v>13183</v>
      </c>
      <c r="S255" s="5">
        <f t="shared" si="7"/>
        <v>3467</v>
      </c>
    </row>
    <row r="256" spans="1:19" ht="18.75" customHeight="1">
      <c r="A256" s="4" t="s">
        <v>22</v>
      </c>
      <c r="B256" s="10">
        <v>45912</v>
      </c>
      <c r="C256" s="2">
        <v>1455</v>
      </c>
      <c r="D256" s="2">
        <v>1280</v>
      </c>
      <c r="E256" s="2">
        <v>0</v>
      </c>
      <c r="F256" s="2">
        <v>3076</v>
      </c>
      <c r="G256" s="2">
        <v>2410</v>
      </c>
      <c r="H256" s="2">
        <v>555</v>
      </c>
      <c r="I256" s="2">
        <v>2078</v>
      </c>
      <c r="J256" s="2">
        <v>0</v>
      </c>
      <c r="K256" s="2">
        <v>10790</v>
      </c>
      <c r="L256" s="2">
        <v>10109</v>
      </c>
      <c r="M256" s="2">
        <v>2222</v>
      </c>
      <c r="N256" s="2">
        <v>428</v>
      </c>
      <c r="O256" s="2">
        <v>0</v>
      </c>
      <c r="P256" s="3">
        <f t="shared" si="6"/>
        <v>34403</v>
      </c>
      <c r="Q256" s="3">
        <v>9722</v>
      </c>
      <c r="R256" s="3">
        <v>22249</v>
      </c>
      <c r="S256" s="5">
        <f t="shared" si="7"/>
        <v>2432</v>
      </c>
    </row>
    <row r="257" spans="1:19" ht="18.75" customHeight="1">
      <c r="A257" s="4" t="s">
        <v>23</v>
      </c>
      <c r="B257" s="10">
        <v>45913</v>
      </c>
      <c r="C257" s="2">
        <v>1580</v>
      </c>
      <c r="D257" s="2">
        <v>1545</v>
      </c>
      <c r="E257" s="2">
        <v>0</v>
      </c>
      <c r="F257" s="2">
        <v>4086</v>
      </c>
      <c r="G257" s="2">
        <v>1955</v>
      </c>
      <c r="H257" s="2">
        <v>1087</v>
      </c>
      <c r="I257" s="2">
        <v>1743</v>
      </c>
      <c r="J257" s="2">
        <v>0</v>
      </c>
      <c r="K257" s="2">
        <v>29103</v>
      </c>
      <c r="L257" s="2">
        <v>18578</v>
      </c>
      <c r="M257" s="2">
        <v>861</v>
      </c>
      <c r="N257" s="2">
        <v>106</v>
      </c>
      <c r="O257" s="2">
        <v>0</v>
      </c>
      <c r="P257" s="3">
        <f t="shared" si="6"/>
        <v>60644</v>
      </c>
      <c r="Q257" s="3">
        <v>16155</v>
      </c>
      <c r="R257" s="3">
        <v>39675</v>
      </c>
      <c r="S257" s="5">
        <f t="shared" si="7"/>
        <v>4814</v>
      </c>
    </row>
    <row r="258" spans="1:19" ht="18.75" customHeight="1">
      <c r="A258" s="4" t="s">
        <v>17</v>
      </c>
      <c r="B258" s="10">
        <v>45914</v>
      </c>
      <c r="C258" s="2">
        <v>2215</v>
      </c>
      <c r="D258" s="2">
        <v>1120</v>
      </c>
      <c r="E258" s="2">
        <v>0</v>
      </c>
      <c r="F258" s="2">
        <v>4805</v>
      </c>
      <c r="G258" s="2">
        <v>1661</v>
      </c>
      <c r="H258" s="2">
        <v>765</v>
      </c>
      <c r="I258" s="2">
        <v>590</v>
      </c>
      <c r="J258" s="2">
        <v>0</v>
      </c>
      <c r="K258" s="2">
        <v>28092</v>
      </c>
      <c r="L258" s="2">
        <v>26941</v>
      </c>
      <c r="M258" s="2">
        <v>2879</v>
      </c>
      <c r="N258" s="2">
        <v>543</v>
      </c>
      <c r="O258" s="2">
        <v>1772</v>
      </c>
      <c r="P258" s="3">
        <f t="shared" si="6"/>
        <v>71383</v>
      </c>
      <c r="Q258" s="3">
        <v>27485</v>
      </c>
      <c r="R258" s="3">
        <v>11761</v>
      </c>
      <c r="S258" s="5">
        <f t="shared" si="7"/>
        <v>32137</v>
      </c>
    </row>
    <row r="259" spans="1:19" ht="18.75" customHeight="1">
      <c r="A259" s="4" t="s">
        <v>18</v>
      </c>
      <c r="B259" s="10">
        <v>45915</v>
      </c>
      <c r="C259" s="2">
        <v>1810</v>
      </c>
      <c r="D259" s="2">
        <v>2300</v>
      </c>
      <c r="E259" s="2">
        <v>0</v>
      </c>
      <c r="F259" s="2">
        <v>4104</v>
      </c>
      <c r="G259" s="2">
        <v>1640</v>
      </c>
      <c r="H259" s="2">
        <v>1175</v>
      </c>
      <c r="I259" s="2">
        <v>2380</v>
      </c>
      <c r="J259" s="2">
        <v>0</v>
      </c>
      <c r="K259" s="2">
        <v>27109</v>
      </c>
      <c r="L259" s="2">
        <v>23605</v>
      </c>
      <c r="M259" s="2">
        <v>1622</v>
      </c>
      <c r="N259" s="2">
        <v>575</v>
      </c>
      <c r="O259" s="2">
        <v>0</v>
      </c>
      <c r="P259" s="3">
        <f t="shared" ref="P259:P322" si="8">SUM(C259:O259)</f>
        <v>66320</v>
      </c>
      <c r="Q259" s="3">
        <v>15802</v>
      </c>
      <c r="R259" s="3">
        <v>33568</v>
      </c>
      <c r="S259" s="5">
        <f t="shared" ref="S259:S322" si="9">P259-Q259-R259</f>
        <v>16950</v>
      </c>
    </row>
    <row r="260" spans="1:19" ht="18.75" customHeight="1">
      <c r="A260" s="4" t="s">
        <v>19</v>
      </c>
      <c r="B260" s="10">
        <v>45916</v>
      </c>
      <c r="C260" s="2">
        <v>2465</v>
      </c>
      <c r="D260" s="2">
        <v>962</v>
      </c>
      <c r="E260" s="2">
        <v>0</v>
      </c>
      <c r="F260" s="2">
        <v>2945</v>
      </c>
      <c r="G260" s="2">
        <v>2210</v>
      </c>
      <c r="H260" s="2">
        <v>1070</v>
      </c>
      <c r="I260" s="2">
        <v>1750</v>
      </c>
      <c r="J260" s="2">
        <v>0</v>
      </c>
      <c r="K260" s="2">
        <v>24094</v>
      </c>
      <c r="L260" s="2">
        <v>19159</v>
      </c>
      <c r="M260" s="2">
        <v>1279</v>
      </c>
      <c r="N260" s="2">
        <v>401</v>
      </c>
      <c r="O260" s="2">
        <v>0</v>
      </c>
      <c r="P260" s="3">
        <f t="shared" si="8"/>
        <v>56335</v>
      </c>
      <c r="Q260" s="3">
        <v>13400</v>
      </c>
      <c r="R260" s="3">
        <v>28468</v>
      </c>
      <c r="S260" s="5">
        <f t="shared" si="9"/>
        <v>14467</v>
      </c>
    </row>
    <row r="261" spans="1:19" ht="18.75" customHeight="1">
      <c r="A261" s="4" t="s">
        <v>20</v>
      </c>
      <c r="B261" s="10">
        <v>45917</v>
      </c>
      <c r="C261" s="2">
        <v>935</v>
      </c>
      <c r="D261" s="2">
        <v>1020</v>
      </c>
      <c r="E261" s="2">
        <v>0</v>
      </c>
      <c r="F261" s="2">
        <v>3339</v>
      </c>
      <c r="G261" s="2">
        <v>2118</v>
      </c>
      <c r="H261" s="2">
        <v>860</v>
      </c>
      <c r="I261" s="2">
        <v>2928</v>
      </c>
      <c r="J261" s="2">
        <v>0</v>
      </c>
      <c r="K261" s="2">
        <v>10256</v>
      </c>
      <c r="L261" s="2">
        <v>5286</v>
      </c>
      <c r="M261" s="2">
        <v>1233</v>
      </c>
      <c r="N261" s="2">
        <v>336</v>
      </c>
      <c r="O261" s="2">
        <v>0</v>
      </c>
      <c r="P261" s="3">
        <f t="shared" si="8"/>
        <v>28311</v>
      </c>
      <c r="Q261" s="3">
        <v>8305</v>
      </c>
      <c r="R261" s="3">
        <v>11171</v>
      </c>
      <c r="S261" s="5">
        <f t="shared" si="9"/>
        <v>8835</v>
      </c>
    </row>
    <row r="262" spans="1:19" ht="18.75" customHeight="1">
      <c r="A262" s="4" t="s">
        <v>21</v>
      </c>
      <c r="B262" s="10">
        <v>45918</v>
      </c>
      <c r="C262" s="2">
        <v>935</v>
      </c>
      <c r="D262" s="2">
        <v>1145</v>
      </c>
      <c r="E262" s="2">
        <v>0</v>
      </c>
      <c r="F262" s="2">
        <v>1969</v>
      </c>
      <c r="G262" s="2">
        <v>2563</v>
      </c>
      <c r="H262" s="2">
        <v>845</v>
      </c>
      <c r="I262" s="2">
        <v>1486</v>
      </c>
      <c r="J262" s="2">
        <v>0</v>
      </c>
      <c r="K262" s="2">
        <v>19286</v>
      </c>
      <c r="L262" s="2">
        <v>5798</v>
      </c>
      <c r="M262" s="2">
        <v>4038</v>
      </c>
      <c r="N262" s="2">
        <v>331</v>
      </c>
      <c r="O262" s="2">
        <v>0</v>
      </c>
      <c r="P262" s="3">
        <f t="shared" si="8"/>
        <v>38396</v>
      </c>
      <c r="Q262" s="3">
        <v>10640</v>
      </c>
      <c r="R262" s="3">
        <v>25789</v>
      </c>
      <c r="S262" s="5">
        <f t="shared" si="9"/>
        <v>1967</v>
      </c>
    </row>
    <row r="263" spans="1:19" ht="18.75" customHeight="1">
      <c r="A263" s="4" t="s">
        <v>22</v>
      </c>
      <c r="B263" s="10">
        <v>45919</v>
      </c>
      <c r="C263" s="2">
        <v>1080</v>
      </c>
      <c r="D263" s="2">
        <v>350</v>
      </c>
      <c r="E263" s="2">
        <v>0</v>
      </c>
      <c r="F263" s="2">
        <v>3468</v>
      </c>
      <c r="G263" s="2">
        <v>4559</v>
      </c>
      <c r="H263" s="2">
        <v>963</v>
      </c>
      <c r="I263" s="2">
        <v>2148</v>
      </c>
      <c r="J263" s="2">
        <v>0</v>
      </c>
      <c r="K263" s="2">
        <v>14517</v>
      </c>
      <c r="L263" s="2">
        <v>7258</v>
      </c>
      <c r="M263" s="2">
        <v>2846</v>
      </c>
      <c r="N263" s="2">
        <v>0</v>
      </c>
      <c r="O263" s="2">
        <v>0</v>
      </c>
      <c r="P263" s="3">
        <f t="shared" si="8"/>
        <v>37189</v>
      </c>
      <c r="Q263" s="3">
        <v>9445</v>
      </c>
      <c r="R263" s="3">
        <v>26511</v>
      </c>
      <c r="S263" s="5">
        <f t="shared" si="9"/>
        <v>1233</v>
      </c>
    </row>
    <row r="264" spans="1:19" ht="18.75" customHeight="1">
      <c r="A264" s="4" t="s">
        <v>23</v>
      </c>
      <c r="B264" s="10">
        <v>45920</v>
      </c>
      <c r="C264" s="2">
        <v>2205</v>
      </c>
      <c r="D264" s="2">
        <v>1447.5</v>
      </c>
      <c r="E264" s="2">
        <v>0</v>
      </c>
      <c r="F264" s="2">
        <v>3115</v>
      </c>
      <c r="G264" s="2">
        <v>2527</v>
      </c>
      <c r="H264" s="2">
        <v>850</v>
      </c>
      <c r="I264" s="2">
        <v>1959</v>
      </c>
      <c r="J264" s="2">
        <v>0</v>
      </c>
      <c r="K264" s="2">
        <v>18997</v>
      </c>
      <c r="L264" s="2">
        <v>9747</v>
      </c>
      <c r="M264" s="2">
        <v>798</v>
      </c>
      <c r="N264" s="2">
        <v>971</v>
      </c>
      <c r="O264" s="2">
        <v>0</v>
      </c>
      <c r="P264" s="3">
        <f t="shared" si="8"/>
        <v>42616.5</v>
      </c>
      <c r="Q264" s="3">
        <v>15025</v>
      </c>
      <c r="R264" s="3">
        <v>24075</v>
      </c>
      <c r="S264" s="5">
        <f t="shared" si="9"/>
        <v>3516.5</v>
      </c>
    </row>
    <row r="265" spans="1:19" ht="18.75" customHeight="1">
      <c r="A265" s="4" t="s">
        <v>17</v>
      </c>
      <c r="B265" s="10">
        <v>45921</v>
      </c>
      <c r="C265" s="2">
        <v>2505</v>
      </c>
      <c r="D265" s="2">
        <v>1250</v>
      </c>
      <c r="E265" s="2">
        <v>0</v>
      </c>
      <c r="F265" s="2">
        <v>2714</v>
      </c>
      <c r="G265" s="2">
        <v>2876</v>
      </c>
      <c r="H265" s="2">
        <v>740</v>
      </c>
      <c r="I265" s="2">
        <v>1181</v>
      </c>
      <c r="J265" s="2">
        <v>0</v>
      </c>
      <c r="K265" s="2">
        <v>22024</v>
      </c>
      <c r="L265" s="2">
        <v>20850</v>
      </c>
      <c r="M265" s="2">
        <v>1323</v>
      </c>
      <c r="N265" s="2">
        <v>652</v>
      </c>
      <c r="O265" s="2">
        <v>2084</v>
      </c>
      <c r="P265" s="3">
        <f t="shared" si="8"/>
        <v>58199</v>
      </c>
      <c r="Q265" s="3">
        <v>22930</v>
      </c>
      <c r="R265" s="3">
        <v>14130</v>
      </c>
      <c r="S265" s="5">
        <f t="shared" si="9"/>
        <v>21139</v>
      </c>
    </row>
    <row r="266" spans="1:19" ht="18.75" customHeight="1">
      <c r="A266" s="4" t="s">
        <v>18</v>
      </c>
      <c r="B266" s="10">
        <v>45922</v>
      </c>
      <c r="C266" s="2">
        <v>1140</v>
      </c>
      <c r="D266" s="2">
        <v>1540</v>
      </c>
      <c r="E266" s="2">
        <v>0</v>
      </c>
      <c r="F266" s="2">
        <v>3161</v>
      </c>
      <c r="G266" s="2">
        <v>3065</v>
      </c>
      <c r="H266" s="2">
        <v>885</v>
      </c>
      <c r="I266" s="2">
        <v>1681</v>
      </c>
      <c r="J266" s="2">
        <v>0</v>
      </c>
      <c r="K266" s="2">
        <v>12563</v>
      </c>
      <c r="L266" s="2">
        <v>7811</v>
      </c>
      <c r="M266" s="2">
        <v>712</v>
      </c>
      <c r="N266" s="2">
        <v>542</v>
      </c>
      <c r="O266" s="2">
        <v>0</v>
      </c>
      <c r="P266" s="3">
        <f t="shared" si="8"/>
        <v>33100</v>
      </c>
      <c r="Q266" s="3">
        <v>9155</v>
      </c>
      <c r="R266" s="3">
        <v>21592</v>
      </c>
      <c r="S266" s="5">
        <f t="shared" si="9"/>
        <v>2353</v>
      </c>
    </row>
    <row r="267" spans="1:19" ht="18.75" customHeight="1">
      <c r="A267" s="4" t="s">
        <v>19</v>
      </c>
      <c r="B267" s="10">
        <v>45923</v>
      </c>
      <c r="C267" s="2">
        <v>1140</v>
      </c>
      <c r="D267" s="2">
        <v>1065</v>
      </c>
      <c r="E267" s="2">
        <v>0</v>
      </c>
      <c r="F267" s="2">
        <v>2812</v>
      </c>
      <c r="G267" s="2">
        <v>3740</v>
      </c>
      <c r="H267" s="2">
        <v>768</v>
      </c>
      <c r="I267" s="2">
        <v>853</v>
      </c>
      <c r="J267" s="2">
        <v>0</v>
      </c>
      <c r="K267" s="2">
        <v>10237</v>
      </c>
      <c r="L267" s="2">
        <v>5270</v>
      </c>
      <c r="M267" s="2">
        <v>911</v>
      </c>
      <c r="N267" s="2">
        <v>537</v>
      </c>
      <c r="O267" s="2">
        <v>0</v>
      </c>
      <c r="P267" s="3">
        <f t="shared" si="8"/>
        <v>27333</v>
      </c>
      <c r="Q267" s="3">
        <v>9190</v>
      </c>
      <c r="R267" s="3">
        <v>12917</v>
      </c>
      <c r="S267" s="5">
        <f t="shared" si="9"/>
        <v>5226</v>
      </c>
    </row>
    <row r="268" spans="1:19" ht="18.75" customHeight="1">
      <c r="A268" s="4" t="s">
        <v>20</v>
      </c>
      <c r="B268" s="10">
        <v>45924</v>
      </c>
      <c r="C268" s="2">
        <v>1690</v>
      </c>
      <c r="D268" s="2">
        <v>1125</v>
      </c>
      <c r="E268" s="2">
        <v>0</v>
      </c>
      <c r="F268" s="2">
        <v>3862</v>
      </c>
      <c r="G268" s="2">
        <v>2513</v>
      </c>
      <c r="H268" s="2">
        <v>1085</v>
      </c>
      <c r="I268" s="2">
        <v>1773</v>
      </c>
      <c r="J268" s="2">
        <v>0</v>
      </c>
      <c r="K268" s="2">
        <v>12484</v>
      </c>
      <c r="L268" s="2">
        <v>5647</v>
      </c>
      <c r="M268" s="2">
        <v>1301</v>
      </c>
      <c r="N268" s="2">
        <v>90</v>
      </c>
      <c r="O268" s="2">
        <v>0</v>
      </c>
      <c r="P268" s="3">
        <f t="shared" si="8"/>
        <v>31570</v>
      </c>
      <c r="Q268" s="3">
        <v>9355</v>
      </c>
      <c r="R268" s="3">
        <v>13916</v>
      </c>
      <c r="S268" s="5">
        <f t="shared" si="9"/>
        <v>8299</v>
      </c>
    </row>
    <row r="269" spans="1:19" ht="18.75" customHeight="1">
      <c r="A269" s="4" t="s">
        <v>21</v>
      </c>
      <c r="B269" s="10">
        <v>45925</v>
      </c>
      <c r="C269" s="2">
        <v>2645</v>
      </c>
      <c r="D269" s="2">
        <v>1425</v>
      </c>
      <c r="E269" s="2">
        <v>0</v>
      </c>
      <c r="F269" s="2">
        <v>3398</v>
      </c>
      <c r="G269" s="2">
        <v>3131</v>
      </c>
      <c r="H269" s="2">
        <v>960</v>
      </c>
      <c r="I269" s="2">
        <v>1254</v>
      </c>
      <c r="J269" s="2">
        <v>0</v>
      </c>
      <c r="K269" s="2">
        <v>10987</v>
      </c>
      <c r="L269" s="2">
        <v>7963</v>
      </c>
      <c r="M269" s="2">
        <v>989</v>
      </c>
      <c r="N269" s="2">
        <v>562</v>
      </c>
      <c r="O269" s="2">
        <v>0</v>
      </c>
      <c r="P269" s="3">
        <f t="shared" si="8"/>
        <v>33314</v>
      </c>
      <c r="Q269" s="3">
        <v>9400</v>
      </c>
      <c r="R269" s="3">
        <v>20804</v>
      </c>
      <c r="S269" s="5">
        <f t="shared" si="9"/>
        <v>3110</v>
      </c>
    </row>
    <row r="270" spans="1:19" ht="18.75" customHeight="1">
      <c r="A270" s="4" t="s">
        <v>22</v>
      </c>
      <c r="B270" s="10">
        <v>45926</v>
      </c>
      <c r="C270" s="2">
        <v>3560</v>
      </c>
      <c r="D270" s="2">
        <v>1950</v>
      </c>
      <c r="E270" s="2">
        <v>0</v>
      </c>
      <c r="F270" s="2">
        <v>2884</v>
      </c>
      <c r="G270" s="2">
        <v>3780</v>
      </c>
      <c r="H270" s="2">
        <v>616</v>
      </c>
      <c r="I270" s="2">
        <v>2381</v>
      </c>
      <c r="J270" s="2">
        <v>0</v>
      </c>
      <c r="K270" s="2">
        <v>20901</v>
      </c>
      <c r="L270" s="2">
        <v>9324</v>
      </c>
      <c r="M270" s="2">
        <v>730</v>
      </c>
      <c r="N270" s="2">
        <v>530</v>
      </c>
      <c r="O270" s="2">
        <v>0</v>
      </c>
      <c r="P270" s="3">
        <f t="shared" si="8"/>
        <v>46656</v>
      </c>
      <c r="Q270" s="3">
        <v>11472</v>
      </c>
      <c r="R270" s="3">
        <v>27369</v>
      </c>
      <c r="S270" s="5">
        <f t="shared" si="9"/>
        <v>7815</v>
      </c>
    </row>
    <row r="271" spans="1:19" ht="18.75" customHeight="1">
      <c r="A271" s="4" t="s">
        <v>23</v>
      </c>
      <c r="B271" s="10">
        <v>45927</v>
      </c>
      <c r="C271" s="2">
        <v>2025</v>
      </c>
      <c r="D271" s="2">
        <v>1180</v>
      </c>
      <c r="E271" s="2">
        <v>0</v>
      </c>
      <c r="F271" s="2">
        <v>2948</v>
      </c>
      <c r="G271" s="2">
        <v>3010</v>
      </c>
      <c r="H271" s="2">
        <v>959</v>
      </c>
      <c r="I271" s="2">
        <v>1302</v>
      </c>
      <c r="J271" s="2">
        <v>0</v>
      </c>
      <c r="K271" s="2">
        <v>23301</v>
      </c>
      <c r="L271" s="2">
        <v>15677</v>
      </c>
      <c r="M271" s="2">
        <v>947</v>
      </c>
      <c r="N271" s="2">
        <v>1115</v>
      </c>
      <c r="O271" s="2">
        <v>0</v>
      </c>
      <c r="P271" s="3">
        <f t="shared" si="8"/>
        <v>52464</v>
      </c>
      <c r="Q271" s="3">
        <v>15677</v>
      </c>
      <c r="R271" s="3">
        <v>35947</v>
      </c>
      <c r="S271" s="5">
        <f t="shared" si="9"/>
        <v>840</v>
      </c>
    </row>
    <row r="272" spans="1:19" ht="18.75" customHeight="1">
      <c r="A272" s="4" t="s">
        <v>17</v>
      </c>
      <c r="B272" s="10">
        <v>45928</v>
      </c>
      <c r="C272" s="2">
        <v>1835</v>
      </c>
      <c r="D272" s="2">
        <v>1180</v>
      </c>
      <c r="E272" s="2">
        <v>0</v>
      </c>
      <c r="F272" s="2">
        <v>3720</v>
      </c>
      <c r="G272" s="2">
        <v>3200</v>
      </c>
      <c r="H272" s="2">
        <v>354.5</v>
      </c>
      <c r="I272" s="2">
        <v>955</v>
      </c>
      <c r="J272" s="2">
        <v>0</v>
      </c>
      <c r="K272" s="2">
        <v>19918</v>
      </c>
      <c r="L272" s="2">
        <v>17162</v>
      </c>
      <c r="M272" s="2">
        <v>2407</v>
      </c>
      <c r="N272" s="2">
        <v>1084</v>
      </c>
      <c r="O272" s="2">
        <v>614</v>
      </c>
      <c r="P272" s="3">
        <f t="shared" si="8"/>
        <v>52429.5</v>
      </c>
      <c r="Q272" s="3">
        <v>20170</v>
      </c>
      <c r="R272" s="3">
        <v>15155</v>
      </c>
      <c r="S272" s="5">
        <f t="shared" si="9"/>
        <v>17104.5</v>
      </c>
    </row>
    <row r="273" spans="1:19" ht="18.75" customHeight="1">
      <c r="A273" s="4" t="s">
        <v>18</v>
      </c>
      <c r="B273" s="10">
        <v>45929</v>
      </c>
      <c r="C273" s="2">
        <v>3230</v>
      </c>
      <c r="D273" s="2">
        <v>1238</v>
      </c>
      <c r="E273" s="2">
        <v>0</v>
      </c>
      <c r="F273" s="2">
        <v>3197</v>
      </c>
      <c r="G273" s="2">
        <v>2241</v>
      </c>
      <c r="H273" s="2">
        <v>875</v>
      </c>
      <c r="I273" s="2">
        <v>1196</v>
      </c>
      <c r="J273" s="2">
        <v>0</v>
      </c>
      <c r="K273" s="2">
        <v>9825</v>
      </c>
      <c r="L273" s="2">
        <v>6582</v>
      </c>
      <c r="M273" s="2">
        <v>1579</v>
      </c>
      <c r="N273" s="2">
        <v>738</v>
      </c>
      <c r="O273" s="2">
        <v>0</v>
      </c>
      <c r="P273" s="3">
        <f t="shared" si="8"/>
        <v>30701</v>
      </c>
      <c r="Q273" s="3">
        <v>9995</v>
      </c>
      <c r="R273" s="3">
        <v>18386</v>
      </c>
      <c r="S273" s="5">
        <f t="shared" si="9"/>
        <v>2320</v>
      </c>
    </row>
    <row r="274" spans="1:19" ht="18.75" customHeight="1">
      <c r="A274" s="4" t="s">
        <v>19</v>
      </c>
      <c r="B274" s="10">
        <v>45930</v>
      </c>
      <c r="C274" s="2">
        <v>2055</v>
      </c>
      <c r="D274" s="2">
        <v>985</v>
      </c>
      <c r="E274" s="2">
        <v>0</v>
      </c>
      <c r="F274" s="2">
        <v>3332</v>
      </c>
      <c r="G274" s="2">
        <v>3165</v>
      </c>
      <c r="H274" s="2">
        <v>330</v>
      </c>
      <c r="I274" s="2">
        <v>1797</v>
      </c>
      <c r="J274" s="2">
        <v>0</v>
      </c>
      <c r="K274" s="2">
        <v>11196</v>
      </c>
      <c r="L274" s="2">
        <v>5372</v>
      </c>
      <c r="M274" s="2">
        <v>805</v>
      </c>
      <c r="N274" s="2">
        <v>0</v>
      </c>
      <c r="O274" s="2">
        <v>0</v>
      </c>
      <c r="P274" s="3">
        <f t="shared" si="8"/>
        <v>29037</v>
      </c>
      <c r="Q274" s="3">
        <v>12665</v>
      </c>
      <c r="R274" s="3">
        <v>13187</v>
      </c>
      <c r="S274" s="5">
        <f t="shared" si="9"/>
        <v>3185</v>
      </c>
    </row>
    <row r="275" spans="1:19" ht="18.75" customHeight="1">
      <c r="A275" s="4" t="s">
        <v>20</v>
      </c>
      <c r="B275" s="10">
        <v>45931</v>
      </c>
      <c r="C275" s="2">
        <v>1910</v>
      </c>
      <c r="D275" s="2">
        <v>1100</v>
      </c>
      <c r="E275" s="2">
        <v>0</v>
      </c>
      <c r="F275" s="2">
        <v>3901</v>
      </c>
      <c r="G275" s="2">
        <v>1395</v>
      </c>
      <c r="H275" s="2">
        <v>1045</v>
      </c>
      <c r="I275" s="2">
        <v>2418</v>
      </c>
      <c r="J275" s="2">
        <v>0</v>
      </c>
      <c r="K275" s="2">
        <v>11636</v>
      </c>
      <c r="L275" s="2">
        <v>5812</v>
      </c>
      <c r="M275" s="2">
        <v>1956</v>
      </c>
      <c r="N275" s="2">
        <v>330</v>
      </c>
      <c r="O275" s="2">
        <v>0</v>
      </c>
      <c r="P275" s="3">
        <f t="shared" si="8"/>
        <v>31503</v>
      </c>
      <c r="Q275" s="3">
        <v>14935</v>
      </c>
      <c r="R275" s="3">
        <v>15822</v>
      </c>
      <c r="S275" s="5">
        <f t="shared" si="9"/>
        <v>746</v>
      </c>
    </row>
    <row r="276" spans="1:19" ht="18.75" customHeight="1">
      <c r="A276" s="4" t="s">
        <v>21</v>
      </c>
      <c r="B276" s="10">
        <v>45932</v>
      </c>
      <c r="C276" s="2">
        <v>2155</v>
      </c>
      <c r="D276" s="2">
        <v>1295</v>
      </c>
      <c r="E276" s="2">
        <v>0</v>
      </c>
      <c r="F276" s="2">
        <v>4114</v>
      </c>
      <c r="G276" s="2">
        <v>1195</v>
      </c>
      <c r="H276" s="2">
        <v>430</v>
      </c>
      <c r="I276" s="2">
        <v>1650</v>
      </c>
      <c r="J276" s="2">
        <v>0</v>
      </c>
      <c r="K276" s="2">
        <v>10744</v>
      </c>
      <c r="L276" s="2">
        <v>6629</v>
      </c>
      <c r="M276" s="2">
        <v>923</v>
      </c>
      <c r="N276" s="2">
        <v>147</v>
      </c>
      <c r="O276" s="2">
        <v>0</v>
      </c>
      <c r="P276" s="3">
        <f t="shared" si="8"/>
        <v>29282</v>
      </c>
      <c r="Q276" s="3">
        <v>8990</v>
      </c>
      <c r="R276" s="3">
        <v>19368</v>
      </c>
      <c r="S276" s="5">
        <f t="shared" si="9"/>
        <v>924</v>
      </c>
    </row>
    <row r="277" spans="1:19" ht="18.75" customHeight="1">
      <c r="A277" s="4" t="s">
        <v>22</v>
      </c>
      <c r="B277" s="10">
        <v>45933</v>
      </c>
      <c r="C277" s="2">
        <v>3155</v>
      </c>
      <c r="D277" s="2">
        <v>1050</v>
      </c>
      <c r="E277" s="2">
        <v>0</v>
      </c>
      <c r="F277" s="2">
        <v>3657</v>
      </c>
      <c r="G277" s="2">
        <v>2300</v>
      </c>
      <c r="H277" s="2">
        <v>1110</v>
      </c>
      <c r="I277" s="2">
        <v>1287</v>
      </c>
      <c r="J277" s="2">
        <v>0</v>
      </c>
      <c r="K277" s="2">
        <v>10465</v>
      </c>
      <c r="L277" s="2">
        <v>6666</v>
      </c>
      <c r="M277" s="2">
        <v>745</v>
      </c>
      <c r="N277" s="2">
        <v>407</v>
      </c>
      <c r="O277" s="2">
        <v>0</v>
      </c>
      <c r="P277" s="3">
        <f t="shared" si="8"/>
        <v>30842</v>
      </c>
      <c r="Q277" s="3">
        <v>10470</v>
      </c>
      <c r="R277" s="3">
        <v>15093</v>
      </c>
      <c r="S277" s="5">
        <f t="shared" si="9"/>
        <v>5279</v>
      </c>
    </row>
    <row r="278" spans="1:19" ht="18.75" customHeight="1">
      <c r="A278" s="4" t="s">
        <v>23</v>
      </c>
      <c r="B278" s="10">
        <v>45934</v>
      </c>
      <c r="C278" s="2">
        <v>1765</v>
      </c>
      <c r="D278" s="2">
        <v>1910</v>
      </c>
      <c r="E278" s="2">
        <v>0</v>
      </c>
      <c r="F278" s="2">
        <v>2704</v>
      </c>
      <c r="G278" s="2">
        <v>2545</v>
      </c>
      <c r="H278" s="2">
        <v>1245</v>
      </c>
      <c r="I278" s="2">
        <v>2083</v>
      </c>
      <c r="J278" s="2">
        <v>0</v>
      </c>
      <c r="K278" s="2">
        <v>16715</v>
      </c>
      <c r="L278" s="2">
        <v>10238</v>
      </c>
      <c r="M278" s="2">
        <v>955</v>
      </c>
      <c r="N278" s="2">
        <v>699</v>
      </c>
      <c r="O278" s="2">
        <v>0</v>
      </c>
      <c r="P278" s="3">
        <f t="shared" si="8"/>
        <v>40859</v>
      </c>
      <c r="Q278" s="3">
        <v>15620</v>
      </c>
      <c r="R278" s="3">
        <v>19217</v>
      </c>
      <c r="S278" s="5">
        <f t="shared" si="9"/>
        <v>6022</v>
      </c>
    </row>
    <row r="279" spans="1:19" ht="18.75" customHeight="1">
      <c r="A279" s="4" t="s">
        <v>17</v>
      </c>
      <c r="B279" s="10">
        <v>45935</v>
      </c>
      <c r="C279" s="2">
        <v>1928</v>
      </c>
      <c r="D279" s="2">
        <v>765</v>
      </c>
      <c r="E279" s="2">
        <v>0</v>
      </c>
      <c r="F279" s="2">
        <v>4370</v>
      </c>
      <c r="G279" s="2">
        <v>3576</v>
      </c>
      <c r="H279" s="2">
        <v>245</v>
      </c>
      <c r="I279" s="2">
        <v>1116</v>
      </c>
      <c r="J279" s="2">
        <v>0</v>
      </c>
      <c r="K279" s="2">
        <v>26787</v>
      </c>
      <c r="L279" s="2">
        <v>12949</v>
      </c>
      <c r="M279" s="2">
        <v>1298</v>
      </c>
      <c r="N279" s="2">
        <v>180</v>
      </c>
      <c r="O279" s="2">
        <v>4667</v>
      </c>
      <c r="P279" s="3">
        <f t="shared" si="8"/>
        <v>57881</v>
      </c>
      <c r="Q279" s="3">
        <v>22660</v>
      </c>
      <c r="R279" s="3">
        <v>15986</v>
      </c>
      <c r="S279" s="5">
        <f t="shared" si="9"/>
        <v>19235</v>
      </c>
    </row>
    <row r="280" spans="1:19" ht="18.75" customHeight="1">
      <c r="A280" s="4" t="s">
        <v>18</v>
      </c>
      <c r="B280" s="10">
        <v>45936</v>
      </c>
      <c r="C280" s="2">
        <v>3350</v>
      </c>
      <c r="D280" s="2">
        <v>2005</v>
      </c>
      <c r="E280" s="2">
        <v>0</v>
      </c>
      <c r="F280" s="2">
        <v>3403</v>
      </c>
      <c r="G280" s="2">
        <v>2310</v>
      </c>
      <c r="H280" s="2">
        <v>933</v>
      </c>
      <c r="I280" s="2">
        <v>1836</v>
      </c>
      <c r="J280" s="2">
        <v>0</v>
      </c>
      <c r="K280" s="2">
        <v>13622</v>
      </c>
      <c r="L280" s="2">
        <v>6330</v>
      </c>
      <c r="M280" s="2">
        <v>691</v>
      </c>
      <c r="N280" s="2">
        <v>300</v>
      </c>
      <c r="O280" s="2">
        <v>0</v>
      </c>
      <c r="P280" s="3">
        <f t="shared" si="8"/>
        <v>34780</v>
      </c>
      <c r="Q280" s="3">
        <v>9587</v>
      </c>
      <c r="R280" s="3">
        <v>15615</v>
      </c>
      <c r="S280" s="5">
        <f t="shared" si="9"/>
        <v>9578</v>
      </c>
    </row>
    <row r="281" spans="1:19" ht="18.75" customHeight="1">
      <c r="A281" s="4" t="s">
        <v>19</v>
      </c>
      <c r="B281" s="10">
        <v>45937</v>
      </c>
      <c r="C281" s="2">
        <v>1775</v>
      </c>
      <c r="D281" s="2">
        <v>820</v>
      </c>
      <c r="E281" s="2">
        <v>0</v>
      </c>
      <c r="F281" s="2">
        <v>3025</v>
      </c>
      <c r="G281" s="2">
        <v>2110</v>
      </c>
      <c r="H281" s="2">
        <v>720</v>
      </c>
      <c r="I281" s="2">
        <v>1186</v>
      </c>
      <c r="J281" s="2">
        <v>0</v>
      </c>
      <c r="K281" s="2">
        <v>11748</v>
      </c>
      <c r="L281" s="2">
        <v>4567</v>
      </c>
      <c r="M281" s="2">
        <v>515</v>
      </c>
      <c r="N281" s="2">
        <v>45</v>
      </c>
      <c r="O281" s="2">
        <v>0</v>
      </c>
      <c r="P281" s="3">
        <f t="shared" si="8"/>
        <v>26511</v>
      </c>
      <c r="Q281" s="3">
        <v>8640</v>
      </c>
      <c r="R281" s="3">
        <v>10312</v>
      </c>
      <c r="S281" s="5">
        <f t="shared" si="9"/>
        <v>7559</v>
      </c>
    </row>
    <row r="282" spans="1:19" ht="18.75" customHeight="1">
      <c r="A282" s="4" t="s">
        <v>20</v>
      </c>
      <c r="B282" s="10">
        <v>45938</v>
      </c>
      <c r="C282" s="2">
        <v>1355</v>
      </c>
      <c r="D282" s="2">
        <v>358</v>
      </c>
      <c r="E282" s="2">
        <v>0</v>
      </c>
      <c r="F282" s="2">
        <v>3673</v>
      </c>
      <c r="G282" s="2">
        <v>1550</v>
      </c>
      <c r="H282" s="2">
        <v>500</v>
      </c>
      <c r="I282" s="2">
        <v>2914</v>
      </c>
      <c r="J282" s="2">
        <v>0</v>
      </c>
      <c r="K282" s="2">
        <v>10305</v>
      </c>
      <c r="L282" s="2">
        <v>9800</v>
      </c>
      <c r="M282" s="2">
        <v>1688</v>
      </c>
      <c r="N282" s="2">
        <v>280</v>
      </c>
      <c r="O282" s="2">
        <v>0</v>
      </c>
      <c r="P282" s="3">
        <f t="shared" si="8"/>
        <v>32423</v>
      </c>
      <c r="Q282" s="3">
        <v>8271</v>
      </c>
      <c r="R282" s="3">
        <v>23855</v>
      </c>
      <c r="S282" s="5">
        <f t="shared" si="9"/>
        <v>297</v>
      </c>
    </row>
    <row r="283" spans="1:19" ht="18.75" customHeight="1">
      <c r="A283" s="4" t="s">
        <v>21</v>
      </c>
      <c r="B283" s="10">
        <v>45939</v>
      </c>
      <c r="C283" s="2">
        <v>1340</v>
      </c>
      <c r="D283" s="2">
        <v>895</v>
      </c>
      <c r="E283" s="2">
        <v>0</v>
      </c>
      <c r="F283" s="2">
        <v>2977</v>
      </c>
      <c r="G283" s="2">
        <v>3124</v>
      </c>
      <c r="H283" s="2">
        <v>705</v>
      </c>
      <c r="I283" s="2">
        <v>2320</v>
      </c>
      <c r="J283" s="2">
        <v>0</v>
      </c>
      <c r="K283" s="2">
        <v>10603</v>
      </c>
      <c r="L283" s="2">
        <v>7681</v>
      </c>
      <c r="M283" s="2">
        <v>1200</v>
      </c>
      <c r="N283" s="2">
        <v>0</v>
      </c>
      <c r="O283" s="2">
        <v>0</v>
      </c>
      <c r="P283" s="3">
        <f t="shared" si="8"/>
        <v>30845</v>
      </c>
      <c r="Q283" s="3">
        <v>9635</v>
      </c>
      <c r="R283" s="3">
        <v>17750</v>
      </c>
      <c r="S283" s="5">
        <f t="shared" si="9"/>
        <v>3460</v>
      </c>
    </row>
    <row r="284" spans="1:19" ht="18.75" customHeight="1">
      <c r="A284" s="4" t="s">
        <v>22</v>
      </c>
      <c r="B284" s="10">
        <v>45940</v>
      </c>
      <c r="C284" s="2">
        <v>2524</v>
      </c>
      <c r="D284" s="2">
        <v>0</v>
      </c>
      <c r="E284" s="2">
        <v>0</v>
      </c>
      <c r="F284" s="2">
        <v>4361</v>
      </c>
      <c r="G284" s="2">
        <v>3822</v>
      </c>
      <c r="H284" s="2">
        <v>0</v>
      </c>
      <c r="I284" s="2">
        <v>510</v>
      </c>
      <c r="J284" s="2">
        <v>0</v>
      </c>
      <c r="K284" s="2">
        <v>14905</v>
      </c>
      <c r="L284" s="2">
        <v>11186</v>
      </c>
      <c r="M284" s="2">
        <v>1703</v>
      </c>
      <c r="N284" s="2">
        <v>0</v>
      </c>
      <c r="O284" s="2">
        <v>0</v>
      </c>
      <c r="P284" s="3">
        <f t="shared" si="8"/>
        <v>39011</v>
      </c>
      <c r="Q284" s="3">
        <v>7755</v>
      </c>
      <c r="R284" s="3">
        <v>18704</v>
      </c>
      <c r="S284" s="5">
        <f t="shared" si="9"/>
        <v>12552</v>
      </c>
    </row>
    <row r="285" spans="1:19" ht="18.75" customHeight="1">
      <c r="A285" s="4" t="s">
        <v>23</v>
      </c>
      <c r="B285" s="10">
        <v>45941</v>
      </c>
      <c r="C285" s="2">
        <v>4625</v>
      </c>
      <c r="D285" s="2">
        <v>1275</v>
      </c>
      <c r="E285" s="2">
        <v>0</v>
      </c>
      <c r="F285" s="2">
        <v>3065</v>
      </c>
      <c r="G285" s="2">
        <v>1662</v>
      </c>
      <c r="H285" s="2">
        <v>790</v>
      </c>
      <c r="I285" s="2">
        <v>2304</v>
      </c>
      <c r="J285" s="2">
        <v>0</v>
      </c>
      <c r="K285" s="2">
        <v>22829</v>
      </c>
      <c r="L285" s="2">
        <v>13744</v>
      </c>
      <c r="M285" s="2">
        <v>1340</v>
      </c>
      <c r="N285" s="2">
        <v>0</v>
      </c>
      <c r="O285" s="2">
        <v>0</v>
      </c>
      <c r="P285" s="3">
        <f t="shared" si="8"/>
        <v>51634</v>
      </c>
      <c r="Q285" s="3">
        <v>13685</v>
      </c>
      <c r="R285" s="3">
        <v>30851</v>
      </c>
      <c r="S285" s="5">
        <f t="shared" si="9"/>
        <v>7098</v>
      </c>
    </row>
    <row r="286" spans="1:19" ht="18.75" customHeight="1">
      <c r="A286" s="4" t="s">
        <v>17</v>
      </c>
      <c r="B286" s="10">
        <v>45942</v>
      </c>
      <c r="C286" s="2">
        <v>1300</v>
      </c>
      <c r="D286" s="2">
        <v>1120</v>
      </c>
      <c r="E286" s="2">
        <v>0</v>
      </c>
      <c r="F286" s="2">
        <v>2805</v>
      </c>
      <c r="G286" s="2">
        <v>2435</v>
      </c>
      <c r="H286" s="2">
        <v>420</v>
      </c>
      <c r="I286" s="2">
        <v>985</v>
      </c>
      <c r="J286" s="2">
        <v>0</v>
      </c>
      <c r="K286" s="2">
        <v>23249</v>
      </c>
      <c r="L286" s="2">
        <v>16471</v>
      </c>
      <c r="M286" s="2">
        <v>1997</v>
      </c>
      <c r="N286" s="2">
        <v>409</v>
      </c>
      <c r="O286" s="2">
        <v>2290</v>
      </c>
      <c r="P286" s="3">
        <f t="shared" si="8"/>
        <v>53481</v>
      </c>
      <c r="Q286" s="3">
        <v>22875</v>
      </c>
      <c r="R286" s="3">
        <v>13245</v>
      </c>
      <c r="S286" s="5">
        <f t="shared" si="9"/>
        <v>17361</v>
      </c>
    </row>
    <row r="287" spans="1:19" ht="18.75" customHeight="1">
      <c r="A287" s="4" t="s">
        <v>18</v>
      </c>
      <c r="B287" s="10">
        <v>45943</v>
      </c>
      <c r="C287" s="2">
        <v>2420</v>
      </c>
      <c r="D287" s="2">
        <v>1310</v>
      </c>
      <c r="E287" s="2">
        <v>0</v>
      </c>
      <c r="F287" s="2">
        <v>3325</v>
      </c>
      <c r="G287" s="2">
        <v>1860</v>
      </c>
      <c r="H287" s="2">
        <v>1751</v>
      </c>
      <c r="I287" s="2">
        <v>1806</v>
      </c>
      <c r="J287" s="2">
        <v>0</v>
      </c>
      <c r="K287" s="2">
        <v>16450</v>
      </c>
      <c r="L287" s="2">
        <v>5763</v>
      </c>
      <c r="M287" s="2">
        <v>887</v>
      </c>
      <c r="N287" s="2">
        <v>407</v>
      </c>
      <c r="O287" s="2">
        <v>0</v>
      </c>
      <c r="P287" s="3">
        <f t="shared" si="8"/>
        <v>35979</v>
      </c>
      <c r="Q287" s="3">
        <v>17490</v>
      </c>
      <c r="R287" s="3">
        <v>15327</v>
      </c>
      <c r="S287" s="5">
        <f t="shared" si="9"/>
        <v>3162</v>
      </c>
    </row>
    <row r="288" spans="1:19" ht="18.75" customHeight="1">
      <c r="A288" s="4" t="s">
        <v>19</v>
      </c>
      <c r="B288" s="10">
        <v>45944</v>
      </c>
      <c r="C288" s="2">
        <v>2625</v>
      </c>
      <c r="D288" s="2">
        <v>1965</v>
      </c>
      <c r="E288" s="2">
        <v>0</v>
      </c>
      <c r="F288" s="2">
        <v>2748</v>
      </c>
      <c r="G288" s="2">
        <v>2553</v>
      </c>
      <c r="H288" s="2">
        <v>265</v>
      </c>
      <c r="I288" s="2">
        <v>2199</v>
      </c>
      <c r="J288" s="2">
        <v>0</v>
      </c>
      <c r="K288" s="2">
        <v>9854</v>
      </c>
      <c r="L288" s="2">
        <v>5977</v>
      </c>
      <c r="M288" s="2">
        <v>1039</v>
      </c>
      <c r="N288" s="2">
        <v>270</v>
      </c>
      <c r="O288" s="2">
        <v>0</v>
      </c>
      <c r="P288" s="3">
        <f t="shared" si="8"/>
        <v>29495</v>
      </c>
      <c r="Q288" s="3">
        <v>9755</v>
      </c>
      <c r="R288" s="3">
        <v>19365</v>
      </c>
      <c r="S288" s="5">
        <f t="shared" si="9"/>
        <v>375</v>
      </c>
    </row>
    <row r="289" spans="1:19" ht="18.75" customHeight="1">
      <c r="A289" s="4" t="s">
        <v>20</v>
      </c>
      <c r="B289" s="10">
        <v>45945</v>
      </c>
      <c r="C289" s="2">
        <v>1035</v>
      </c>
      <c r="D289" s="2">
        <v>1035</v>
      </c>
      <c r="E289" s="2">
        <v>0</v>
      </c>
      <c r="F289" s="2">
        <v>2900</v>
      </c>
      <c r="G289" s="2">
        <v>2037</v>
      </c>
      <c r="H289" s="2">
        <v>878</v>
      </c>
      <c r="I289" s="2">
        <v>1525</v>
      </c>
      <c r="J289" s="2">
        <v>0</v>
      </c>
      <c r="K289" s="2">
        <v>12006</v>
      </c>
      <c r="L289" s="2">
        <v>8012</v>
      </c>
      <c r="M289" s="2">
        <v>825</v>
      </c>
      <c r="N289" s="2">
        <v>270</v>
      </c>
      <c r="O289" s="2">
        <v>0</v>
      </c>
      <c r="P289" s="3">
        <f t="shared" si="8"/>
        <v>30523</v>
      </c>
      <c r="Q289" s="3">
        <v>8845</v>
      </c>
      <c r="R289" s="3">
        <v>19549</v>
      </c>
      <c r="S289" s="5">
        <f t="shared" si="9"/>
        <v>2129</v>
      </c>
    </row>
    <row r="290" spans="1:19" ht="18.75" customHeight="1">
      <c r="A290" s="4" t="s">
        <v>21</v>
      </c>
      <c r="B290" s="10">
        <v>45946</v>
      </c>
      <c r="C290" s="2">
        <v>1780</v>
      </c>
      <c r="D290" s="2">
        <v>1225</v>
      </c>
      <c r="E290" s="2">
        <v>0</v>
      </c>
      <c r="F290" s="2">
        <v>2604</v>
      </c>
      <c r="G290" s="2">
        <v>1993</v>
      </c>
      <c r="H290" s="2">
        <v>765</v>
      </c>
      <c r="I290" s="2">
        <v>1861</v>
      </c>
      <c r="J290" s="2">
        <v>0</v>
      </c>
      <c r="K290" s="2">
        <v>14174</v>
      </c>
      <c r="L290" s="2">
        <v>5830</v>
      </c>
      <c r="M290" s="2">
        <v>1302</v>
      </c>
      <c r="N290" s="2">
        <v>435</v>
      </c>
      <c r="O290" s="2">
        <v>0</v>
      </c>
      <c r="P290" s="3">
        <f t="shared" si="8"/>
        <v>31969</v>
      </c>
      <c r="Q290" s="3">
        <v>14302</v>
      </c>
      <c r="R290" s="3">
        <v>15145</v>
      </c>
      <c r="S290" s="5">
        <f t="shared" si="9"/>
        <v>2522</v>
      </c>
    </row>
    <row r="291" spans="1:19" ht="18.75" customHeight="1">
      <c r="A291" s="4" t="s">
        <v>22</v>
      </c>
      <c r="B291" s="10">
        <v>45947</v>
      </c>
      <c r="C291" s="2">
        <v>1690</v>
      </c>
      <c r="D291" s="2">
        <v>970</v>
      </c>
      <c r="E291" s="2">
        <v>0</v>
      </c>
      <c r="F291" s="2">
        <v>4140</v>
      </c>
      <c r="G291" s="2">
        <v>2308</v>
      </c>
      <c r="H291" s="2">
        <v>875</v>
      </c>
      <c r="I291" s="2">
        <v>2628</v>
      </c>
      <c r="J291" s="2">
        <v>0</v>
      </c>
      <c r="K291" s="2">
        <v>11516</v>
      </c>
      <c r="L291" s="2">
        <v>12807</v>
      </c>
      <c r="M291" s="2">
        <v>490</v>
      </c>
      <c r="N291" s="2">
        <v>300</v>
      </c>
      <c r="O291" s="2">
        <v>0</v>
      </c>
      <c r="P291" s="3">
        <f t="shared" si="8"/>
        <v>37724</v>
      </c>
      <c r="Q291" s="3">
        <v>9382</v>
      </c>
      <c r="R291" s="3">
        <v>24203</v>
      </c>
      <c r="S291" s="5">
        <f t="shared" si="9"/>
        <v>4139</v>
      </c>
    </row>
    <row r="292" spans="1:19" ht="18.75" customHeight="1">
      <c r="A292" s="4" t="s">
        <v>23</v>
      </c>
      <c r="B292" s="10">
        <v>45948</v>
      </c>
      <c r="C292" s="2">
        <v>2575</v>
      </c>
      <c r="D292" s="2">
        <v>1605</v>
      </c>
      <c r="E292" s="2">
        <v>0</v>
      </c>
      <c r="F292" s="2">
        <v>2005</v>
      </c>
      <c r="G292" s="2">
        <v>2636</v>
      </c>
      <c r="H292" s="2">
        <v>703</v>
      </c>
      <c r="I292" s="2">
        <v>2114</v>
      </c>
      <c r="J292" s="2">
        <v>0</v>
      </c>
      <c r="K292" s="2">
        <v>17013</v>
      </c>
      <c r="L292" s="2">
        <v>16517</v>
      </c>
      <c r="M292" s="2">
        <v>1253</v>
      </c>
      <c r="N292" s="2">
        <v>520</v>
      </c>
      <c r="O292" s="2">
        <v>0</v>
      </c>
      <c r="P292" s="3">
        <f t="shared" si="8"/>
        <v>46941</v>
      </c>
      <c r="Q292" s="3">
        <v>14082</v>
      </c>
      <c r="R292" s="3">
        <v>27651</v>
      </c>
      <c r="S292" s="5">
        <f t="shared" si="9"/>
        <v>5208</v>
      </c>
    </row>
    <row r="293" spans="1:19" ht="18.75" customHeight="1">
      <c r="A293" s="4" t="s">
        <v>17</v>
      </c>
      <c r="B293" s="10">
        <v>45949</v>
      </c>
      <c r="C293" s="2">
        <v>1250</v>
      </c>
      <c r="D293" s="2">
        <v>615</v>
      </c>
      <c r="E293" s="2">
        <v>0</v>
      </c>
      <c r="F293" s="2">
        <v>3328</v>
      </c>
      <c r="G293" s="2">
        <v>4373</v>
      </c>
      <c r="H293" s="2">
        <v>1108</v>
      </c>
      <c r="I293" s="2">
        <v>1326</v>
      </c>
      <c r="J293" s="2">
        <v>0</v>
      </c>
      <c r="K293" s="2">
        <v>19814</v>
      </c>
      <c r="L293" s="2">
        <v>15650</v>
      </c>
      <c r="M293" s="2">
        <v>190</v>
      </c>
      <c r="N293" s="2">
        <v>665</v>
      </c>
      <c r="O293" s="2">
        <v>2313</v>
      </c>
      <c r="P293" s="3">
        <f t="shared" si="8"/>
        <v>50632</v>
      </c>
      <c r="Q293" s="3">
        <v>17385</v>
      </c>
      <c r="R293" s="3">
        <v>13537</v>
      </c>
      <c r="S293" s="5">
        <f t="shared" si="9"/>
        <v>19710</v>
      </c>
    </row>
    <row r="294" spans="1:19" ht="18.75" customHeight="1">
      <c r="A294" s="4" t="s">
        <v>18</v>
      </c>
      <c r="B294" s="10">
        <v>45950</v>
      </c>
      <c r="C294" s="2">
        <v>2200</v>
      </c>
      <c r="D294" s="2">
        <v>1665</v>
      </c>
      <c r="E294" s="2">
        <v>0</v>
      </c>
      <c r="F294" s="2">
        <v>2876</v>
      </c>
      <c r="G294" s="2">
        <v>2480</v>
      </c>
      <c r="H294" s="2">
        <v>595</v>
      </c>
      <c r="I294" s="2">
        <v>1915</v>
      </c>
      <c r="J294" s="2">
        <v>0</v>
      </c>
      <c r="K294" s="2">
        <v>11457</v>
      </c>
      <c r="L294" s="2">
        <v>200</v>
      </c>
      <c r="M294" s="2">
        <v>4474</v>
      </c>
      <c r="N294" s="2">
        <v>323</v>
      </c>
      <c r="O294" s="2">
        <v>0</v>
      </c>
      <c r="P294" s="3">
        <f t="shared" si="8"/>
        <v>28185</v>
      </c>
      <c r="Q294" s="3">
        <v>13345</v>
      </c>
      <c r="R294" s="3">
        <v>17415</v>
      </c>
      <c r="S294" s="5">
        <f t="shared" si="9"/>
        <v>-2575</v>
      </c>
    </row>
    <row r="295" spans="1:19" ht="18.75" customHeight="1">
      <c r="A295" s="4" t="s">
        <v>19</v>
      </c>
      <c r="B295" s="10">
        <v>45951</v>
      </c>
      <c r="C295" s="2">
        <v>2035</v>
      </c>
      <c r="D295" s="2">
        <v>795</v>
      </c>
      <c r="E295" s="2">
        <v>0</v>
      </c>
      <c r="F295" s="2">
        <v>3482</v>
      </c>
      <c r="G295" s="2">
        <v>3006</v>
      </c>
      <c r="H295" s="2">
        <v>570</v>
      </c>
      <c r="I295" s="2">
        <v>2006</v>
      </c>
      <c r="J295" s="2">
        <v>0</v>
      </c>
      <c r="K295" s="2">
        <v>5141</v>
      </c>
      <c r="L295" s="2">
        <v>4746</v>
      </c>
      <c r="M295" s="2">
        <v>540</v>
      </c>
      <c r="N295" s="2">
        <v>652</v>
      </c>
      <c r="O295" s="2">
        <v>0</v>
      </c>
      <c r="P295" s="3">
        <f t="shared" si="8"/>
        <v>22973</v>
      </c>
      <c r="Q295" s="3">
        <v>9860</v>
      </c>
      <c r="R295" s="3">
        <v>12091</v>
      </c>
      <c r="S295" s="5">
        <f t="shared" si="9"/>
        <v>1022</v>
      </c>
    </row>
    <row r="296" spans="1:19" ht="18.75" customHeight="1">
      <c r="A296" s="4" t="s">
        <v>20</v>
      </c>
      <c r="B296" s="10">
        <v>45952</v>
      </c>
      <c r="C296" s="2">
        <v>1685</v>
      </c>
      <c r="D296" s="2">
        <v>1050</v>
      </c>
      <c r="E296" s="2">
        <v>0</v>
      </c>
      <c r="F296" s="2">
        <v>2726</v>
      </c>
      <c r="G296" s="2">
        <v>2050</v>
      </c>
      <c r="H296" s="2">
        <v>758</v>
      </c>
      <c r="I296" s="2">
        <v>1448</v>
      </c>
      <c r="J296" s="2">
        <v>0</v>
      </c>
      <c r="K296" s="2">
        <v>12158</v>
      </c>
      <c r="L296" s="2">
        <v>8574</v>
      </c>
      <c r="M296" s="2">
        <v>1860</v>
      </c>
      <c r="N296" s="2">
        <v>291</v>
      </c>
      <c r="O296" s="2">
        <v>0</v>
      </c>
      <c r="P296" s="3">
        <f t="shared" si="8"/>
        <v>32600</v>
      </c>
      <c r="Q296" s="3">
        <v>12049</v>
      </c>
      <c r="R296" s="3">
        <v>18431</v>
      </c>
      <c r="S296" s="5">
        <f t="shared" si="9"/>
        <v>2120</v>
      </c>
    </row>
    <row r="297" spans="1:19" ht="18.75" customHeight="1">
      <c r="A297" s="4" t="s">
        <v>21</v>
      </c>
      <c r="B297" s="10">
        <v>45953</v>
      </c>
      <c r="C297" s="2">
        <v>2045</v>
      </c>
      <c r="D297" s="2">
        <v>1085</v>
      </c>
      <c r="E297" s="2">
        <v>0</v>
      </c>
      <c r="F297" s="2">
        <v>2950</v>
      </c>
      <c r="G297" s="2">
        <v>4046</v>
      </c>
      <c r="H297" s="2">
        <v>940</v>
      </c>
      <c r="I297" s="2">
        <v>2032</v>
      </c>
      <c r="J297" s="2">
        <v>0</v>
      </c>
      <c r="K297" s="2">
        <v>11042</v>
      </c>
      <c r="L297" s="2">
        <v>8094</v>
      </c>
      <c r="M297" s="2">
        <v>90</v>
      </c>
      <c r="N297" s="2">
        <v>430</v>
      </c>
      <c r="O297" s="2">
        <v>0</v>
      </c>
      <c r="P297" s="3">
        <f t="shared" si="8"/>
        <v>32754</v>
      </c>
      <c r="Q297" s="3">
        <v>8687</v>
      </c>
      <c r="R297" s="3">
        <v>11664</v>
      </c>
      <c r="S297" s="5">
        <f t="shared" si="9"/>
        <v>12403</v>
      </c>
    </row>
    <row r="298" spans="1:19" ht="18.75" customHeight="1">
      <c r="A298" s="4" t="s">
        <v>22</v>
      </c>
      <c r="B298" s="10">
        <v>45954</v>
      </c>
      <c r="C298" s="2">
        <v>2425</v>
      </c>
      <c r="D298" s="2">
        <v>1529</v>
      </c>
      <c r="E298" s="2">
        <v>0</v>
      </c>
      <c r="F298" s="2">
        <v>1480</v>
      </c>
      <c r="G298" s="2">
        <v>3466</v>
      </c>
      <c r="H298" s="2">
        <v>430</v>
      </c>
      <c r="I298" s="2">
        <v>1156</v>
      </c>
      <c r="J298" s="2">
        <v>0</v>
      </c>
      <c r="K298" s="2">
        <v>11227</v>
      </c>
      <c r="L298" s="2">
        <v>7748</v>
      </c>
      <c r="M298" s="2">
        <v>1332</v>
      </c>
      <c r="N298" s="2">
        <v>466</v>
      </c>
      <c r="O298" s="2">
        <v>0</v>
      </c>
      <c r="P298" s="3">
        <f t="shared" si="8"/>
        <v>31259</v>
      </c>
      <c r="Q298" s="3">
        <v>8515</v>
      </c>
      <c r="R298" s="3">
        <v>13442</v>
      </c>
      <c r="S298" s="5">
        <f t="shared" si="9"/>
        <v>9302</v>
      </c>
    </row>
    <row r="299" spans="1:19" ht="18.75" customHeight="1">
      <c r="A299" s="4" t="s">
        <v>23</v>
      </c>
      <c r="B299" s="10">
        <v>45955</v>
      </c>
      <c r="C299" s="2">
        <v>2140</v>
      </c>
      <c r="D299" s="2">
        <v>1525</v>
      </c>
      <c r="E299" s="2">
        <v>0</v>
      </c>
      <c r="F299" s="2">
        <v>3491</v>
      </c>
      <c r="G299" s="2">
        <v>1358</v>
      </c>
      <c r="H299" s="2">
        <v>788</v>
      </c>
      <c r="I299" s="2">
        <v>2146</v>
      </c>
      <c r="J299" s="2">
        <v>0</v>
      </c>
      <c r="K299" s="2">
        <v>13124</v>
      </c>
      <c r="L299" s="2">
        <v>10693</v>
      </c>
      <c r="M299" s="2">
        <v>801</v>
      </c>
      <c r="N299" s="2">
        <v>778</v>
      </c>
      <c r="O299" s="2">
        <v>0</v>
      </c>
      <c r="P299" s="3">
        <f t="shared" si="8"/>
        <v>36844</v>
      </c>
      <c r="Q299" s="3">
        <v>13152</v>
      </c>
      <c r="R299" s="3">
        <v>18609</v>
      </c>
      <c r="S299" s="5">
        <f t="shared" si="9"/>
        <v>5083</v>
      </c>
    </row>
    <row r="300" spans="1:19" ht="18.75" customHeight="1">
      <c r="A300" s="4" t="s">
        <v>17</v>
      </c>
      <c r="B300" s="10">
        <v>45956</v>
      </c>
      <c r="C300" s="2">
        <v>2565</v>
      </c>
      <c r="D300" s="2">
        <v>735</v>
      </c>
      <c r="E300" s="2">
        <v>0</v>
      </c>
      <c r="F300" s="2">
        <v>2645</v>
      </c>
      <c r="G300" s="2">
        <v>3005</v>
      </c>
      <c r="H300" s="2">
        <v>0</v>
      </c>
      <c r="I300" s="2">
        <v>1750</v>
      </c>
      <c r="J300" s="2">
        <v>0</v>
      </c>
      <c r="K300" s="2">
        <v>24835</v>
      </c>
      <c r="L300" s="2">
        <v>14799</v>
      </c>
      <c r="M300" s="2">
        <v>2345</v>
      </c>
      <c r="N300" s="2">
        <v>1028</v>
      </c>
      <c r="O300" s="2">
        <v>2408</v>
      </c>
      <c r="P300" s="3">
        <f t="shared" si="8"/>
        <v>56115</v>
      </c>
      <c r="Q300" s="3">
        <v>18880</v>
      </c>
      <c r="R300" s="3">
        <v>17893</v>
      </c>
      <c r="S300" s="5">
        <f t="shared" si="9"/>
        <v>19342</v>
      </c>
    </row>
    <row r="301" spans="1:19" ht="18.75" customHeight="1">
      <c r="A301" s="4" t="s">
        <v>18</v>
      </c>
      <c r="B301" s="10">
        <v>45957</v>
      </c>
      <c r="C301" s="2">
        <v>1510</v>
      </c>
      <c r="D301" s="2">
        <v>586</v>
      </c>
      <c r="E301" s="2">
        <v>0</v>
      </c>
      <c r="F301" s="2">
        <v>3210</v>
      </c>
      <c r="G301" s="2">
        <v>2779</v>
      </c>
      <c r="H301" s="2">
        <v>1120</v>
      </c>
      <c r="I301" s="2">
        <v>965</v>
      </c>
      <c r="J301" s="2">
        <v>0</v>
      </c>
      <c r="K301" s="2">
        <v>10625</v>
      </c>
      <c r="L301" s="2">
        <v>7132</v>
      </c>
      <c r="M301" s="2">
        <v>608</v>
      </c>
      <c r="N301" s="2">
        <v>0</v>
      </c>
      <c r="O301" s="2">
        <v>0</v>
      </c>
      <c r="P301" s="3">
        <f t="shared" si="8"/>
        <v>28535</v>
      </c>
      <c r="Q301" s="3">
        <v>9565</v>
      </c>
      <c r="R301" s="3">
        <v>17577</v>
      </c>
      <c r="S301" s="5">
        <f t="shared" si="9"/>
        <v>1393</v>
      </c>
    </row>
    <row r="302" spans="1:19" ht="18.75" customHeight="1">
      <c r="A302" s="4" t="s">
        <v>19</v>
      </c>
      <c r="B302" s="10">
        <v>45958</v>
      </c>
      <c r="C302" s="2">
        <v>1661</v>
      </c>
      <c r="D302" s="2">
        <v>1215</v>
      </c>
      <c r="E302" s="2">
        <v>0</v>
      </c>
      <c r="F302" s="2">
        <v>2652</v>
      </c>
      <c r="G302" s="2">
        <v>2073</v>
      </c>
      <c r="H302" s="2">
        <v>741</v>
      </c>
      <c r="I302" s="2">
        <v>1703</v>
      </c>
      <c r="J302" s="2">
        <v>0</v>
      </c>
      <c r="K302" s="2">
        <v>9277</v>
      </c>
      <c r="L302" s="2">
        <v>5480</v>
      </c>
      <c r="M302" s="2">
        <v>190</v>
      </c>
      <c r="N302" s="2">
        <v>135</v>
      </c>
      <c r="O302" s="2">
        <v>0</v>
      </c>
      <c r="P302" s="3">
        <f t="shared" si="8"/>
        <v>25127</v>
      </c>
      <c r="Q302" s="3">
        <v>9605</v>
      </c>
      <c r="R302" s="3">
        <v>12261</v>
      </c>
      <c r="S302" s="5">
        <f t="shared" si="9"/>
        <v>3261</v>
      </c>
    </row>
    <row r="303" spans="1:19" ht="18.75" customHeight="1">
      <c r="A303" s="4" t="s">
        <v>20</v>
      </c>
      <c r="B303" s="10">
        <v>45959</v>
      </c>
      <c r="C303" s="2">
        <v>1060</v>
      </c>
      <c r="D303" s="2">
        <v>375</v>
      </c>
      <c r="E303" s="2">
        <v>0</v>
      </c>
      <c r="F303" s="2">
        <v>4577</v>
      </c>
      <c r="G303" s="2">
        <v>3579</v>
      </c>
      <c r="H303" s="2">
        <v>945</v>
      </c>
      <c r="I303" s="2">
        <v>2270</v>
      </c>
      <c r="J303" s="2">
        <v>0</v>
      </c>
      <c r="K303" s="2">
        <v>8029</v>
      </c>
      <c r="L303" s="2">
        <v>9161</v>
      </c>
      <c r="M303" s="2">
        <v>2018</v>
      </c>
      <c r="N303" s="2">
        <v>90</v>
      </c>
      <c r="O303" s="2">
        <v>0</v>
      </c>
      <c r="P303" s="3">
        <f t="shared" si="8"/>
        <v>32104</v>
      </c>
      <c r="Q303" s="3">
        <v>13227</v>
      </c>
      <c r="R303" s="3">
        <v>13407</v>
      </c>
      <c r="S303" s="5">
        <f t="shared" si="9"/>
        <v>5470</v>
      </c>
    </row>
    <row r="304" spans="1:19" ht="18.75" customHeight="1">
      <c r="A304" s="4" t="s">
        <v>21</v>
      </c>
      <c r="B304" s="10">
        <v>45960</v>
      </c>
      <c r="C304" s="2">
        <v>2020</v>
      </c>
      <c r="D304" s="2">
        <v>740</v>
      </c>
      <c r="E304" s="2">
        <v>0</v>
      </c>
      <c r="F304" s="2">
        <v>2897</v>
      </c>
      <c r="G304" s="2">
        <v>4238</v>
      </c>
      <c r="H304" s="2">
        <v>475</v>
      </c>
      <c r="I304" s="2">
        <v>1425</v>
      </c>
      <c r="J304" s="2">
        <v>0</v>
      </c>
      <c r="K304" s="2">
        <v>15269</v>
      </c>
      <c r="L304" s="2">
        <v>6402</v>
      </c>
      <c r="M304" s="2">
        <v>1083</v>
      </c>
      <c r="N304" s="2">
        <v>468</v>
      </c>
      <c r="O304" s="2">
        <v>0</v>
      </c>
      <c r="P304" s="3">
        <f t="shared" si="8"/>
        <v>35017</v>
      </c>
      <c r="Q304" s="3">
        <v>10530</v>
      </c>
      <c r="R304" s="3">
        <v>18947</v>
      </c>
      <c r="S304" s="5">
        <f t="shared" si="9"/>
        <v>5540</v>
      </c>
    </row>
    <row r="305" spans="1:19" ht="18.75" customHeight="1">
      <c r="A305" s="4" t="s">
        <v>22</v>
      </c>
      <c r="B305" s="10">
        <v>45961</v>
      </c>
      <c r="C305" s="2">
        <v>2533</v>
      </c>
      <c r="D305" s="2">
        <v>850</v>
      </c>
      <c r="E305" s="2">
        <v>0</v>
      </c>
      <c r="F305" s="2">
        <v>2395</v>
      </c>
      <c r="G305" s="2">
        <v>2152</v>
      </c>
      <c r="H305" s="2">
        <v>731</v>
      </c>
      <c r="I305" s="2">
        <v>3311</v>
      </c>
      <c r="J305" s="2">
        <v>0</v>
      </c>
      <c r="K305" s="2">
        <v>13877</v>
      </c>
      <c r="L305" s="2">
        <v>8916</v>
      </c>
      <c r="M305" s="2">
        <v>1049</v>
      </c>
      <c r="N305" s="2">
        <v>551</v>
      </c>
      <c r="O305" s="2">
        <v>0</v>
      </c>
      <c r="P305" s="3">
        <f t="shared" si="8"/>
        <v>36365</v>
      </c>
      <c r="Q305" s="3">
        <v>10050</v>
      </c>
      <c r="R305" s="3">
        <v>20266</v>
      </c>
      <c r="S305" s="5">
        <f t="shared" si="9"/>
        <v>6049</v>
      </c>
    </row>
    <row r="306" spans="1:19" ht="18.75" customHeight="1">
      <c r="A306" s="4" t="s">
        <v>23</v>
      </c>
      <c r="B306" s="10">
        <v>45962</v>
      </c>
      <c r="C306" s="2">
        <v>2435</v>
      </c>
      <c r="D306" s="2">
        <v>1070</v>
      </c>
      <c r="E306" s="2">
        <v>0</v>
      </c>
      <c r="F306" s="2">
        <v>2195</v>
      </c>
      <c r="G306" s="2">
        <v>1963</v>
      </c>
      <c r="H306" s="2">
        <v>583</v>
      </c>
      <c r="I306" s="2">
        <v>1369</v>
      </c>
      <c r="J306" s="2">
        <v>0</v>
      </c>
      <c r="K306" s="2">
        <v>12902</v>
      </c>
      <c r="L306" s="2">
        <v>11203</v>
      </c>
      <c r="M306" s="2">
        <v>955</v>
      </c>
      <c r="N306" s="2">
        <v>237</v>
      </c>
      <c r="O306" s="2">
        <v>0</v>
      </c>
      <c r="P306" s="3">
        <f t="shared" si="8"/>
        <v>34912</v>
      </c>
      <c r="Q306" s="3">
        <v>11390</v>
      </c>
      <c r="R306" s="3">
        <v>26054</v>
      </c>
      <c r="S306" s="5">
        <f t="shared" si="9"/>
        <v>-2532</v>
      </c>
    </row>
    <row r="307" spans="1:19" ht="18.75" customHeight="1">
      <c r="A307" s="4" t="s">
        <v>17</v>
      </c>
      <c r="B307" s="10">
        <v>45963</v>
      </c>
      <c r="C307" s="2">
        <v>2039</v>
      </c>
      <c r="D307" s="2">
        <v>660</v>
      </c>
      <c r="E307" s="2">
        <v>0</v>
      </c>
      <c r="F307" s="2">
        <v>3212</v>
      </c>
      <c r="G307" s="2">
        <v>3255</v>
      </c>
      <c r="H307" s="2">
        <v>0</v>
      </c>
      <c r="I307" s="2">
        <v>520</v>
      </c>
      <c r="J307" s="2">
        <v>0</v>
      </c>
      <c r="K307" s="2">
        <v>19249</v>
      </c>
      <c r="L307" s="2">
        <v>16064</v>
      </c>
      <c r="M307" s="2">
        <v>1109</v>
      </c>
      <c r="N307" s="2">
        <v>1454</v>
      </c>
      <c r="O307" s="2">
        <v>3356</v>
      </c>
      <c r="P307" s="3">
        <f t="shared" si="8"/>
        <v>50918</v>
      </c>
      <c r="Q307" s="3">
        <v>17510</v>
      </c>
      <c r="R307" s="3">
        <v>10553</v>
      </c>
      <c r="S307" s="5">
        <f t="shared" si="9"/>
        <v>22855</v>
      </c>
    </row>
    <row r="308" spans="1:19" ht="18.75" customHeight="1">
      <c r="A308" s="4" t="s">
        <v>19</v>
      </c>
      <c r="B308" s="10">
        <v>45964</v>
      </c>
      <c r="C308" s="2">
        <v>1620</v>
      </c>
      <c r="D308" s="2">
        <v>1155</v>
      </c>
      <c r="E308" s="2">
        <v>0</v>
      </c>
      <c r="F308" s="2">
        <v>3625</v>
      </c>
      <c r="G308" s="2">
        <v>2173</v>
      </c>
      <c r="H308" s="2">
        <v>770</v>
      </c>
      <c r="I308" s="2">
        <v>2058</v>
      </c>
      <c r="J308" s="2">
        <v>0</v>
      </c>
      <c r="K308" s="2">
        <v>10141</v>
      </c>
      <c r="L308" s="2">
        <v>6551</v>
      </c>
      <c r="M308" s="2">
        <v>772</v>
      </c>
      <c r="N308" s="2">
        <v>90</v>
      </c>
      <c r="O308" s="2">
        <v>0</v>
      </c>
      <c r="P308" s="3">
        <f t="shared" si="8"/>
        <v>28955</v>
      </c>
      <c r="Q308" s="3">
        <v>13095</v>
      </c>
      <c r="R308" s="3">
        <v>12305</v>
      </c>
      <c r="S308" s="5">
        <f t="shared" si="9"/>
        <v>3555</v>
      </c>
    </row>
    <row r="309" spans="1:19" ht="18.75" customHeight="1">
      <c r="A309" s="4" t="s">
        <v>20</v>
      </c>
      <c r="B309" s="10">
        <v>45965</v>
      </c>
      <c r="C309" s="2">
        <v>1660</v>
      </c>
      <c r="D309" s="2">
        <v>2240</v>
      </c>
      <c r="E309" s="2">
        <v>0</v>
      </c>
      <c r="F309" s="2">
        <v>3961</v>
      </c>
      <c r="G309" s="2">
        <v>1902</v>
      </c>
      <c r="H309" s="2">
        <v>710</v>
      </c>
      <c r="I309" s="2">
        <v>1115</v>
      </c>
      <c r="J309" s="2">
        <v>0</v>
      </c>
      <c r="K309" s="2">
        <v>8774</v>
      </c>
      <c r="L309" s="2">
        <v>7684</v>
      </c>
      <c r="M309" s="2">
        <v>1323</v>
      </c>
      <c r="N309" s="2">
        <v>75</v>
      </c>
      <c r="O309" s="2">
        <v>0</v>
      </c>
      <c r="P309" s="3">
        <f t="shared" si="8"/>
        <v>29444</v>
      </c>
      <c r="Q309" s="3">
        <v>8590</v>
      </c>
      <c r="R309" s="3">
        <v>16958</v>
      </c>
      <c r="S309" s="5">
        <f t="shared" si="9"/>
        <v>3896</v>
      </c>
    </row>
    <row r="310" spans="1:19" ht="18.75" customHeight="1">
      <c r="A310" s="4" t="s">
        <v>21</v>
      </c>
      <c r="B310" s="10">
        <v>45966</v>
      </c>
      <c r="C310" s="2">
        <v>1220</v>
      </c>
      <c r="D310" s="2">
        <v>1740</v>
      </c>
      <c r="E310" s="2">
        <v>0</v>
      </c>
      <c r="F310" s="2">
        <v>3412</v>
      </c>
      <c r="G310" s="2">
        <v>2570</v>
      </c>
      <c r="H310" s="2">
        <v>970</v>
      </c>
      <c r="I310" s="2">
        <v>1641</v>
      </c>
      <c r="J310" s="2">
        <v>0</v>
      </c>
      <c r="K310" s="2">
        <v>13007</v>
      </c>
      <c r="L310" s="2">
        <v>7441</v>
      </c>
      <c r="M310" s="2">
        <v>1934</v>
      </c>
      <c r="N310" s="2">
        <v>165</v>
      </c>
      <c r="O310" s="2">
        <v>0</v>
      </c>
      <c r="P310" s="3">
        <f t="shared" si="8"/>
        <v>34100</v>
      </c>
      <c r="Q310" s="3">
        <v>8926</v>
      </c>
      <c r="R310" s="3">
        <v>18776</v>
      </c>
      <c r="S310" s="5">
        <f t="shared" si="9"/>
        <v>6398</v>
      </c>
    </row>
    <row r="311" spans="1:19" ht="18.75" customHeight="1">
      <c r="A311" s="4" t="s">
        <v>22</v>
      </c>
      <c r="B311" s="10">
        <v>45967</v>
      </c>
      <c r="C311" s="2">
        <v>1775</v>
      </c>
      <c r="D311" s="2">
        <v>1720</v>
      </c>
      <c r="E311" s="2">
        <v>0</v>
      </c>
      <c r="F311" s="2">
        <v>2299</v>
      </c>
      <c r="G311" s="2">
        <v>2508</v>
      </c>
      <c r="H311" s="2">
        <v>740</v>
      </c>
      <c r="I311" s="2">
        <v>1938</v>
      </c>
      <c r="J311" s="2">
        <v>0</v>
      </c>
      <c r="K311" s="2">
        <v>11321</v>
      </c>
      <c r="L311" s="2">
        <v>7006</v>
      </c>
      <c r="M311" s="2">
        <v>1275</v>
      </c>
      <c r="N311" s="2">
        <v>150</v>
      </c>
      <c r="O311" s="2">
        <v>0</v>
      </c>
      <c r="P311" s="3">
        <f t="shared" si="8"/>
        <v>30732</v>
      </c>
      <c r="Q311" s="3">
        <v>13640</v>
      </c>
      <c r="R311" s="3">
        <v>11117</v>
      </c>
      <c r="S311" s="5">
        <f t="shared" si="9"/>
        <v>5975</v>
      </c>
    </row>
    <row r="312" spans="1:19" ht="18.75" customHeight="1">
      <c r="A312" s="4" t="s">
        <v>23</v>
      </c>
      <c r="B312" s="10">
        <v>45968</v>
      </c>
      <c r="C312" s="2">
        <v>2075</v>
      </c>
      <c r="D312" s="2">
        <v>1745</v>
      </c>
      <c r="E312" s="2">
        <v>0</v>
      </c>
      <c r="F312" s="2">
        <v>3205</v>
      </c>
      <c r="G312" s="2">
        <v>2100</v>
      </c>
      <c r="H312" s="2">
        <v>1322</v>
      </c>
      <c r="I312" s="2">
        <v>1609</v>
      </c>
      <c r="J312" s="2">
        <v>0</v>
      </c>
      <c r="K312" s="2">
        <v>10039</v>
      </c>
      <c r="L312" s="2">
        <v>7541</v>
      </c>
      <c r="M312" s="2">
        <v>732</v>
      </c>
      <c r="N312" s="2">
        <v>0</v>
      </c>
      <c r="O312" s="2">
        <v>0</v>
      </c>
      <c r="P312" s="3">
        <f t="shared" si="8"/>
        <v>30368</v>
      </c>
      <c r="Q312" s="3">
        <v>12930</v>
      </c>
      <c r="R312" s="3">
        <v>16967</v>
      </c>
      <c r="S312" s="5">
        <f t="shared" si="9"/>
        <v>471</v>
      </c>
    </row>
    <row r="313" spans="1:19" ht="18.75" customHeight="1">
      <c r="A313" s="4" t="s">
        <v>17</v>
      </c>
      <c r="B313" s="10">
        <v>45969</v>
      </c>
      <c r="C313" s="2">
        <v>2775</v>
      </c>
      <c r="D313" s="2">
        <v>1685</v>
      </c>
      <c r="E313" s="2">
        <v>0</v>
      </c>
      <c r="F313" s="2">
        <v>3580</v>
      </c>
      <c r="G313" s="2">
        <v>3000</v>
      </c>
      <c r="H313" s="2">
        <v>989</v>
      </c>
      <c r="I313" s="2">
        <v>2290</v>
      </c>
      <c r="J313" s="2">
        <v>0</v>
      </c>
      <c r="K313" s="2">
        <v>14394</v>
      </c>
      <c r="L313" s="2">
        <v>11399</v>
      </c>
      <c r="M313" s="2">
        <v>654</v>
      </c>
      <c r="N313" s="2">
        <v>515</v>
      </c>
      <c r="O313" s="2">
        <v>0</v>
      </c>
      <c r="P313" s="3">
        <f t="shared" si="8"/>
        <v>41281</v>
      </c>
      <c r="Q313" s="3">
        <v>14827</v>
      </c>
      <c r="R313" s="3">
        <v>24536</v>
      </c>
      <c r="S313" s="5">
        <f t="shared" si="9"/>
        <v>1918</v>
      </c>
    </row>
    <row r="314" spans="1:19" ht="18.75" customHeight="1">
      <c r="A314" s="4" t="s">
        <v>18</v>
      </c>
      <c r="B314" s="10">
        <v>45970</v>
      </c>
      <c r="C314" s="2">
        <v>1190</v>
      </c>
      <c r="D314" s="2">
        <v>1190</v>
      </c>
      <c r="E314" s="2">
        <v>0</v>
      </c>
      <c r="F314" s="2">
        <v>3360</v>
      </c>
      <c r="G314" s="2">
        <v>3042</v>
      </c>
      <c r="H314" s="2">
        <v>433</v>
      </c>
      <c r="I314" s="2">
        <v>1375</v>
      </c>
      <c r="J314" s="2">
        <v>0</v>
      </c>
      <c r="K314" s="2">
        <v>20395</v>
      </c>
      <c r="L314" s="2">
        <v>22433</v>
      </c>
      <c r="M314" s="2">
        <v>615</v>
      </c>
      <c r="N314" s="2">
        <v>339</v>
      </c>
      <c r="O314" s="2">
        <v>3115.06</v>
      </c>
      <c r="P314" s="3">
        <f t="shared" si="8"/>
        <v>57487.06</v>
      </c>
      <c r="Q314" s="3">
        <v>14845</v>
      </c>
      <c r="R314" s="3">
        <v>23193</v>
      </c>
      <c r="S314" s="5">
        <f t="shared" si="9"/>
        <v>19449.059999999998</v>
      </c>
    </row>
    <row r="315" spans="1:19" ht="18.75" customHeight="1">
      <c r="A315" s="4" t="s">
        <v>19</v>
      </c>
      <c r="B315" s="10">
        <v>45971</v>
      </c>
      <c r="C315" s="2">
        <v>2710</v>
      </c>
      <c r="D315" s="2">
        <v>995</v>
      </c>
      <c r="E315" s="2">
        <v>0</v>
      </c>
      <c r="F315" s="2">
        <v>3758</v>
      </c>
      <c r="G315" s="2">
        <v>2536</v>
      </c>
      <c r="H315" s="2">
        <v>845</v>
      </c>
      <c r="I315" s="2">
        <v>1855.5</v>
      </c>
      <c r="J315" s="2">
        <v>0</v>
      </c>
      <c r="K315" s="2">
        <v>12169</v>
      </c>
      <c r="L315" s="2">
        <v>7050</v>
      </c>
      <c r="M315" s="2">
        <v>1514</v>
      </c>
      <c r="N315" s="2">
        <v>240</v>
      </c>
      <c r="O315" s="2">
        <v>0</v>
      </c>
      <c r="P315" s="3">
        <f t="shared" si="8"/>
        <v>33672.5</v>
      </c>
      <c r="Q315" s="3">
        <v>11695</v>
      </c>
      <c r="R315" s="3">
        <v>17480</v>
      </c>
      <c r="S315" s="5">
        <f t="shared" si="9"/>
        <v>4497.5</v>
      </c>
    </row>
    <row r="316" spans="1:19" ht="18.75" customHeight="1">
      <c r="A316" s="4" t="s">
        <v>20</v>
      </c>
      <c r="B316" s="10">
        <v>45972</v>
      </c>
      <c r="C316" s="2">
        <v>1235</v>
      </c>
      <c r="D316" s="2">
        <v>1545</v>
      </c>
      <c r="E316" s="2">
        <v>0</v>
      </c>
      <c r="F316" s="2">
        <v>3114</v>
      </c>
      <c r="G316" s="2">
        <v>1934</v>
      </c>
      <c r="H316" s="2">
        <v>1521</v>
      </c>
      <c r="I316" s="2">
        <v>2113</v>
      </c>
      <c r="J316" s="2">
        <v>0</v>
      </c>
      <c r="K316" s="2">
        <v>9289</v>
      </c>
      <c r="L316" s="2">
        <v>6023</v>
      </c>
      <c r="M316" s="2">
        <v>418</v>
      </c>
      <c r="N316" s="2">
        <v>534</v>
      </c>
      <c r="O316" s="2">
        <v>0</v>
      </c>
      <c r="P316" s="3">
        <f t="shared" si="8"/>
        <v>27726</v>
      </c>
      <c r="Q316" s="3">
        <v>8255</v>
      </c>
      <c r="R316" s="3">
        <v>17562</v>
      </c>
      <c r="S316" s="5">
        <f t="shared" si="9"/>
        <v>1909</v>
      </c>
    </row>
    <row r="317" spans="1:19" ht="18.75" customHeight="1">
      <c r="A317" s="4" t="s">
        <v>21</v>
      </c>
      <c r="B317" s="10">
        <v>45973</v>
      </c>
      <c r="C317" s="2">
        <v>2375</v>
      </c>
      <c r="D317" s="2">
        <v>1420</v>
      </c>
      <c r="E317" s="2">
        <v>0</v>
      </c>
      <c r="F317" s="2">
        <v>1965</v>
      </c>
      <c r="G317" s="2">
        <v>1558</v>
      </c>
      <c r="H317" s="2">
        <v>740</v>
      </c>
      <c r="I317" s="2">
        <v>948</v>
      </c>
      <c r="J317" s="2">
        <v>0</v>
      </c>
      <c r="K317" s="2">
        <v>7843</v>
      </c>
      <c r="L317" s="2">
        <v>4972</v>
      </c>
      <c r="M317" s="2">
        <v>255</v>
      </c>
      <c r="N317" s="2">
        <v>541</v>
      </c>
      <c r="O317" s="2">
        <v>0</v>
      </c>
      <c r="P317" s="3">
        <f t="shared" si="8"/>
        <v>22617</v>
      </c>
      <c r="Q317" s="3">
        <v>12924</v>
      </c>
      <c r="R317" s="3">
        <v>8594</v>
      </c>
      <c r="S317" s="5">
        <f t="shared" si="9"/>
        <v>1099</v>
      </c>
    </row>
    <row r="318" spans="1:19" ht="18.75" customHeight="1">
      <c r="A318" s="4" t="s">
        <v>22</v>
      </c>
      <c r="B318" s="10">
        <v>45974</v>
      </c>
      <c r="C318" s="2">
        <v>500</v>
      </c>
      <c r="D318" s="2">
        <v>1695</v>
      </c>
      <c r="E318" s="2">
        <v>0</v>
      </c>
      <c r="F318" s="2">
        <v>2721</v>
      </c>
      <c r="G318" s="2">
        <v>2140</v>
      </c>
      <c r="H318" s="2">
        <v>1216</v>
      </c>
      <c r="I318" s="2">
        <v>1755</v>
      </c>
      <c r="J318" s="2">
        <v>0</v>
      </c>
      <c r="K318" s="2">
        <v>11436</v>
      </c>
      <c r="L318" s="2">
        <v>6494</v>
      </c>
      <c r="M318" s="2">
        <v>977</v>
      </c>
      <c r="N318" s="2">
        <v>185</v>
      </c>
      <c r="O318" s="2">
        <v>0</v>
      </c>
      <c r="P318" s="3">
        <f t="shared" si="8"/>
        <v>29119</v>
      </c>
      <c r="Q318" s="3">
        <v>9975</v>
      </c>
      <c r="R318" s="3">
        <v>10546</v>
      </c>
      <c r="S318" s="5">
        <f t="shared" si="9"/>
        <v>8598</v>
      </c>
    </row>
    <row r="319" spans="1:19" ht="18.75" customHeight="1">
      <c r="A319" s="4" t="s">
        <v>23</v>
      </c>
      <c r="B319" s="10">
        <v>45975</v>
      </c>
      <c r="C319" s="2">
        <v>3015</v>
      </c>
      <c r="D319" s="2">
        <v>1415</v>
      </c>
      <c r="E319" s="2">
        <v>0</v>
      </c>
      <c r="F319" s="2">
        <v>4269</v>
      </c>
      <c r="G319" s="2">
        <v>2617</v>
      </c>
      <c r="H319" s="2">
        <v>953</v>
      </c>
      <c r="I319" s="2">
        <v>1255</v>
      </c>
      <c r="J319" s="2">
        <v>0</v>
      </c>
      <c r="K319" s="2">
        <v>12217</v>
      </c>
      <c r="L319" s="2">
        <v>9183</v>
      </c>
      <c r="M319" s="2">
        <v>400</v>
      </c>
      <c r="N319" s="2">
        <v>135</v>
      </c>
      <c r="O319" s="2">
        <v>0</v>
      </c>
      <c r="P319" s="3">
        <f t="shared" si="8"/>
        <v>35459</v>
      </c>
      <c r="Q319" s="3">
        <v>8690</v>
      </c>
      <c r="R319" s="3">
        <v>16000</v>
      </c>
      <c r="S319" s="5">
        <f t="shared" si="9"/>
        <v>10769</v>
      </c>
    </row>
    <row r="320" spans="1:19" ht="18.75" customHeight="1">
      <c r="A320" s="4" t="s">
        <v>17</v>
      </c>
      <c r="B320" s="10">
        <v>45976</v>
      </c>
      <c r="C320" s="2">
        <v>2125</v>
      </c>
      <c r="D320" s="2">
        <v>870</v>
      </c>
      <c r="E320" s="2">
        <v>0</v>
      </c>
      <c r="F320" s="2">
        <v>3155</v>
      </c>
      <c r="G320" s="2">
        <v>2718</v>
      </c>
      <c r="H320" s="2">
        <v>828</v>
      </c>
      <c r="I320" s="2">
        <v>2255</v>
      </c>
      <c r="J320" s="2">
        <v>0</v>
      </c>
      <c r="K320" s="2">
        <v>21852</v>
      </c>
      <c r="L320" s="2">
        <v>15744</v>
      </c>
      <c r="M320" s="2">
        <v>1567</v>
      </c>
      <c r="N320" s="2">
        <v>165</v>
      </c>
      <c r="O320" s="2">
        <v>0</v>
      </c>
      <c r="P320" s="3">
        <f t="shared" si="8"/>
        <v>51279</v>
      </c>
      <c r="Q320" s="3">
        <v>16882</v>
      </c>
      <c r="R320" s="3">
        <v>27730</v>
      </c>
      <c r="S320" s="5">
        <f t="shared" si="9"/>
        <v>6667</v>
      </c>
    </row>
    <row r="321" spans="1:19" ht="18.75" customHeight="1">
      <c r="A321" s="4" t="s">
        <v>18</v>
      </c>
      <c r="B321" s="10">
        <v>45977</v>
      </c>
      <c r="C321" s="2">
        <v>1490</v>
      </c>
      <c r="D321" s="2">
        <v>1430</v>
      </c>
      <c r="E321" s="2">
        <v>0</v>
      </c>
      <c r="F321" s="2">
        <v>4287</v>
      </c>
      <c r="G321" s="2">
        <v>2729</v>
      </c>
      <c r="H321" s="2">
        <v>1388</v>
      </c>
      <c r="I321" s="2">
        <v>1365</v>
      </c>
      <c r="J321" s="2">
        <v>0</v>
      </c>
      <c r="K321" s="2">
        <v>25383</v>
      </c>
      <c r="L321" s="2">
        <v>22462</v>
      </c>
      <c r="M321" s="2">
        <v>363</v>
      </c>
      <c r="N321" s="2">
        <v>959</v>
      </c>
      <c r="O321" s="2">
        <v>2856.4</v>
      </c>
      <c r="P321" s="3">
        <f t="shared" si="8"/>
        <v>64712.4</v>
      </c>
      <c r="Q321" s="3">
        <v>27345</v>
      </c>
      <c r="R321" s="3">
        <v>16695</v>
      </c>
      <c r="S321" s="5">
        <f t="shared" si="9"/>
        <v>20672.400000000001</v>
      </c>
    </row>
    <row r="322" spans="1:19" ht="18.75" customHeight="1">
      <c r="A322" s="4" t="s">
        <v>19</v>
      </c>
      <c r="B322" s="10">
        <v>45978</v>
      </c>
      <c r="C322" s="2">
        <v>1530</v>
      </c>
      <c r="D322" s="2">
        <v>3115</v>
      </c>
      <c r="E322" s="2">
        <v>0</v>
      </c>
      <c r="F322" s="2">
        <v>4703</v>
      </c>
      <c r="G322" s="2">
        <v>2542</v>
      </c>
      <c r="H322" s="2">
        <v>1310</v>
      </c>
      <c r="I322" s="2">
        <v>1743</v>
      </c>
      <c r="J322" s="2">
        <v>0</v>
      </c>
      <c r="K322" s="2">
        <v>24599</v>
      </c>
      <c r="L322" s="2">
        <v>24540</v>
      </c>
      <c r="M322" s="2">
        <v>670</v>
      </c>
      <c r="N322" s="2">
        <v>1007</v>
      </c>
      <c r="O322" s="2">
        <v>0</v>
      </c>
      <c r="P322" s="3">
        <f t="shared" si="8"/>
        <v>65759</v>
      </c>
      <c r="Q322" s="3">
        <v>23715</v>
      </c>
      <c r="R322" s="3">
        <v>35748</v>
      </c>
      <c r="S322" s="5">
        <f t="shared" si="9"/>
        <v>6296</v>
      </c>
    </row>
    <row r="323" spans="1:19" ht="18.75" customHeight="1">
      <c r="A323" s="4" t="s">
        <v>20</v>
      </c>
      <c r="B323" s="10">
        <v>45979</v>
      </c>
      <c r="C323" s="2">
        <v>3430</v>
      </c>
      <c r="D323" s="2">
        <v>1685</v>
      </c>
      <c r="E323" s="2">
        <v>0</v>
      </c>
      <c r="F323" s="2">
        <v>3681</v>
      </c>
      <c r="G323" s="2">
        <v>2720</v>
      </c>
      <c r="H323" s="2">
        <v>600</v>
      </c>
      <c r="I323" s="2">
        <v>1937</v>
      </c>
      <c r="J323" s="2">
        <v>0</v>
      </c>
      <c r="K323" s="2">
        <v>12968</v>
      </c>
      <c r="L323" s="2">
        <v>5363</v>
      </c>
      <c r="M323" s="2">
        <v>486</v>
      </c>
      <c r="N323" s="2">
        <v>400</v>
      </c>
      <c r="O323" s="2">
        <v>0</v>
      </c>
      <c r="P323" s="3">
        <f t="shared" ref="P323:P366" si="10">SUM(C323:O323)</f>
        <v>33270</v>
      </c>
      <c r="Q323" s="3">
        <v>9270</v>
      </c>
      <c r="R323" s="3">
        <v>21640</v>
      </c>
      <c r="S323" s="5">
        <f t="shared" ref="S323:S366" si="11">P323-Q323-R323</f>
        <v>2360</v>
      </c>
    </row>
    <row r="324" spans="1:19" ht="18.75" customHeight="1">
      <c r="A324" s="4" t="s">
        <v>21</v>
      </c>
      <c r="B324" s="10">
        <v>45980</v>
      </c>
      <c r="C324" s="2">
        <v>1965</v>
      </c>
      <c r="D324" s="2">
        <v>1400</v>
      </c>
      <c r="E324" s="2">
        <v>0</v>
      </c>
      <c r="F324" s="2">
        <v>3371</v>
      </c>
      <c r="G324" s="2">
        <v>2251</v>
      </c>
      <c r="H324" s="2">
        <v>620</v>
      </c>
      <c r="I324" s="2">
        <v>2121</v>
      </c>
      <c r="J324" s="2">
        <v>0</v>
      </c>
      <c r="K324" s="2">
        <v>10311</v>
      </c>
      <c r="L324" s="2">
        <v>6707</v>
      </c>
      <c r="M324" s="2">
        <v>945</v>
      </c>
      <c r="N324" s="2">
        <v>468</v>
      </c>
      <c r="O324" s="2">
        <v>0</v>
      </c>
      <c r="P324" s="3">
        <f t="shared" si="10"/>
        <v>30159</v>
      </c>
      <c r="Q324" s="3">
        <v>12808</v>
      </c>
      <c r="R324" s="3">
        <v>13690</v>
      </c>
      <c r="S324" s="5">
        <f t="shared" si="11"/>
        <v>3661</v>
      </c>
    </row>
    <row r="325" spans="1:19" ht="18.75" customHeight="1">
      <c r="A325" s="4" t="s">
        <v>22</v>
      </c>
      <c r="B325" s="10">
        <v>45981</v>
      </c>
      <c r="C325" s="2">
        <v>1650</v>
      </c>
      <c r="D325" s="2">
        <v>2265</v>
      </c>
      <c r="E325" s="2">
        <v>0</v>
      </c>
      <c r="F325" s="2">
        <v>3418</v>
      </c>
      <c r="G325" s="2">
        <v>2414</v>
      </c>
      <c r="H325" s="2">
        <v>1054</v>
      </c>
      <c r="I325" s="2">
        <v>1350</v>
      </c>
      <c r="J325" s="2">
        <v>0</v>
      </c>
      <c r="K325" s="2">
        <v>8142</v>
      </c>
      <c r="L325" s="2">
        <v>4874</v>
      </c>
      <c r="M325" s="2">
        <v>905</v>
      </c>
      <c r="N325" s="2">
        <v>573</v>
      </c>
      <c r="O325" s="2">
        <v>0</v>
      </c>
      <c r="P325" s="3">
        <f t="shared" si="10"/>
        <v>26645</v>
      </c>
      <c r="Q325" s="3">
        <v>10110</v>
      </c>
      <c r="R325" s="3">
        <v>11453</v>
      </c>
      <c r="S325" s="5">
        <f t="shared" si="11"/>
        <v>5082</v>
      </c>
    </row>
    <row r="326" spans="1:19" ht="18.75" customHeight="1">
      <c r="A326" s="4" t="s">
        <v>23</v>
      </c>
      <c r="B326" s="10">
        <v>45982</v>
      </c>
      <c r="C326" s="2">
        <v>2159</v>
      </c>
      <c r="D326" s="2">
        <v>1825</v>
      </c>
      <c r="E326" s="2">
        <v>0</v>
      </c>
      <c r="F326" s="2">
        <v>3715</v>
      </c>
      <c r="G326" s="2">
        <v>5083</v>
      </c>
      <c r="H326" s="2">
        <v>799</v>
      </c>
      <c r="I326" s="2">
        <v>1813</v>
      </c>
      <c r="J326" s="2">
        <v>0</v>
      </c>
      <c r="K326" s="2">
        <v>12377</v>
      </c>
      <c r="L326" s="2">
        <v>10323</v>
      </c>
      <c r="M326" s="2">
        <v>1335</v>
      </c>
      <c r="N326" s="2">
        <v>180</v>
      </c>
      <c r="O326" s="2">
        <v>0</v>
      </c>
      <c r="P326" s="3">
        <f t="shared" si="10"/>
        <v>39609</v>
      </c>
      <c r="Q326" s="3">
        <v>10897</v>
      </c>
      <c r="R326" s="3">
        <v>19573</v>
      </c>
      <c r="S326" s="5">
        <f t="shared" si="11"/>
        <v>9139</v>
      </c>
    </row>
    <row r="327" spans="1:19" ht="18.75" customHeight="1">
      <c r="A327" s="4" t="s">
        <v>17</v>
      </c>
      <c r="B327" s="10">
        <v>45983</v>
      </c>
      <c r="C327" s="2">
        <v>2770</v>
      </c>
      <c r="D327" s="2">
        <v>1935</v>
      </c>
      <c r="E327" s="2">
        <v>0</v>
      </c>
      <c r="F327" s="2">
        <v>2424</v>
      </c>
      <c r="G327" s="2">
        <v>2746</v>
      </c>
      <c r="H327" s="2">
        <v>479</v>
      </c>
      <c r="I327" s="2">
        <v>2640</v>
      </c>
      <c r="J327" s="2">
        <v>0</v>
      </c>
      <c r="K327" s="2">
        <v>16909</v>
      </c>
      <c r="L327" s="2">
        <v>12807</v>
      </c>
      <c r="M327" s="2">
        <v>1934</v>
      </c>
      <c r="N327" s="2">
        <v>1100</v>
      </c>
      <c r="O327" s="2">
        <v>0</v>
      </c>
      <c r="P327" s="3">
        <f t="shared" si="10"/>
        <v>45744</v>
      </c>
      <c r="Q327" s="3">
        <v>13695</v>
      </c>
      <c r="R327" s="3">
        <v>28792</v>
      </c>
      <c r="S327" s="5">
        <f t="shared" si="11"/>
        <v>3257</v>
      </c>
    </row>
    <row r="328" spans="1:19" ht="18.75" customHeight="1">
      <c r="A328" s="4" t="s">
        <v>18</v>
      </c>
      <c r="B328" s="10">
        <v>45984</v>
      </c>
      <c r="C328" s="2">
        <v>1265</v>
      </c>
      <c r="D328" s="2">
        <v>420</v>
      </c>
      <c r="E328" s="2">
        <v>0</v>
      </c>
      <c r="F328" s="2">
        <v>2896</v>
      </c>
      <c r="G328" s="2">
        <v>3450</v>
      </c>
      <c r="H328" s="2">
        <v>0</v>
      </c>
      <c r="I328" s="2">
        <v>2105</v>
      </c>
      <c r="J328" s="2">
        <v>0</v>
      </c>
      <c r="K328" s="2">
        <v>15930</v>
      </c>
      <c r="L328" s="2">
        <v>18481</v>
      </c>
      <c r="M328" s="2">
        <v>1402</v>
      </c>
      <c r="N328" s="2">
        <v>298</v>
      </c>
      <c r="O328" s="2">
        <v>1332.21</v>
      </c>
      <c r="P328" s="3">
        <f t="shared" si="10"/>
        <v>47579.21</v>
      </c>
      <c r="Q328" s="3">
        <v>18310</v>
      </c>
      <c r="R328" s="3">
        <v>18968</v>
      </c>
      <c r="S328" s="5">
        <f t="shared" si="11"/>
        <v>10301.209999999999</v>
      </c>
    </row>
    <row r="329" spans="1:19" ht="18.75" customHeight="1">
      <c r="A329" s="4" t="s">
        <v>19</v>
      </c>
      <c r="B329" s="10">
        <v>45985</v>
      </c>
      <c r="C329" s="2">
        <v>3240</v>
      </c>
      <c r="D329" s="2">
        <v>2005</v>
      </c>
      <c r="E329" s="2">
        <v>0</v>
      </c>
      <c r="F329" s="2">
        <v>3587</v>
      </c>
      <c r="G329" s="2">
        <v>1947</v>
      </c>
      <c r="H329" s="2">
        <v>1310</v>
      </c>
      <c r="I329" s="2">
        <v>1773</v>
      </c>
      <c r="J329" s="2">
        <v>0</v>
      </c>
      <c r="K329" s="2">
        <v>11620</v>
      </c>
      <c r="L329" s="2">
        <v>11131</v>
      </c>
      <c r="M329" s="2">
        <v>630</v>
      </c>
      <c r="N329" s="2">
        <v>865</v>
      </c>
      <c r="O329" s="2">
        <v>0</v>
      </c>
      <c r="P329" s="3">
        <f t="shared" si="10"/>
        <v>38108</v>
      </c>
      <c r="Q329" s="3">
        <v>12435</v>
      </c>
      <c r="R329" s="3">
        <v>18807</v>
      </c>
      <c r="S329" s="5">
        <f t="shared" si="11"/>
        <v>6866</v>
      </c>
    </row>
    <row r="330" spans="1:19" ht="18.75" customHeight="1">
      <c r="A330" s="4" t="s">
        <v>20</v>
      </c>
      <c r="B330" s="10">
        <v>45986</v>
      </c>
      <c r="C330" s="2">
        <v>2725</v>
      </c>
      <c r="D330" s="2">
        <v>1505</v>
      </c>
      <c r="E330" s="2">
        <v>0</v>
      </c>
      <c r="F330" s="2">
        <v>3818</v>
      </c>
      <c r="G330" s="2">
        <v>2160</v>
      </c>
      <c r="H330" s="2">
        <v>785</v>
      </c>
      <c r="I330" s="2">
        <v>2401</v>
      </c>
      <c r="J330" s="2">
        <v>0</v>
      </c>
      <c r="K330" s="2">
        <v>8811</v>
      </c>
      <c r="L330" s="2">
        <v>6130</v>
      </c>
      <c r="M330" s="2">
        <v>1578</v>
      </c>
      <c r="N330" s="2">
        <v>180</v>
      </c>
      <c r="O330" s="2">
        <v>0</v>
      </c>
      <c r="P330" s="3">
        <f t="shared" si="10"/>
        <v>30093</v>
      </c>
      <c r="Q330" s="3">
        <v>9130</v>
      </c>
      <c r="R330" s="3">
        <v>15783</v>
      </c>
      <c r="S330" s="5">
        <f t="shared" si="11"/>
        <v>5180</v>
      </c>
    </row>
    <row r="331" spans="1:19" ht="18.75" customHeight="1">
      <c r="A331" s="4" t="s">
        <v>21</v>
      </c>
      <c r="B331" s="10">
        <v>45987</v>
      </c>
      <c r="C331" s="2">
        <v>1290</v>
      </c>
      <c r="D331" s="2">
        <v>1605</v>
      </c>
      <c r="E331" s="2">
        <v>0</v>
      </c>
      <c r="F331" s="2">
        <v>2469</v>
      </c>
      <c r="G331" s="2">
        <v>1469</v>
      </c>
      <c r="H331" s="2">
        <v>1125</v>
      </c>
      <c r="I331" s="2">
        <v>1895</v>
      </c>
      <c r="J331" s="2">
        <v>0</v>
      </c>
      <c r="K331" s="2">
        <v>9316</v>
      </c>
      <c r="L331" s="2">
        <v>5271</v>
      </c>
      <c r="M331" s="2">
        <v>1028</v>
      </c>
      <c r="N331" s="2">
        <v>177</v>
      </c>
      <c r="O331" s="2">
        <v>0</v>
      </c>
      <c r="P331" s="3">
        <f t="shared" si="10"/>
        <v>25645</v>
      </c>
      <c r="Q331" s="3">
        <v>10105</v>
      </c>
      <c r="R331" s="3">
        <v>10823</v>
      </c>
      <c r="S331" s="5">
        <f t="shared" si="11"/>
        <v>4717</v>
      </c>
    </row>
    <row r="332" spans="1:19" ht="18.75" customHeight="1">
      <c r="A332" s="4" t="s">
        <v>22</v>
      </c>
      <c r="B332" s="10">
        <v>45988</v>
      </c>
      <c r="C332" s="2">
        <v>2145</v>
      </c>
      <c r="D332" s="2">
        <v>1415</v>
      </c>
      <c r="E332" s="2">
        <v>0</v>
      </c>
      <c r="F332" s="2">
        <v>3212</v>
      </c>
      <c r="G332" s="2">
        <v>2052</v>
      </c>
      <c r="H332" s="2">
        <v>1255</v>
      </c>
      <c r="I332" s="2">
        <v>1320</v>
      </c>
      <c r="J332" s="2">
        <v>338</v>
      </c>
      <c r="K332" s="2">
        <v>9041</v>
      </c>
      <c r="L332" s="2">
        <v>8233</v>
      </c>
      <c r="M332" s="2">
        <v>1641</v>
      </c>
      <c r="N332" s="2">
        <v>898</v>
      </c>
      <c r="O332" s="2">
        <v>0</v>
      </c>
      <c r="P332" s="3">
        <f t="shared" si="10"/>
        <v>31550</v>
      </c>
      <c r="Q332" s="3">
        <v>8729</v>
      </c>
      <c r="R332" s="3">
        <v>20063</v>
      </c>
      <c r="S332" s="5">
        <f t="shared" si="11"/>
        <v>2758</v>
      </c>
    </row>
    <row r="333" spans="1:19" ht="18.75" customHeight="1">
      <c r="A333" s="4" t="s">
        <v>23</v>
      </c>
      <c r="B333" s="10">
        <v>45989</v>
      </c>
      <c r="C333" s="2">
        <v>1840</v>
      </c>
      <c r="D333" s="2">
        <v>1375</v>
      </c>
      <c r="E333" s="2">
        <v>0</v>
      </c>
      <c r="F333" s="2">
        <v>3502</v>
      </c>
      <c r="G333" s="2">
        <v>1839</v>
      </c>
      <c r="H333" s="2">
        <v>1715</v>
      </c>
      <c r="I333" s="2">
        <v>1175</v>
      </c>
      <c r="J333" s="2">
        <v>730</v>
      </c>
      <c r="K333" s="2">
        <v>14428</v>
      </c>
      <c r="L333" s="2">
        <v>16404</v>
      </c>
      <c r="M333" s="2">
        <v>1514</v>
      </c>
      <c r="N333" s="2">
        <v>45</v>
      </c>
      <c r="O333" s="2">
        <v>0</v>
      </c>
      <c r="P333" s="3">
        <f t="shared" si="10"/>
        <v>44567</v>
      </c>
      <c r="Q333" s="3">
        <v>14993</v>
      </c>
      <c r="R333" s="3">
        <v>23652</v>
      </c>
      <c r="S333" s="5">
        <f t="shared" si="11"/>
        <v>5922</v>
      </c>
    </row>
    <row r="334" spans="1:19" ht="18.75" customHeight="1">
      <c r="A334" s="4" t="s">
        <v>17</v>
      </c>
      <c r="B334" s="10">
        <v>45990</v>
      </c>
      <c r="C334" s="2">
        <v>2580</v>
      </c>
      <c r="D334" s="2">
        <v>1148</v>
      </c>
      <c r="E334" s="2">
        <v>0</v>
      </c>
      <c r="F334" s="2">
        <v>3100</v>
      </c>
      <c r="G334" s="2">
        <v>2220</v>
      </c>
      <c r="H334" s="2">
        <v>1435</v>
      </c>
      <c r="I334" s="2">
        <v>983</v>
      </c>
      <c r="J334" s="2">
        <v>790</v>
      </c>
      <c r="K334" s="2">
        <v>16887</v>
      </c>
      <c r="L334" s="2">
        <v>19862</v>
      </c>
      <c r="M334" s="2">
        <v>670</v>
      </c>
      <c r="N334" s="2">
        <v>485</v>
      </c>
      <c r="O334" s="2">
        <v>0</v>
      </c>
      <c r="P334" s="3">
        <f t="shared" si="10"/>
        <v>50160</v>
      </c>
      <c r="Q334" s="3">
        <v>14865</v>
      </c>
      <c r="R334" s="3">
        <v>29302</v>
      </c>
      <c r="S334" s="5">
        <f t="shared" si="11"/>
        <v>5993</v>
      </c>
    </row>
    <row r="335" spans="1:19" ht="18.75" customHeight="1">
      <c r="A335" s="4" t="s">
        <v>18</v>
      </c>
      <c r="B335" s="10">
        <v>45991</v>
      </c>
      <c r="C335" s="2">
        <v>1380</v>
      </c>
      <c r="D335" s="2">
        <v>1645</v>
      </c>
      <c r="E335" s="2">
        <v>0</v>
      </c>
      <c r="F335" s="2">
        <v>3292</v>
      </c>
      <c r="G335" s="2">
        <v>1693</v>
      </c>
      <c r="H335" s="2">
        <v>475</v>
      </c>
      <c r="I335" s="2">
        <v>2180</v>
      </c>
      <c r="J335" s="2">
        <v>0</v>
      </c>
      <c r="K335" s="2">
        <v>21161</v>
      </c>
      <c r="L335" s="2">
        <v>21294</v>
      </c>
      <c r="M335" s="2">
        <v>1462</v>
      </c>
      <c r="N335" s="2">
        <v>622</v>
      </c>
      <c r="O335" s="2">
        <v>2374.3200000000002</v>
      </c>
      <c r="P335" s="3">
        <f t="shared" si="10"/>
        <v>57578.32</v>
      </c>
      <c r="Q335" s="3">
        <v>24096</v>
      </c>
      <c r="R335" s="3">
        <v>23274</v>
      </c>
      <c r="S335" s="5">
        <f t="shared" si="11"/>
        <v>10208.32</v>
      </c>
    </row>
    <row r="336" spans="1:19" ht="18.75" customHeight="1">
      <c r="A336" s="4" t="s">
        <v>19</v>
      </c>
      <c r="B336" s="10">
        <v>45992</v>
      </c>
      <c r="C336" s="2">
        <v>1919</v>
      </c>
      <c r="D336" s="2">
        <v>1115</v>
      </c>
      <c r="E336" s="2">
        <v>0</v>
      </c>
      <c r="F336" s="2">
        <v>2982</v>
      </c>
      <c r="G336" s="2">
        <v>2688</v>
      </c>
      <c r="H336" s="2">
        <v>478</v>
      </c>
      <c r="I336" s="2">
        <v>2333</v>
      </c>
      <c r="J336" s="2">
        <v>455</v>
      </c>
      <c r="K336" s="2">
        <v>12797</v>
      </c>
      <c r="L336" s="2">
        <v>13250</v>
      </c>
      <c r="M336" s="2">
        <v>570</v>
      </c>
      <c r="N336" s="2">
        <v>703</v>
      </c>
      <c r="O336" s="2">
        <v>0</v>
      </c>
      <c r="P336" s="3">
        <f t="shared" si="10"/>
        <v>39290</v>
      </c>
      <c r="Q336" s="3">
        <v>11682</v>
      </c>
      <c r="R336" s="3">
        <v>17525</v>
      </c>
      <c r="S336" s="5">
        <f t="shared" si="11"/>
        <v>10083</v>
      </c>
    </row>
    <row r="337" spans="1:19" ht="18.75" customHeight="1">
      <c r="A337" s="4" t="s">
        <v>20</v>
      </c>
      <c r="B337" s="10">
        <v>45993</v>
      </c>
      <c r="C337" s="2">
        <v>2105</v>
      </c>
      <c r="D337" s="2">
        <v>1085</v>
      </c>
      <c r="E337" s="2">
        <v>0</v>
      </c>
      <c r="F337" s="2">
        <v>3701</v>
      </c>
      <c r="G337" s="2">
        <v>2627</v>
      </c>
      <c r="H337" s="2">
        <v>1433</v>
      </c>
      <c r="I337" s="2">
        <v>1323</v>
      </c>
      <c r="J337" s="2">
        <v>0</v>
      </c>
      <c r="K337" s="2">
        <v>12276</v>
      </c>
      <c r="L337" s="2">
        <v>7675</v>
      </c>
      <c r="M337" s="2">
        <v>504</v>
      </c>
      <c r="N337" s="2">
        <v>544</v>
      </c>
      <c r="O337" s="2">
        <v>0</v>
      </c>
      <c r="P337" s="3">
        <f t="shared" si="10"/>
        <v>33273</v>
      </c>
      <c r="Q337" s="3">
        <v>9710</v>
      </c>
      <c r="R337" s="3">
        <v>18039</v>
      </c>
      <c r="S337" s="5">
        <f t="shared" si="11"/>
        <v>5524</v>
      </c>
    </row>
    <row r="338" spans="1:19" ht="18.75" customHeight="1">
      <c r="A338" s="4" t="s">
        <v>21</v>
      </c>
      <c r="B338" s="10">
        <v>45994</v>
      </c>
      <c r="C338" s="2">
        <v>1555</v>
      </c>
      <c r="D338" s="2">
        <v>1630</v>
      </c>
      <c r="E338" s="2">
        <v>0</v>
      </c>
      <c r="F338" s="2">
        <v>3470</v>
      </c>
      <c r="G338" s="2">
        <v>2635</v>
      </c>
      <c r="H338" s="2">
        <v>880</v>
      </c>
      <c r="I338" s="2">
        <v>1623</v>
      </c>
      <c r="J338" s="2">
        <v>500</v>
      </c>
      <c r="K338" s="2">
        <v>13651</v>
      </c>
      <c r="L338" s="2">
        <v>10502</v>
      </c>
      <c r="M338" s="2">
        <v>2876</v>
      </c>
      <c r="N338" s="2">
        <v>690</v>
      </c>
      <c r="O338" s="2">
        <v>0</v>
      </c>
      <c r="P338" s="3">
        <f t="shared" si="10"/>
        <v>40012</v>
      </c>
      <c r="Q338" s="3">
        <v>14387</v>
      </c>
      <c r="R338" s="3">
        <v>21979</v>
      </c>
      <c r="S338" s="5">
        <f t="shared" si="11"/>
        <v>3646</v>
      </c>
    </row>
    <row r="339" spans="1:19" ht="18.75" customHeight="1">
      <c r="A339" s="4" t="s">
        <v>22</v>
      </c>
      <c r="B339" s="10">
        <v>45995</v>
      </c>
      <c r="C339" s="2">
        <v>1735</v>
      </c>
      <c r="D339" s="2">
        <v>1320</v>
      </c>
      <c r="E339" s="2">
        <v>0</v>
      </c>
      <c r="F339" s="2">
        <v>4085</v>
      </c>
      <c r="G339" s="2">
        <v>1568</v>
      </c>
      <c r="H339" s="2">
        <v>1106</v>
      </c>
      <c r="I339" s="2">
        <v>2114</v>
      </c>
      <c r="J339" s="2">
        <v>0</v>
      </c>
      <c r="K339" s="2">
        <v>10946</v>
      </c>
      <c r="L339" s="2">
        <v>10533</v>
      </c>
      <c r="M339" s="2">
        <v>1047</v>
      </c>
      <c r="N339" s="2">
        <v>493</v>
      </c>
      <c r="O339" s="2">
        <v>0</v>
      </c>
      <c r="P339" s="3">
        <f t="shared" si="10"/>
        <v>34947</v>
      </c>
      <c r="Q339" s="3">
        <v>8090</v>
      </c>
      <c r="R339" s="3">
        <v>26261</v>
      </c>
      <c r="S339" s="5">
        <f t="shared" si="11"/>
        <v>596</v>
      </c>
    </row>
    <row r="340" spans="1:19" ht="18.75" customHeight="1">
      <c r="A340" s="4" t="s">
        <v>23</v>
      </c>
      <c r="B340" s="10">
        <v>45996</v>
      </c>
      <c r="C340" s="2">
        <v>2375</v>
      </c>
      <c r="D340" s="2">
        <v>1515</v>
      </c>
      <c r="E340" s="2">
        <v>0</v>
      </c>
      <c r="F340" s="2">
        <v>4122</v>
      </c>
      <c r="G340" s="2">
        <v>1043</v>
      </c>
      <c r="H340" s="2">
        <v>1160</v>
      </c>
      <c r="I340" s="2">
        <v>2908</v>
      </c>
      <c r="J340" s="2">
        <v>0</v>
      </c>
      <c r="K340" s="2">
        <v>12338</v>
      </c>
      <c r="L340" s="2">
        <v>11705</v>
      </c>
      <c r="M340" s="2">
        <v>1901</v>
      </c>
      <c r="N340" s="2">
        <v>413</v>
      </c>
      <c r="O340" s="2">
        <v>0</v>
      </c>
      <c r="P340" s="3">
        <f t="shared" si="10"/>
        <v>39480</v>
      </c>
      <c r="Q340" s="3">
        <v>12352</v>
      </c>
      <c r="R340" s="3">
        <v>23709</v>
      </c>
      <c r="S340" s="5">
        <f t="shared" si="11"/>
        <v>3419</v>
      </c>
    </row>
    <row r="341" spans="1:19" ht="18.75" customHeight="1">
      <c r="A341" s="4" t="s">
        <v>17</v>
      </c>
      <c r="B341" s="10">
        <v>45997</v>
      </c>
      <c r="C341" s="2">
        <v>2560</v>
      </c>
      <c r="D341" s="2">
        <v>2080</v>
      </c>
      <c r="E341" s="2">
        <v>0</v>
      </c>
      <c r="F341" s="2">
        <v>4720</v>
      </c>
      <c r="G341" s="2">
        <v>2395</v>
      </c>
      <c r="H341" s="2">
        <v>1030</v>
      </c>
      <c r="I341" s="2">
        <v>2820</v>
      </c>
      <c r="J341" s="2">
        <v>48</v>
      </c>
      <c r="K341" s="2">
        <v>16687</v>
      </c>
      <c r="L341" s="2">
        <v>11343</v>
      </c>
      <c r="M341" s="2">
        <v>805</v>
      </c>
      <c r="N341" s="2">
        <v>121</v>
      </c>
      <c r="O341" s="2">
        <v>0</v>
      </c>
      <c r="P341" s="3">
        <f t="shared" si="10"/>
        <v>44609</v>
      </c>
      <c r="Q341" s="3">
        <v>14790</v>
      </c>
      <c r="R341" s="3">
        <v>23751</v>
      </c>
      <c r="S341" s="5">
        <f t="shared" si="11"/>
        <v>6068</v>
      </c>
    </row>
    <row r="342" spans="1:19" ht="18.75" customHeight="1">
      <c r="A342" s="4" t="s">
        <v>18</v>
      </c>
      <c r="B342" s="10">
        <v>45998</v>
      </c>
      <c r="C342" s="2">
        <v>1565</v>
      </c>
      <c r="D342" s="2">
        <v>2995</v>
      </c>
      <c r="E342" s="2">
        <v>0</v>
      </c>
      <c r="F342" s="2">
        <v>6537</v>
      </c>
      <c r="G342" s="2">
        <v>1958</v>
      </c>
      <c r="H342" s="2">
        <v>390</v>
      </c>
      <c r="I342" s="2">
        <v>2174</v>
      </c>
      <c r="J342" s="2">
        <v>850</v>
      </c>
      <c r="K342" s="2">
        <v>23125</v>
      </c>
      <c r="L342" s="2">
        <v>14619</v>
      </c>
      <c r="M342" s="2">
        <v>3391</v>
      </c>
      <c r="N342" s="2">
        <v>1301</v>
      </c>
      <c r="O342" s="2">
        <v>1845.48</v>
      </c>
      <c r="P342" s="3">
        <f t="shared" si="10"/>
        <v>60750.48</v>
      </c>
      <c r="Q342" s="3">
        <v>25955</v>
      </c>
      <c r="R342" s="3">
        <v>13557</v>
      </c>
      <c r="S342" s="5">
        <f t="shared" si="11"/>
        <v>21238.480000000003</v>
      </c>
    </row>
    <row r="343" spans="1:19" ht="18.75" customHeight="1">
      <c r="A343" s="4" t="s">
        <v>19</v>
      </c>
      <c r="B343" s="10">
        <v>45999</v>
      </c>
      <c r="C343" s="2">
        <v>2000</v>
      </c>
      <c r="D343" s="2">
        <v>1660</v>
      </c>
      <c r="E343" s="2">
        <v>0</v>
      </c>
      <c r="F343" s="2">
        <v>5297</v>
      </c>
      <c r="G343" s="2">
        <v>1514</v>
      </c>
      <c r="H343" s="2">
        <v>1311</v>
      </c>
      <c r="I343" s="2">
        <v>1190</v>
      </c>
      <c r="J343" s="2">
        <v>0</v>
      </c>
      <c r="K343" s="2">
        <v>14910</v>
      </c>
      <c r="L343" s="2">
        <v>9257</v>
      </c>
      <c r="M343" s="2">
        <v>1353</v>
      </c>
      <c r="N343" s="2">
        <v>176</v>
      </c>
      <c r="O343" s="2">
        <v>0</v>
      </c>
      <c r="P343" s="3">
        <f t="shared" si="10"/>
        <v>38668</v>
      </c>
      <c r="Q343" s="3">
        <v>13764</v>
      </c>
      <c r="R343" s="3">
        <v>11025</v>
      </c>
      <c r="S343" s="5">
        <f t="shared" si="11"/>
        <v>13879</v>
      </c>
    </row>
    <row r="344" spans="1:19" ht="18.75" customHeight="1">
      <c r="A344" s="4" t="s">
        <v>20</v>
      </c>
      <c r="B344" s="10">
        <v>46000</v>
      </c>
      <c r="C344" s="2">
        <v>1664</v>
      </c>
      <c r="D344" s="2">
        <v>825</v>
      </c>
      <c r="E344" s="2">
        <v>0</v>
      </c>
      <c r="F344" s="2">
        <v>3739</v>
      </c>
      <c r="G344" s="2">
        <v>1449</v>
      </c>
      <c r="H344" s="2">
        <v>707</v>
      </c>
      <c r="I344" s="2">
        <v>1208</v>
      </c>
      <c r="J344" s="2">
        <v>273</v>
      </c>
      <c r="K344" s="2">
        <v>8978</v>
      </c>
      <c r="L344" s="2">
        <v>11002</v>
      </c>
      <c r="M344" s="2">
        <v>1198</v>
      </c>
      <c r="N344" s="2">
        <v>120</v>
      </c>
      <c r="O344" s="2">
        <v>0</v>
      </c>
      <c r="P344" s="3">
        <f t="shared" si="10"/>
        <v>31163</v>
      </c>
      <c r="Q344" s="3">
        <v>10685</v>
      </c>
      <c r="R344" s="3">
        <v>16756</v>
      </c>
      <c r="S344" s="5">
        <f t="shared" si="11"/>
        <v>3722</v>
      </c>
    </row>
    <row r="345" spans="1:19" ht="18.75" customHeight="1">
      <c r="A345" s="4" t="s">
        <v>21</v>
      </c>
      <c r="B345" s="10">
        <v>46001</v>
      </c>
      <c r="C345" s="2">
        <v>1935</v>
      </c>
      <c r="D345" s="2">
        <v>1680</v>
      </c>
      <c r="E345" s="2">
        <v>0</v>
      </c>
      <c r="F345" s="2">
        <v>2834</v>
      </c>
      <c r="G345" s="2">
        <v>961</v>
      </c>
      <c r="H345" s="2">
        <v>758</v>
      </c>
      <c r="I345" s="2">
        <v>1780</v>
      </c>
      <c r="J345" s="2">
        <v>45</v>
      </c>
      <c r="K345" s="2">
        <v>11802</v>
      </c>
      <c r="L345" s="2">
        <v>7477</v>
      </c>
      <c r="M345" s="2">
        <v>2017</v>
      </c>
      <c r="N345" s="2">
        <v>90</v>
      </c>
      <c r="O345" s="2">
        <v>0</v>
      </c>
      <c r="P345" s="3">
        <f t="shared" si="10"/>
        <v>31379</v>
      </c>
      <c r="Q345" s="3">
        <v>11030</v>
      </c>
      <c r="R345" s="3">
        <v>16888</v>
      </c>
      <c r="S345" s="5">
        <f t="shared" si="11"/>
        <v>3461</v>
      </c>
    </row>
    <row r="346" spans="1:19" ht="18.75" customHeight="1">
      <c r="A346" s="4" t="s">
        <v>22</v>
      </c>
      <c r="B346" s="10">
        <v>46002</v>
      </c>
      <c r="C346" s="2">
        <v>1735</v>
      </c>
      <c r="D346" s="2">
        <v>2220</v>
      </c>
      <c r="E346" s="2">
        <v>0</v>
      </c>
      <c r="F346" s="2">
        <v>3699</v>
      </c>
      <c r="G346" s="2">
        <v>1858</v>
      </c>
      <c r="H346" s="2">
        <v>816</v>
      </c>
      <c r="I346" s="2">
        <v>1745</v>
      </c>
      <c r="J346" s="2">
        <v>203</v>
      </c>
      <c r="K346" s="2">
        <v>10289</v>
      </c>
      <c r="L346" s="2">
        <v>7115</v>
      </c>
      <c r="M346" s="2">
        <v>1643</v>
      </c>
      <c r="N346" s="2">
        <v>450</v>
      </c>
      <c r="O346" s="2">
        <v>0</v>
      </c>
      <c r="P346" s="3">
        <f t="shared" si="10"/>
        <v>31773</v>
      </c>
      <c r="Q346" s="3">
        <v>8832</v>
      </c>
      <c r="R346" s="3">
        <v>21259</v>
      </c>
      <c r="S346" s="5">
        <f t="shared" si="11"/>
        <v>1682</v>
      </c>
    </row>
    <row r="347" spans="1:19" ht="18.75" customHeight="1">
      <c r="A347" s="4" t="s">
        <v>23</v>
      </c>
      <c r="B347" s="10">
        <v>46003</v>
      </c>
      <c r="C347" s="2">
        <v>1450</v>
      </c>
      <c r="D347" s="2">
        <v>1675</v>
      </c>
      <c r="E347" s="2">
        <v>0</v>
      </c>
      <c r="F347" s="2">
        <v>3970</v>
      </c>
      <c r="G347" s="2">
        <v>2516</v>
      </c>
      <c r="H347" s="2">
        <v>555</v>
      </c>
      <c r="I347" s="2">
        <v>2825</v>
      </c>
      <c r="J347" s="2">
        <v>370</v>
      </c>
      <c r="K347" s="2">
        <v>11045</v>
      </c>
      <c r="L347" s="2">
        <v>6980</v>
      </c>
      <c r="M347" s="2">
        <v>735</v>
      </c>
      <c r="N347" s="2">
        <v>266</v>
      </c>
      <c r="O347" s="2">
        <v>0</v>
      </c>
      <c r="P347" s="3">
        <f t="shared" si="10"/>
        <v>32387</v>
      </c>
      <c r="Q347" s="3">
        <v>9305</v>
      </c>
      <c r="R347" s="3">
        <v>18343</v>
      </c>
      <c r="S347" s="5">
        <f t="shared" si="11"/>
        <v>4739</v>
      </c>
    </row>
    <row r="348" spans="1:19" ht="18.75" customHeight="1">
      <c r="A348" s="4" t="s">
        <v>17</v>
      </c>
      <c r="B348" s="10">
        <v>46004</v>
      </c>
      <c r="C348" s="2">
        <v>2850</v>
      </c>
      <c r="D348" s="2">
        <v>1345</v>
      </c>
      <c r="E348" s="2">
        <v>0</v>
      </c>
      <c r="F348" s="2">
        <v>2416</v>
      </c>
      <c r="G348" s="2">
        <v>1144</v>
      </c>
      <c r="H348" s="2">
        <v>785</v>
      </c>
      <c r="I348" s="2">
        <v>2228</v>
      </c>
      <c r="J348" s="2">
        <v>1208</v>
      </c>
      <c r="K348" s="2">
        <v>18124</v>
      </c>
      <c r="L348" s="2">
        <v>10765</v>
      </c>
      <c r="M348" s="2">
        <v>501</v>
      </c>
      <c r="N348" s="2">
        <v>0</v>
      </c>
      <c r="O348" s="2">
        <v>0</v>
      </c>
      <c r="P348" s="3">
        <f t="shared" si="10"/>
        <v>41366</v>
      </c>
      <c r="Q348" s="3">
        <v>14080</v>
      </c>
      <c r="R348" s="3">
        <v>19740</v>
      </c>
      <c r="S348" s="5">
        <f t="shared" si="11"/>
        <v>7546</v>
      </c>
    </row>
    <row r="349" spans="1:19" ht="18.75" customHeight="1">
      <c r="A349" s="4" t="s">
        <v>18</v>
      </c>
      <c r="B349" s="10">
        <v>46005</v>
      </c>
      <c r="C349" s="2">
        <v>1830</v>
      </c>
      <c r="D349" s="2">
        <v>1395</v>
      </c>
      <c r="E349" s="2">
        <v>0</v>
      </c>
      <c r="F349" s="2">
        <v>1700</v>
      </c>
      <c r="G349" s="2">
        <v>1020</v>
      </c>
      <c r="H349" s="2">
        <v>366</v>
      </c>
      <c r="I349" s="2">
        <v>1628</v>
      </c>
      <c r="J349" s="2">
        <v>0</v>
      </c>
      <c r="K349" s="2">
        <v>18591</v>
      </c>
      <c r="L349" s="2">
        <v>14855</v>
      </c>
      <c r="M349" s="2">
        <v>1833</v>
      </c>
      <c r="N349" s="2">
        <v>0</v>
      </c>
      <c r="O349" s="2">
        <v>2327</v>
      </c>
      <c r="P349" s="3">
        <f t="shared" si="10"/>
        <v>45545</v>
      </c>
      <c r="Q349" s="3">
        <v>16070</v>
      </c>
      <c r="R349" s="3">
        <v>14555</v>
      </c>
      <c r="S349" s="5">
        <f t="shared" si="11"/>
        <v>14920</v>
      </c>
    </row>
    <row r="350" spans="1:19" ht="18.75" customHeight="1">
      <c r="A350" s="4" t="s">
        <v>19</v>
      </c>
      <c r="B350" s="10">
        <v>46006</v>
      </c>
      <c r="C350" s="2">
        <v>1805</v>
      </c>
      <c r="D350" s="2">
        <v>1320</v>
      </c>
      <c r="E350" s="2">
        <v>0</v>
      </c>
      <c r="F350" s="2">
        <v>4800</v>
      </c>
      <c r="G350" s="2">
        <v>1408</v>
      </c>
      <c r="H350" s="2">
        <v>1481</v>
      </c>
      <c r="I350" s="2">
        <v>2090</v>
      </c>
      <c r="J350" s="2">
        <v>110</v>
      </c>
      <c r="K350" s="2">
        <v>11935</v>
      </c>
      <c r="L350" s="2">
        <v>11708</v>
      </c>
      <c r="M350" s="2">
        <v>1150</v>
      </c>
      <c r="N350" s="2">
        <v>347</v>
      </c>
      <c r="O350" s="2">
        <v>0</v>
      </c>
      <c r="P350" s="3">
        <f t="shared" si="10"/>
        <v>38154</v>
      </c>
      <c r="Q350" s="3">
        <v>16313</v>
      </c>
      <c r="R350" s="3">
        <v>15100</v>
      </c>
      <c r="S350" s="5">
        <f t="shared" si="11"/>
        <v>6741</v>
      </c>
    </row>
    <row r="351" spans="1:19" ht="18.75" customHeight="1">
      <c r="A351" s="4" t="s">
        <v>20</v>
      </c>
      <c r="B351" s="10">
        <v>46007</v>
      </c>
      <c r="C351" s="2">
        <v>1855</v>
      </c>
      <c r="D351" s="2">
        <v>2100</v>
      </c>
      <c r="E351" s="2">
        <v>0</v>
      </c>
      <c r="F351" s="2">
        <v>4823</v>
      </c>
      <c r="G351" s="2">
        <v>1959</v>
      </c>
      <c r="H351" s="2">
        <v>650</v>
      </c>
      <c r="I351" s="2">
        <v>1964</v>
      </c>
      <c r="J351" s="2">
        <v>420</v>
      </c>
      <c r="K351" s="2">
        <v>14879</v>
      </c>
      <c r="L351" s="2">
        <v>8564</v>
      </c>
      <c r="M351" s="2">
        <v>1517</v>
      </c>
      <c r="N351" s="2">
        <v>115</v>
      </c>
      <c r="O351" s="2">
        <v>0</v>
      </c>
      <c r="P351" s="3">
        <f t="shared" si="10"/>
        <v>38846</v>
      </c>
      <c r="Q351" s="3">
        <v>10046</v>
      </c>
      <c r="R351" s="3">
        <v>26725</v>
      </c>
      <c r="S351" s="5">
        <f t="shared" si="11"/>
        <v>2075</v>
      </c>
    </row>
    <row r="352" spans="1:19" ht="18.75" customHeight="1">
      <c r="A352" s="4" t="s">
        <v>21</v>
      </c>
      <c r="B352" s="10">
        <v>46008</v>
      </c>
      <c r="C352" s="2">
        <v>1795</v>
      </c>
      <c r="D352" s="2">
        <v>1880</v>
      </c>
      <c r="E352" s="2">
        <v>0</v>
      </c>
      <c r="F352" s="2">
        <v>3857</v>
      </c>
      <c r="G352" s="2">
        <v>1885</v>
      </c>
      <c r="H352" s="2">
        <v>980</v>
      </c>
      <c r="I352" s="2">
        <v>1998</v>
      </c>
      <c r="J352" s="2">
        <v>368</v>
      </c>
      <c r="K352" s="2">
        <v>8594</v>
      </c>
      <c r="L352" s="2">
        <v>11376</v>
      </c>
      <c r="M352" s="2">
        <v>1596</v>
      </c>
      <c r="N352" s="2">
        <v>120</v>
      </c>
      <c r="O352" s="2">
        <v>0</v>
      </c>
      <c r="P352" s="3">
        <f t="shared" si="10"/>
        <v>34449</v>
      </c>
      <c r="Q352" s="3">
        <v>9452</v>
      </c>
      <c r="R352" s="3">
        <v>10096</v>
      </c>
      <c r="S352" s="5">
        <f t="shared" si="11"/>
        <v>14901</v>
      </c>
    </row>
    <row r="353" spans="1:19" ht="18.75" customHeight="1">
      <c r="A353" s="4" t="s">
        <v>22</v>
      </c>
      <c r="B353" s="10">
        <v>46009</v>
      </c>
      <c r="C353" s="2">
        <v>2285</v>
      </c>
      <c r="D353" s="2">
        <v>1970</v>
      </c>
      <c r="E353" s="2">
        <v>0</v>
      </c>
      <c r="F353" s="2">
        <v>4562</v>
      </c>
      <c r="G353" s="2">
        <v>2465</v>
      </c>
      <c r="H353" s="2">
        <v>1391</v>
      </c>
      <c r="I353" s="2">
        <v>3331</v>
      </c>
      <c r="J353" s="2">
        <v>410</v>
      </c>
      <c r="K353" s="2">
        <v>11513</v>
      </c>
      <c r="L353" s="2">
        <v>8340</v>
      </c>
      <c r="M353" s="2">
        <v>1109</v>
      </c>
      <c r="N353" s="2">
        <v>745</v>
      </c>
      <c r="O353" s="2">
        <v>0</v>
      </c>
      <c r="P353" s="3">
        <f t="shared" si="10"/>
        <v>38121</v>
      </c>
      <c r="Q353" s="3">
        <v>9345</v>
      </c>
      <c r="R353" s="3">
        <v>21234</v>
      </c>
      <c r="S353" s="5">
        <f t="shared" si="11"/>
        <v>7542</v>
      </c>
    </row>
    <row r="354" spans="1:19" ht="18.75" customHeight="1">
      <c r="A354" s="4" t="s">
        <v>23</v>
      </c>
      <c r="B354" s="10">
        <v>46010</v>
      </c>
      <c r="C354" s="2">
        <v>2270</v>
      </c>
      <c r="D354" s="2">
        <v>0</v>
      </c>
      <c r="E354" s="2">
        <v>0</v>
      </c>
      <c r="F354" s="2">
        <v>3892</v>
      </c>
      <c r="G354" s="2">
        <v>2333</v>
      </c>
      <c r="H354" s="2">
        <v>0</v>
      </c>
      <c r="I354" s="2">
        <v>1640</v>
      </c>
      <c r="J354" s="2">
        <v>0</v>
      </c>
      <c r="K354" s="2">
        <v>19462</v>
      </c>
      <c r="L354" s="2">
        <v>10155</v>
      </c>
      <c r="M354" s="2">
        <v>1456</v>
      </c>
      <c r="N354" s="2">
        <v>666</v>
      </c>
      <c r="O354" s="2">
        <v>0</v>
      </c>
      <c r="P354" s="3">
        <f t="shared" si="10"/>
        <v>41874</v>
      </c>
      <c r="Q354" s="3">
        <v>27695</v>
      </c>
      <c r="R354" s="3">
        <v>14035</v>
      </c>
      <c r="S354" s="5">
        <f t="shared" si="11"/>
        <v>144</v>
      </c>
    </row>
    <row r="355" spans="1:19" ht="18.75" customHeight="1">
      <c r="A355" s="4" t="s">
        <v>17</v>
      </c>
      <c r="B355" s="10">
        <v>46011</v>
      </c>
      <c r="C355" s="2">
        <v>2420</v>
      </c>
      <c r="D355" s="2">
        <v>1850</v>
      </c>
      <c r="E355" s="2">
        <v>0</v>
      </c>
      <c r="F355" s="2">
        <v>4045</v>
      </c>
      <c r="G355" s="2">
        <v>1632</v>
      </c>
      <c r="H355" s="2">
        <v>550</v>
      </c>
      <c r="I355" s="2">
        <v>1896</v>
      </c>
      <c r="J355" s="2">
        <v>530</v>
      </c>
      <c r="K355" s="2">
        <v>14304</v>
      </c>
      <c r="L355" s="2">
        <v>14102</v>
      </c>
      <c r="M355" s="2">
        <v>670</v>
      </c>
      <c r="N355" s="2">
        <v>1023</v>
      </c>
      <c r="O355" s="2">
        <v>0</v>
      </c>
      <c r="P355" s="3">
        <f t="shared" si="10"/>
        <v>43022</v>
      </c>
      <c r="Q355" s="3">
        <v>15625</v>
      </c>
      <c r="R355" s="3">
        <v>22093</v>
      </c>
      <c r="S355" s="5">
        <f t="shared" si="11"/>
        <v>5304</v>
      </c>
    </row>
    <row r="356" spans="1:19" ht="18.75" customHeight="1">
      <c r="A356" s="4" t="s">
        <v>18</v>
      </c>
      <c r="B356" s="10">
        <v>46012</v>
      </c>
      <c r="C356" s="2">
        <v>1210</v>
      </c>
      <c r="D356" s="2">
        <v>1205</v>
      </c>
      <c r="E356" s="2">
        <v>0</v>
      </c>
      <c r="F356" s="2">
        <v>3920</v>
      </c>
      <c r="G356" s="2">
        <v>1496</v>
      </c>
      <c r="H356" s="2">
        <v>853</v>
      </c>
      <c r="I356" s="2">
        <v>1055</v>
      </c>
      <c r="J356" s="2">
        <v>0</v>
      </c>
      <c r="K356" s="2">
        <v>22158</v>
      </c>
      <c r="L356" s="2">
        <v>13288</v>
      </c>
      <c r="M356" s="2">
        <v>3257</v>
      </c>
      <c r="N356" s="2">
        <v>580</v>
      </c>
      <c r="O356" s="2">
        <v>4004</v>
      </c>
      <c r="P356" s="3">
        <f t="shared" si="10"/>
        <v>53026</v>
      </c>
      <c r="Q356" s="3">
        <v>22060</v>
      </c>
      <c r="R356" s="3">
        <v>9417</v>
      </c>
      <c r="S356" s="5">
        <f t="shared" si="11"/>
        <v>21549</v>
      </c>
    </row>
    <row r="357" spans="1:19" ht="18.75" customHeight="1">
      <c r="A357" s="4" t="s">
        <v>19</v>
      </c>
      <c r="B357" s="10">
        <v>46013</v>
      </c>
      <c r="C357" s="2">
        <v>2805</v>
      </c>
      <c r="D357" s="2">
        <v>1680</v>
      </c>
      <c r="E357" s="2">
        <v>0</v>
      </c>
      <c r="F357" s="2">
        <v>4126</v>
      </c>
      <c r="G357" s="2">
        <v>2145</v>
      </c>
      <c r="H357" s="2">
        <v>975</v>
      </c>
      <c r="I357" s="2">
        <v>2340</v>
      </c>
      <c r="J357" s="2">
        <v>295</v>
      </c>
      <c r="K357" s="2">
        <v>12959</v>
      </c>
      <c r="L357" s="2">
        <v>14466</v>
      </c>
      <c r="M357" s="2">
        <v>689</v>
      </c>
      <c r="N357" s="2">
        <v>94</v>
      </c>
      <c r="O357" s="2">
        <v>0</v>
      </c>
      <c r="P357" s="3">
        <f t="shared" si="10"/>
        <v>42574</v>
      </c>
      <c r="Q357" s="3">
        <v>10772</v>
      </c>
      <c r="R357" s="3">
        <v>25172</v>
      </c>
      <c r="S357" s="5">
        <f t="shared" si="11"/>
        <v>6630</v>
      </c>
    </row>
    <row r="358" spans="1:19" ht="18.75" customHeight="1">
      <c r="A358" s="4" t="s">
        <v>20</v>
      </c>
      <c r="B358" s="10">
        <v>46014</v>
      </c>
      <c r="C358" s="2">
        <v>2825</v>
      </c>
      <c r="D358" s="2">
        <v>2345</v>
      </c>
      <c r="E358" s="2">
        <v>0</v>
      </c>
      <c r="F358" s="2">
        <v>6045</v>
      </c>
      <c r="G358" s="2">
        <v>1795</v>
      </c>
      <c r="H358" s="2">
        <v>1941</v>
      </c>
      <c r="I358" s="2">
        <v>1860</v>
      </c>
      <c r="J358" s="2">
        <v>845</v>
      </c>
      <c r="K358" s="2">
        <v>16118</v>
      </c>
      <c r="L358" s="2">
        <v>13715</v>
      </c>
      <c r="M358" s="2">
        <v>237</v>
      </c>
      <c r="N358" s="2">
        <v>1160</v>
      </c>
      <c r="O358" s="2">
        <v>0</v>
      </c>
      <c r="P358" s="3">
        <f t="shared" si="10"/>
        <v>48886</v>
      </c>
      <c r="Q358" s="3">
        <v>12910</v>
      </c>
      <c r="R358" s="3">
        <v>24426</v>
      </c>
      <c r="S358" s="5">
        <f t="shared" si="11"/>
        <v>11550</v>
      </c>
    </row>
    <row r="359" spans="1:19" ht="18.75" customHeight="1">
      <c r="A359" s="4" t="s">
        <v>21</v>
      </c>
      <c r="B359" s="10">
        <v>46015</v>
      </c>
      <c r="C359" s="2">
        <v>2475</v>
      </c>
      <c r="D359" s="2">
        <v>1690</v>
      </c>
      <c r="E359" s="2">
        <v>0</v>
      </c>
      <c r="F359" s="2">
        <v>4560</v>
      </c>
      <c r="G359" s="2">
        <v>1941</v>
      </c>
      <c r="H359" s="2">
        <v>815</v>
      </c>
      <c r="I359" s="2">
        <v>2560</v>
      </c>
      <c r="J359" s="2">
        <v>610</v>
      </c>
      <c r="K359" s="2">
        <v>14971</v>
      </c>
      <c r="L359" s="2">
        <v>12079</v>
      </c>
      <c r="M359" s="2">
        <v>1971</v>
      </c>
      <c r="N359" s="2">
        <v>363</v>
      </c>
      <c r="O359" s="2">
        <v>0</v>
      </c>
      <c r="P359" s="3">
        <f t="shared" si="10"/>
        <v>44035</v>
      </c>
      <c r="Q359" s="3">
        <v>15342</v>
      </c>
      <c r="R359" s="3">
        <v>21818</v>
      </c>
      <c r="S359" s="5">
        <f t="shared" si="11"/>
        <v>6875</v>
      </c>
    </row>
    <row r="360" spans="1:19" ht="18.75" customHeight="1">
      <c r="A360" s="4" t="s">
        <v>22</v>
      </c>
      <c r="B360" s="10">
        <v>46016</v>
      </c>
      <c r="C360" s="2">
        <v>0</v>
      </c>
      <c r="D360" s="2">
        <v>0</v>
      </c>
      <c r="E360" s="2">
        <v>0</v>
      </c>
      <c r="F360" s="2">
        <v>0</v>
      </c>
      <c r="G360" s="2">
        <v>0</v>
      </c>
      <c r="H360" s="2">
        <v>0</v>
      </c>
      <c r="I360" s="2">
        <v>0</v>
      </c>
      <c r="J360" s="2">
        <v>0</v>
      </c>
      <c r="K360" s="2">
        <v>0</v>
      </c>
      <c r="L360" s="2">
        <v>0</v>
      </c>
      <c r="M360" s="2">
        <v>0</v>
      </c>
      <c r="N360" s="2">
        <v>0</v>
      </c>
      <c r="O360" s="2">
        <v>0</v>
      </c>
      <c r="P360" s="3">
        <f t="shared" si="10"/>
        <v>0</v>
      </c>
      <c r="Q360" s="3">
        <v>0</v>
      </c>
      <c r="R360" s="3">
        <v>0</v>
      </c>
      <c r="S360" s="5">
        <f t="shared" si="11"/>
        <v>0</v>
      </c>
    </row>
    <row r="361" spans="1:19" ht="18.75" customHeight="1">
      <c r="A361" s="4" t="s">
        <v>23</v>
      </c>
      <c r="B361" s="10">
        <v>46017</v>
      </c>
      <c r="C361" s="2">
        <v>1780</v>
      </c>
      <c r="D361" s="2">
        <v>2310</v>
      </c>
      <c r="E361" s="2">
        <v>0</v>
      </c>
      <c r="F361" s="2">
        <v>5835</v>
      </c>
      <c r="G361" s="2">
        <v>2601</v>
      </c>
      <c r="H361" s="2">
        <v>1243</v>
      </c>
      <c r="I361" s="2">
        <v>1691</v>
      </c>
      <c r="J361" s="2">
        <v>583</v>
      </c>
      <c r="K361" s="2">
        <v>18188</v>
      </c>
      <c r="L361" s="2">
        <v>12162</v>
      </c>
      <c r="M361" s="2">
        <v>731</v>
      </c>
      <c r="N361" s="2">
        <v>549</v>
      </c>
      <c r="O361" s="2">
        <v>0</v>
      </c>
      <c r="P361" s="3">
        <f t="shared" si="10"/>
        <v>47673</v>
      </c>
      <c r="Q361" s="3">
        <v>11417</v>
      </c>
      <c r="R361" s="3">
        <v>17330</v>
      </c>
      <c r="S361" s="5">
        <f t="shared" si="11"/>
        <v>18926</v>
      </c>
    </row>
    <row r="362" spans="1:19" ht="18.75" customHeight="1">
      <c r="A362" s="4" t="s">
        <v>17</v>
      </c>
      <c r="B362" s="10">
        <v>46018</v>
      </c>
      <c r="C362" s="2">
        <v>3290</v>
      </c>
      <c r="D362" s="2">
        <v>2055</v>
      </c>
      <c r="E362" s="2">
        <v>0</v>
      </c>
      <c r="F362" s="2">
        <v>4693</v>
      </c>
      <c r="G362" s="2">
        <v>1845</v>
      </c>
      <c r="H362" s="2">
        <v>1228</v>
      </c>
      <c r="I362" s="2">
        <v>1763</v>
      </c>
      <c r="J362" s="2">
        <v>735</v>
      </c>
      <c r="K362" s="2">
        <v>18020</v>
      </c>
      <c r="L362" s="2">
        <v>16189</v>
      </c>
      <c r="M362" s="2">
        <v>1460</v>
      </c>
      <c r="N362" s="2">
        <v>145</v>
      </c>
      <c r="O362" s="2">
        <v>0</v>
      </c>
      <c r="P362" s="3">
        <f t="shared" si="10"/>
        <v>51423</v>
      </c>
      <c r="Q362" s="3">
        <v>12177</v>
      </c>
      <c r="R362" s="3">
        <v>35785</v>
      </c>
      <c r="S362" s="5">
        <f t="shared" si="11"/>
        <v>3461</v>
      </c>
    </row>
    <row r="363" spans="1:19" ht="18.75" customHeight="1">
      <c r="A363" s="4" t="s">
        <v>18</v>
      </c>
      <c r="B363" s="10">
        <v>46019</v>
      </c>
      <c r="C363" s="2">
        <v>1693</v>
      </c>
      <c r="D363" s="2">
        <v>1684</v>
      </c>
      <c r="E363" s="2">
        <v>0</v>
      </c>
      <c r="F363" s="2">
        <v>5497</v>
      </c>
      <c r="G363" s="2">
        <v>2541</v>
      </c>
      <c r="H363" s="2">
        <v>820</v>
      </c>
      <c r="I363" s="2">
        <v>2380</v>
      </c>
      <c r="J363" s="2">
        <v>0</v>
      </c>
      <c r="K363" s="2">
        <v>27053</v>
      </c>
      <c r="L363" s="2">
        <v>15753</v>
      </c>
      <c r="M363" s="2">
        <v>355</v>
      </c>
      <c r="N363" s="2">
        <v>864</v>
      </c>
      <c r="O363" s="2">
        <v>1509</v>
      </c>
      <c r="P363" s="3">
        <f t="shared" si="10"/>
        <v>60149</v>
      </c>
      <c r="Q363" s="3">
        <v>22007</v>
      </c>
      <c r="R363" s="3">
        <v>9930</v>
      </c>
      <c r="S363" s="5">
        <f t="shared" si="11"/>
        <v>28212</v>
      </c>
    </row>
    <row r="364" spans="1:19" ht="18.75" customHeight="1">
      <c r="A364" s="4" t="s">
        <v>19</v>
      </c>
      <c r="B364" s="10">
        <v>46020</v>
      </c>
      <c r="C364" s="2">
        <v>2207</v>
      </c>
      <c r="D364" s="2">
        <v>2204</v>
      </c>
      <c r="E364" s="2">
        <v>0</v>
      </c>
      <c r="F364" s="2">
        <v>6018</v>
      </c>
      <c r="G364" s="2">
        <v>2225</v>
      </c>
      <c r="H364" s="2">
        <v>663</v>
      </c>
      <c r="I364" s="2">
        <v>1904</v>
      </c>
      <c r="J364" s="2">
        <v>535</v>
      </c>
      <c r="K364" s="2">
        <v>20960</v>
      </c>
      <c r="L364" s="2">
        <v>15963</v>
      </c>
      <c r="M364" s="2">
        <v>762</v>
      </c>
      <c r="N364" s="2">
        <v>1145</v>
      </c>
      <c r="O364" s="2">
        <v>0</v>
      </c>
      <c r="P364" s="3">
        <f t="shared" si="10"/>
        <v>54586</v>
      </c>
      <c r="Q364" s="3">
        <v>14871</v>
      </c>
      <c r="R364" s="3">
        <v>29488</v>
      </c>
      <c r="S364" s="5">
        <f t="shared" si="11"/>
        <v>10227</v>
      </c>
    </row>
    <row r="365" spans="1:19" ht="18.75" customHeight="1">
      <c r="A365" s="4" t="s">
        <v>20</v>
      </c>
      <c r="B365" s="10">
        <v>46021</v>
      </c>
      <c r="C365" s="2">
        <v>2310</v>
      </c>
      <c r="D365" s="2">
        <v>1304</v>
      </c>
      <c r="E365" s="2">
        <v>0</v>
      </c>
      <c r="F365" s="2">
        <v>5636</v>
      </c>
      <c r="G365" s="2">
        <v>2686</v>
      </c>
      <c r="H365" s="2">
        <v>1146</v>
      </c>
      <c r="I365" s="2">
        <v>1673</v>
      </c>
      <c r="J365" s="2">
        <v>265</v>
      </c>
      <c r="K365" s="2">
        <v>16235</v>
      </c>
      <c r="L365" s="2">
        <v>13238</v>
      </c>
      <c r="M365" s="2">
        <v>1875</v>
      </c>
      <c r="N365" s="2">
        <v>225</v>
      </c>
      <c r="O365" s="2">
        <v>0</v>
      </c>
      <c r="P365" s="3">
        <f t="shared" si="10"/>
        <v>46593</v>
      </c>
      <c r="Q365" s="3">
        <v>11247</v>
      </c>
      <c r="R365" s="3">
        <v>14724</v>
      </c>
      <c r="S365" s="5">
        <f t="shared" si="11"/>
        <v>20622</v>
      </c>
    </row>
    <row r="366" spans="1:19" ht="18.75" customHeight="1">
      <c r="A366" s="4" t="s">
        <v>21</v>
      </c>
      <c r="B366" s="10">
        <v>46022</v>
      </c>
      <c r="C366" s="2">
        <v>3129</v>
      </c>
      <c r="D366" s="2">
        <v>2168</v>
      </c>
      <c r="E366" s="2">
        <v>0</v>
      </c>
      <c r="F366" s="2">
        <v>4713</v>
      </c>
      <c r="G366" s="2">
        <v>1009</v>
      </c>
      <c r="H366" s="2">
        <v>416</v>
      </c>
      <c r="I366" s="2">
        <v>3335</v>
      </c>
      <c r="J366" s="2">
        <v>158</v>
      </c>
      <c r="K366" s="2">
        <v>15811</v>
      </c>
      <c r="L366" s="2">
        <v>21408</v>
      </c>
      <c r="M366" s="2">
        <v>756</v>
      </c>
      <c r="N366" s="2">
        <v>140</v>
      </c>
      <c r="O366" s="2">
        <v>0</v>
      </c>
      <c r="P366" s="3">
        <f t="shared" si="10"/>
        <v>53043</v>
      </c>
      <c r="Q366" s="3">
        <v>15293</v>
      </c>
      <c r="R366" s="3">
        <v>14790</v>
      </c>
      <c r="S366" s="5">
        <f t="shared" si="11"/>
        <v>22960</v>
      </c>
    </row>
  </sheetData>
  <conditionalFormatting sqref="S2:S366">
    <cfRule type="cellIs" dxfId="2" priority="43" operator="lessThan">
      <formula>0</formula>
    </cfRule>
  </conditionalFormatting>
  <pageMargins left="0.7" right="0.7" top="0.75" bottom="0.75" header="0.3" footer="0.3"/>
  <pageSetup paperSize="9" orientation="portrait" horizontalDpi="360" verticalDpi="36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T130"/>
  <sheetViews>
    <sheetView tabSelected="1" topLeftCell="E1" zoomScale="56" zoomScaleNormal="70" workbookViewId="0">
      <pane ySplit="1" topLeftCell="A120" activePane="bottomLeft" state="frozen"/>
      <selection pane="bottomLeft" activeCell="U95" sqref="U95"/>
    </sheetView>
  </sheetViews>
  <sheetFormatPr defaultColWidth="11.5703125" defaultRowHeight="15"/>
  <cols>
    <col min="1" max="1" width="12.85546875" customWidth="1"/>
    <col min="2" max="2" width="16.42578125" style="11" customWidth="1"/>
    <col min="3" max="3" width="20.140625" customWidth="1"/>
    <col min="4" max="4" width="31.28515625" customWidth="1"/>
    <col min="5" max="6" width="21.140625" customWidth="1"/>
    <col min="7" max="7" width="21.85546875" customWidth="1"/>
    <col min="8" max="8" width="16.5703125" customWidth="1"/>
    <col min="9" max="13" width="18.28515625" customWidth="1"/>
    <col min="14" max="14" width="18.28515625" style="14" customWidth="1"/>
    <col min="15" max="15" width="18.28515625" customWidth="1"/>
    <col min="16" max="16" width="24.140625" customWidth="1"/>
    <col min="17" max="17" width="18.42578125" customWidth="1"/>
    <col min="18" max="18" width="22.140625" customWidth="1"/>
    <col min="19" max="19" width="24.28515625" bestFit="1" customWidth="1"/>
    <col min="20" max="20" width="14.5703125" bestFit="1" customWidth="1"/>
    <col min="21" max="21" width="13.28515625" bestFit="1" customWidth="1"/>
    <col min="22" max="22" width="14.5703125" bestFit="1" customWidth="1"/>
    <col min="23" max="23" width="21.85546875" customWidth="1"/>
    <col min="27" max="30" width="14.5703125" bestFit="1" customWidth="1"/>
    <col min="32" max="32" width="20.5703125" customWidth="1"/>
    <col min="33" max="35" width="14.7109375" bestFit="1" customWidth="1"/>
    <col min="36" max="36" width="17.28515625" customWidth="1"/>
    <col min="37" max="37" width="14.42578125" customWidth="1"/>
    <col min="42" max="45" width="15.140625" bestFit="1" customWidth="1"/>
  </cols>
  <sheetData>
    <row r="1" spans="1:20" ht="18.75" customHeight="1">
      <c r="A1" s="1"/>
      <c r="B1" s="9" t="s">
        <v>0</v>
      </c>
      <c r="C1" s="25" t="s">
        <v>39</v>
      </c>
      <c r="D1" s="25" t="s">
        <v>31</v>
      </c>
      <c r="E1" s="25" t="s">
        <v>40</v>
      </c>
      <c r="F1" s="25" t="s">
        <v>41</v>
      </c>
      <c r="G1" s="25" t="s">
        <v>26</v>
      </c>
      <c r="H1" s="25" t="s">
        <v>4</v>
      </c>
      <c r="I1" s="25" t="s">
        <v>45</v>
      </c>
      <c r="J1" s="25" t="s">
        <v>57</v>
      </c>
      <c r="K1" s="25" t="s">
        <v>10</v>
      </c>
      <c r="L1" s="25" t="s">
        <v>46</v>
      </c>
      <c r="M1" s="12" t="s">
        <v>47</v>
      </c>
      <c r="N1" s="12" t="s">
        <v>53</v>
      </c>
      <c r="O1" s="12" t="s">
        <v>54</v>
      </c>
      <c r="P1" s="24" t="s">
        <v>12</v>
      </c>
      <c r="Q1" s="26" t="s">
        <v>13</v>
      </c>
      <c r="R1" s="26" t="s">
        <v>51</v>
      </c>
      <c r="S1" s="26" t="s">
        <v>15</v>
      </c>
      <c r="T1" s="14"/>
    </row>
    <row r="2" spans="1:20" ht="18.75" customHeight="1">
      <c r="A2" s="4" t="s">
        <v>21</v>
      </c>
      <c r="B2" s="10">
        <v>46023</v>
      </c>
      <c r="C2" s="13">
        <v>0</v>
      </c>
      <c r="D2" s="13">
        <v>0</v>
      </c>
      <c r="E2" s="13">
        <v>0</v>
      </c>
      <c r="F2" s="13">
        <v>0</v>
      </c>
      <c r="G2" s="13">
        <v>0</v>
      </c>
      <c r="H2" s="13">
        <v>0</v>
      </c>
      <c r="I2" s="13">
        <v>0</v>
      </c>
      <c r="J2" s="13">
        <v>0</v>
      </c>
      <c r="K2" s="13">
        <v>0</v>
      </c>
      <c r="L2" s="13">
        <v>0</v>
      </c>
      <c r="M2" s="13">
        <v>0</v>
      </c>
      <c r="N2" s="13">
        <v>0</v>
      </c>
      <c r="O2" s="13">
        <v>0</v>
      </c>
      <c r="P2" s="27">
        <v>0</v>
      </c>
      <c r="Q2" s="27">
        <v>0</v>
      </c>
      <c r="R2" s="27">
        <v>0</v>
      </c>
      <c r="S2" s="28">
        <v>0</v>
      </c>
      <c r="T2" s="14"/>
    </row>
    <row r="3" spans="1:20" ht="18.75" customHeight="1">
      <c r="A3" s="4" t="s">
        <v>22</v>
      </c>
      <c r="B3" s="10">
        <v>46024</v>
      </c>
      <c r="C3" s="13">
        <v>2405</v>
      </c>
      <c r="D3" s="13">
        <v>4103</v>
      </c>
      <c r="E3" s="13">
        <v>0</v>
      </c>
      <c r="F3" s="13">
        <v>10421</v>
      </c>
      <c r="G3" s="13">
        <v>2991</v>
      </c>
      <c r="H3" s="13">
        <v>2172</v>
      </c>
      <c r="I3" s="13">
        <v>2430</v>
      </c>
      <c r="J3" s="13">
        <v>1271</v>
      </c>
      <c r="K3" s="13">
        <v>25834</v>
      </c>
      <c r="L3" s="13">
        <v>19088</v>
      </c>
      <c r="M3" s="13">
        <v>584</v>
      </c>
      <c r="N3" s="13">
        <v>0</v>
      </c>
      <c r="O3" s="13">
        <v>445</v>
      </c>
      <c r="P3" s="27">
        <v>71744</v>
      </c>
      <c r="Q3" s="27">
        <v>11300</v>
      </c>
      <c r="R3" s="27">
        <v>36463.5</v>
      </c>
      <c r="S3" s="28">
        <f t="shared" ref="S3:S44" si="0">P3-Q3-R3</f>
        <v>23980.5</v>
      </c>
      <c r="T3" s="14"/>
    </row>
    <row r="4" spans="1:20" ht="18.75" customHeight="1">
      <c r="A4" s="4" t="s">
        <v>23</v>
      </c>
      <c r="B4" s="10">
        <v>46025</v>
      </c>
      <c r="C4" s="13">
        <v>2301</v>
      </c>
      <c r="D4" s="13">
        <v>2614</v>
      </c>
      <c r="E4" s="13">
        <v>0</v>
      </c>
      <c r="F4" s="13">
        <v>12225</v>
      </c>
      <c r="G4" s="13">
        <v>1536</v>
      </c>
      <c r="H4" s="13">
        <v>1205</v>
      </c>
      <c r="I4" s="13">
        <v>2806</v>
      </c>
      <c r="J4" s="13">
        <v>0</v>
      </c>
      <c r="K4" s="13">
        <v>25644</v>
      </c>
      <c r="L4" s="13">
        <v>21939</v>
      </c>
      <c r="M4" s="13">
        <v>380</v>
      </c>
      <c r="N4" s="13">
        <v>180</v>
      </c>
      <c r="O4" s="13">
        <v>206</v>
      </c>
      <c r="P4" s="27">
        <v>71036</v>
      </c>
      <c r="Q4" s="27">
        <v>15230</v>
      </c>
      <c r="R4" s="27">
        <v>29519.5</v>
      </c>
      <c r="S4" s="28">
        <f t="shared" si="0"/>
        <v>26286.5</v>
      </c>
      <c r="T4" s="14"/>
    </row>
    <row r="5" spans="1:20" ht="18.75" customHeight="1">
      <c r="A5" s="4" t="s">
        <v>17</v>
      </c>
      <c r="B5" s="10">
        <v>46026</v>
      </c>
      <c r="C5" s="13">
        <v>1396</v>
      </c>
      <c r="D5" s="13">
        <v>3963</v>
      </c>
      <c r="E5" s="13">
        <v>0</v>
      </c>
      <c r="F5" s="13">
        <v>11039</v>
      </c>
      <c r="G5" s="13">
        <v>1822</v>
      </c>
      <c r="H5" s="13">
        <v>862</v>
      </c>
      <c r="I5" s="13">
        <v>926</v>
      </c>
      <c r="J5" s="13">
        <v>0</v>
      </c>
      <c r="K5" s="13">
        <v>25750</v>
      </c>
      <c r="L5" s="13">
        <v>21695.7</v>
      </c>
      <c r="M5" s="13">
        <v>835</v>
      </c>
      <c r="N5" s="13">
        <v>691</v>
      </c>
      <c r="O5" s="13">
        <v>1173</v>
      </c>
      <c r="P5" s="27">
        <v>70152.7</v>
      </c>
      <c r="Q5" s="27">
        <v>18795</v>
      </c>
      <c r="R5" s="27">
        <v>24461</v>
      </c>
      <c r="S5" s="28">
        <f t="shared" si="0"/>
        <v>26896.699999999997</v>
      </c>
      <c r="T5" s="14"/>
    </row>
    <row r="6" spans="1:20" ht="18.75" customHeight="1">
      <c r="A6" s="4" t="s">
        <v>18</v>
      </c>
      <c r="B6" s="10">
        <v>46027</v>
      </c>
      <c r="C6" s="13">
        <v>2076</v>
      </c>
      <c r="D6" s="13">
        <v>2274</v>
      </c>
      <c r="E6" s="13">
        <v>0</v>
      </c>
      <c r="F6" s="13">
        <v>8750</v>
      </c>
      <c r="G6" s="13">
        <v>2429</v>
      </c>
      <c r="H6" s="13">
        <v>863</v>
      </c>
      <c r="I6" s="13">
        <v>1600</v>
      </c>
      <c r="J6" s="13">
        <v>358</v>
      </c>
      <c r="K6" s="13">
        <v>22522</v>
      </c>
      <c r="L6" s="13">
        <v>12546.5</v>
      </c>
      <c r="M6" s="13">
        <v>1003</v>
      </c>
      <c r="N6" s="13">
        <v>303</v>
      </c>
      <c r="O6" s="13">
        <v>250</v>
      </c>
      <c r="P6" s="27">
        <v>54974.5</v>
      </c>
      <c r="Q6" s="27">
        <v>15132</v>
      </c>
      <c r="R6" s="27">
        <v>21908</v>
      </c>
      <c r="S6" s="28">
        <f t="shared" si="0"/>
        <v>17934.5</v>
      </c>
      <c r="T6" s="14"/>
    </row>
    <row r="7" spans="1:20" ht="18.75" customHeight="1">
      <c r="A7" s="4" t="s">
        <v>19</v>
      </c>
      <c r="B7" s="10">
        <v>46028</v>
      </c>
      <c r="C7" s="13">
        <v>1258</v>
      </c>
      <c r="D7" s="13">
        <v>1360</v>
      </c>
      <c r="E7" s="13">
        <v>0</v>
      </c>
      <c r="F7" s="13">
        <v>3568</v>
      </c>
      <c r="G7" s="13">
        <v>2439</v>
      </c>
      <c r="H7" s="13">
        <v>439</v>
      </c>
      <c r="I7" s="13">
        <v>1554</v>
      </c>
      <c r="J7" s="13">
        <v>699</v>
      </c>
      <c r="K7" s="13">
        <v>18672</v>
      </c>
      <c r="L7" s="13">
        <v>8029</v>
      </c>
      <c r="M7" s="13">
        <v>867</v>
      </c>
      <c r="N7" s="13">
        <v>310</v>
      </c>
      <c r="O7" s="13">
        <v>1324</v>
      </c>
      <c r="P7" s="27">
        <v>40519</v>
      </c>
      <c r="Q7" s="27">
        <v>11805</v>
      </c>
      <c r="R7" s="27">
        <v>12870</v>
      </c>
      <c r="S7" s="28">
        <f t="shared" si="0"/>
        <v>15844</v>
      </c>
      <c r="T7" s="14"/>
    </row>
    <row r="8" spans="1:20" ht="18.75" customHeight="1">
      <c r="A8" s="4" t="s">
        <v>20</v>
      </c>
      <c r="B8" s="10">
        <v>46029</v>
      </c>
      <c r="C8" s="13">
        <v>2406</v>
      </c>
      <c r="D8" s="13">
        <v>1233</v>
      </c>
      <c r="E8" s="13">
        <v>0</v>
      </c>
      <c r="F8" s="13">
        <v>3552</v>
      </c>
      <c r="G8" s="13">
        <v>2271</v>
      </c>
      <c r="H8" s="13">
        <v>853</v>
      </c>
      <c r="I8" s="13">
        <v>1755</v>
      </c>
      <c r="J8" s="13">
        <v>0</v>
      </c>
      <c r="K8" s="13">
        <v>20662</v>
      </c>
      <c r="L8" s="13">
        <v>7981.6</v>
      </c>
      <c r="M8" s="13">
        <v>618</v>
      </c>
      <c r="N8" s="13">
        <v>477</v>
      </c>
      <c r="O8" s="13">
        <v>1580.75</v>
      </c>
      <c r="P8" s="27">
        <v>43389.35</v>
      </c>
      <c r="Q8" s="27">
        <v>9570</v>
      </c>
      <c r="R8" s="27">
        <v>14889</v>
      </c>
      <c r="S8" s="28">
        <f t="shared" si="0"/>
        <v>18930.349999999999</v>
      </c>
      <c r="T8" s="14"/>
    </row>
    <row r="9" spans="1:20" ht="18.75" customHeight="1">
      <c r="A9" s="4" t="s">
        <v>21</v>
      </c>
      <c r="B9" s="10">
        <v>46030</v>
      </c>
      <c r="C9" s="13">
        <v>1842</v>
      </c>
      <c r="D9" s="13">
        <v>1925</v>
      </c>
      <c r="E9" s="13">
        <v>0</v>
      </c>
      <c r="F9" s="13">
        <v>6993</v>
      </c>
      <c r="G9" s="13">
        <v>2428</v>
      </c>
      <c r="H9" s="13">
        <v>1620</v>
      </c>
      <c r="I9" s="13">
        <v>2372</v>
      </c>
      <c r="J9" s="13">
        <v>530</v>
      </c>
      <c r="K9" s="13">
        <v>18420</v>
      </c>
      <c r="L9" s="13">
        <v>8810.9</v>
      </c>
      <c r="M9" s="13">
        <v>2083</v>
      </c>
      <c r="N9" s="13">
        <v>1171</v>
      </c>
      <c r="O9" s="13">
        <v>476</v>
      </c>
      <c r="P9" s="27">
        <v>48670.9</v>
      </c>
      <c r="Q9" s="27">
        <v>8847</v>
      </c>
      <c r="R9" s="27">
        <v>22149.9</v>
      </c>
      <c r="S9" s="28">
        <f t="shared" si="0"/>
        <v>17674</v>
      </c>
      <c r="T9" s="14"/>
    </row>
    <row r="10" spans="1:20" ht="18.75" customHeight="1">
      <c r="A10" s="4" t="s">
        <v>22</v>
      </c>
      <c r="B10" s="10">
        <v>46031</v>
      </c>
      <c r="C10" s="13">
        <v>2713</v>
      </c>
      <c r="D10" s="13">
        <v>1779</v>
      </c>
      <c r="E10" s="13">
        <v>0</v>
      </c>
      <c r="F10" s="13">
        <v>3647</v>
      </c>
      <c r="G10" s="13">
        <v>2007</v>
      </c>
      <c r="H10" s="13">
        <v>1796</v>
      </c>
      <c r="I10" s="13">
        <v>3895</v>
      </c>
      <c r="J10" s="13">
        <v>735</v>
      </c>
      <c r="K10" s="13">
        <v>19653</v>
      </c>
      <c r="L10" s="13">
        <v>12585</v>
      </c>
      <c r="M10" s="13">
        <v>749</v>
      </c>
      <c r="N10" s="13">
        <v>220</v>
      </c>
      <c r="O10" s="13">
        <v>614</v>
      </c>
      <c r="P10" s="27">
        <v>50393</v>
      </c>
      <c r="Q10" s="27">
        <v>10085</v>
      </c>
      <c r="R10" s="27">
        <v>29254.5</v>
      </c>
      <c r="S10" s="28">
        <f t="shared" si="0"/>
        <v>11053.5</v>
      </c>
      <c r="T10" s="14"/>
    </row>
    <row r="11" spans="1:20" ht="18.75" customHeight="1">
      <c r="A11" s="4" t="s">
        <v>23</v>
      </c>
      <c r="B11" s="10">
        <v>46032</v>
      </c>
      <c r="C11" s="13">
        <v>2901</v>
      </c>
      <c r="D11" s="13">
        <v>889</v>
      </c>
      <c r="E11" s="13">
        <v>0</v>
      </c>
      <c r="F11" s="13">
        <v>3497</v>
      </c>
      <c r="G11" s="13">
        <v>1510</v>
      </c>
      <c r="H11" s="13">
        <v>1158</v>
      </c>
      <c r="I11" s="13">
        <v>1668</v>
      </c>
      <c r="J11" s="13">
        <v>353</v>
      </c>
      <c r="K11" s="13">
        <v>13977.5</v>
      </c>
      <c r="L11" s="13">
        <v>18968.400000000001</v>
      </c>
      <c r="M11" s="13">
        <v>629</v>
      </c>
      <c r="N11" s="13">
        <v>545</v>
      </c>
      <c r="O11" s="13">
        <v>1018</v>
      </c>
      <c r="P11" s="27">
        <v>47113.9</v>
      </c>
      <c r="Q11" s="27">
        <v>11890</v>
      </c>
      <c r="R11" s="27">
        <v>23911</v>
      </c>
      <c r="S11" s="28">
        <f t="shared" si="0"/>
        <v>11312.900000000001</v>
      </c>
      <c r="T11" s="14"/>
    </row>
    <row r="12" spans="1:20" ht="18.75" customHeight="1">
      <c r="A12" s="4" t="s">
        <v>17</v>
      </c>
      <c r="B12" s="10">
        <v>46033</v>
      </c>
      <c r="C12" s="13">
        <v>1442</v>
      </c>
      <c r="D12" s="13">
        <v>338</v>
      </c>
      <c r="E12" s="13">
        <v>0</v>
      </c>
      <c r="F12" s="13">
        <v>1832</v>
      </c>
      <c r="G12" s="13">
        <v>2324</v>
      </c>
      <c r="H12" s="13">
        <v>195</v>
      </c>
      <c r="I12" s="13">
        <v>723</v>
      </c>
      <c r="J12" s="13">
        <v>0</v>
      </c>
      <c r="K12" s="13">
        <v>21831</v>
      </c>
      <c r="L12" s="13">
        <v>10310</v>
      </c>
      <c r="M12" s="13">
        <v>2008</v>
      </c>
      <c r="N12" s="13">
        <v>663</v>
      </c>
      <c r="O12" s="13">
        <v>1843</v>
      </c>
      <c r="P12" s="27">
        <v>43509</v>
      </c>
      <c r="Q12" s="27">
        <v>19000</v>
      </c>
      <c r="R12" s="27">
        <v>9406</v>
      </c>
      <c r="S12" s="28">
        <f t="shared" si="0"/>
        <v>15103</v>
      </c>
      <c r="T12" s="14"/>
    </row>
    <row r="13" spans="1:20" ht="18.75" customHeight="1">
      <c r="A13" s="4" t="s">
        <v>18</v>
      </c>
      <c r="B13" s="10">
        <v>46034</v>
      </c>
      <c r="C13" s="13">
        <v>1492</v>
      </c>
      <c r="D13" s="13">
        <v>1125</v>
      </c>
      <c r="E13" s="13">
        <v>0</v>
      </c>
      <c r="F13" s="13">
        <v>3428</v>
      </c>
      <c r="G13" s="13">
        <v>1046</v>
      </c>
      <c r="H13" s="13">
        <v>332</v>
      </c>
      <c r="I13" s="13">
        <v>1295</v>
      </c>
      <c r="J13" s="13">
        <v>361</v>
      </c>
      <c r="K13" s="13">
        <v>9277</v>
      </c>
      <c r="L13" s="13">
        <v>6141</v>
      </c>
      <c r="M13" s="13">
        <v>1310</v>
      </c>
      <c r="N13" s="13">
        <v>463</v>
      </c>
      <c r="O13" s="13">
        <v>1049</v>
      </c>
      <c r="P13" s="27">
        <v>27319</v>
      </c>
      <c r="Q13" s="27">
        <v>11370</v>
      </c>
      <c r="R13" s="27">
        <v>11824</v>
      </c>
      <c r="S13" s="28">
        <f t="shared" si="0"/>
        <v>4125</v>
      </c>
      <c r="T13" s="14"/>
    </row>
    <row r="14" spans="1:20" ht="18.75" customHeight="1">
      <c r="A14" s="4" t="s">
        <v>19</v>
      </c>
      <c r="B14" s="10">
        <v>46035</v>
      </c>
      <c r="C14" s="13">
        <v>1240</v>
      </c>
      <c r="D14" s="13">
        <v>1356</v>
      </c>
      <c r="E14" s="13">
        <v>0</v>
      </c>
      <c r="F14" s="13">
        <v>3966</v>
      </c>
      <c r="G14" s="13">
        <v>2090</v>
      </c>
      <c r="H14" s="13">
        <v>671</v>
      </c>
      <c r="I14" s="13">
        <v>1368</v>
      </c>
      <c r="J14" s="13">
        <v>265</v>
      </c>
      <c r="K14" s="13">
        <v>11417</v>
      </c>
      <c r="L14" s="13">
        <v>6131.5</v>
      </c>
      <c r="M14" s="13">
        <v>758</v>
      </c>
      <c r="N14" s="13">
        <v>0</v>
      </c>
      <c r="O14" s="13">
        <v>375</v>
      </c>
      <c r="P14" s="27">
        <v>29637.5</v>
      </c>
      <c r="Q14" s="27">
        <v>10180</v>
      </c>
      <c r="R14" s="27">
        <v>9710.5</v>
      </c>
      <c r="S14" s="28">
        <f t="shared" si="0"/>
        <v>9747</v>
      </c>
      <c r="T14" s="14"/>
    </row>
    <row r="15" spans="1:20" ht="18.75" customHeight="1">
      <c r="A15" s="4" t="s">
        <v>20</v>
      </c>
      <c r="B15" s="10">
        <v>46036</v>
      </c>
      <c r="C15" s="13">
        <v>1934</v>
      </c>
      <c r="D15" s="13">
        <v>1092</v>
      </c>
      <c r="E15" s="13">
        <v>0</v>
      </c>
      <c r="F15" s="13">
        <v>3633</v>
      </c>
      <c r="G15" s="13">
        <v>1291</v>
      </c>
      <c r="H15" s="13">
        <v>574</v>
      </c>
      <c r="I15" s="13">
        <v>2267</v>
      </c>
      <c r="J15" s="13">
        <v>0</v>
      </c>
      <c r="K15" s="13">
        <v>9200</v>
      </c>
      <c r="L15" s="13">
        <v>7296.4</v>
      </c>
      <c r="M15" s="13">
        <v>1221</v>
      </c>
      <c r="N15" s="13">
        <v>455</v>
      </c>
      <c r="O15" s="13">
        <v>150</v>
      </c>
      <c r="P15" s="27">
        <v>29113.4</v>
      </c>
      <c r="Q15" s="27">
        <v>9399</v>
      </c>
      <c r="R15" s="27">
        <v>11944.5</v>
      </c>
      <c r="S15" s="28">
        <f t="shared" si="0"/>
        <v>7769.9000000000015</v>
      </c>
      <c r="T15" s="14"/>
    </row>
    <row r="16" spans="1:20" ht="18.75" customHeight="1">
      <c r="A16" s="4" t="s">
        <v>21</v>
      </c>
      <c r="B16" s="10">
        <v>46037</v>
      </c>
      <c r="C16" s="13">
        <v>2146</v>
      </c>
      <c r="D16" s="13">
        <v>1217</v>
      </c>
      <c r="E16" s="13">
        <v>870</v>
      </c>
      <c r="F16" s="13">
        <v>2001</v>
      </c>
      <c r="G16" s="13">
        <v>2041</v>
      </c>
      <c r="H16" s="13">
        <v>1086</v>
      </c>
      <c r="I16" s="13">
        <v>1510</v>
      </c>
      <c r="J16" s="13">
        <v>0</v>
      </c>
      <c r="K16" s="13">
        <v>13332</v>
      </c>
      <c r="L16" s="13">
        <v>8359</v>
      </c>
      <c r="M16" s="13">
        <v>818</v>
      </c>
      <c r="N16" s="13">
        <v>631</v>
      </c>
      <c r="O16" s="13">
        <v>929.5</v>
      </c>
      <c r="P16" s="27">
        <v>34940.5</v>
      </c>
      <c r="Q16" s="27">
        <v>12177</v>
      </c>
      <c r="R16" s="27">
        <v>13869</v>
      </c>
      <c r="S16" s="28">
        <f t="shared" si="0"/>
        <v>8894.5</v>
      </c>
      <c r="T16" s="14"/>
    </row>
    <row r="17" spans="1:20" ht="18.75" customHeight="1">
      <c r="A17" s="4" t="s">
        <v>22</v>
      </c>
      <c r="B17" s="10">
        <v>46038</v>
      </c>
      <c r="C17" s="13">
        <v>2075</v>
      </c>
      <c r="D17" s="13">
        <v>1195</v>
      </c>
      <c r="E17" s="13">
        <v>736</v>
      </c>
      <c r="F17" s="13">
        <v>3259</v>
      </c>
      <c r="G17" s="13">
        <v>2084</v>
      </c>
      <c r="H17" s="13">
        <v>516</v>
      </c>
      <c r="I17" s="13">
        <v>2419</v>
      </c>
      <c r="J17" s="13">
        <v>0</v>
      </c>
      <c r="K17" s="13">
        <v>11610.5</v>
      </c>
      <c r="L17" s="13">
        <v>6979</v>
      </c>
      <c r="M17" s="13">
        <v>619.5</v>
      </c>
      <c r="N17" s="13">
        <v>1345</v>
      </c>
      <c r="O17" s="13">
        <v>95</v>
      </c>
      <c r="P17" s="27">
        <v>32933</v>
      </c>
      <c r="Q17" s="27">
        <v>14538</v>
      </c>
      <c r="R17" s="27">
        <v>17268</v>
      </c>
      <c r="S17" s="28">
        <f t="shared" si="0"/>
        <v>1127</v>
      </c>
      <c r="T17" s="14"/>
    </row>
    <row r="18" spans="1:20" ht="18.75" customHeight="1">
      <c r="A18" s="4" t="s">
        <v>23</v>
      </c>
      <c r="B18" s="10">
        <v>46039</v>
      </c>
      <c r="C18" s="13">
        <v>1828</v>
      </c>
      <c r="D18" s="13">
        <v>1242</v>
      </c>
      <c r="E18" s="13">
        <v>0</v>
      </c>
      <c r="F18" s="13">
        <v>3303</v>
      </c>
      <c r="G18" s="13">
        <v>2334</v>
      </c>
      <c r="H18" s="13">
        <v>616</v>
      </c>
      <c r="I18" s="13">
        <v>1280</v>
      </c>
      <c r="J18" s="13">
        <v>1166</v>
      </c>
      <c r="K18" s="13">
        <v>16800</v>
      </c>
      <c r="L18" s="13">
        <v>10168</v>
      </c>
      <c r="M18" s="13">
        <v>928</v>
      </c>
      <c r="N18" s="13">
        <v>135</v>
      </c>
      <c r="O18" s="13">
        <v>680</v>
      </c>
      <c r="P18" s="27">
        <v>40480</v>
      </c>
      <c r="Q18" s="27">
        <v>15283</v>
      </c>
      <c r="R18" s="27">
        <v>24016</v>
      </c>
      <c r="S18" s="28">
        <f t="shared" si="0"/>
        <v>1181</v>
      </c>
      <c r="T18" s="14"/>
    </row>
    <row r="19" spans="1:20" ht="18.75" customHeight="1">
      <c r="A19" s="4" t="s">
        <v>17</v>
      </c>
      <c r="B19" s="10">
        <v>46040</v>
      </c>
      <c r="C19" s="13">
        <v>2294</v>
      </c>
      <c r="D19" s="13">
        <v>851</v>
      </c>
      <c r="E19" s="13">
        <v>0</v>
      </c>
      <c r="F19" s="13">
        <v>1511</v>
      </c>
      <c r="G19" s="13">
        <v>1615</v>
      </c>
      <c r="H19" s="13">
        <v>188</v>
      </c>
      <c r="I19" s="13">
        <v>2028</v>
      </c>
      <c r="J19" s="13">
        <v>0</v>
      </c>
      <c r="K19" s="13">
        <v>15282.5</v>
      </c>
      <c r="L19" s="13">
        <v>14071</v>
      </c>
      <c r="M19" s="13">
        <v>150</v>
      </c>
      <c r="N19" s="13">
        <v>1350</v>
      </c>
      <c r="O19" s="13">
        <v>1143</v>
      </c>
      <c r="P19" s="27">
        <v>40483.5</v>
      </c>
      <c r="Q19" s="27">
        <v>14540</v>
      </c>
      <c r="R19" s="27">
        <v>8577.5</v>
      </c>
      <c r="S19" s="28">
        <f t="shared" si="0"/>
        <v>17366</v>
      </c>
      <c r="T19" s="14"/>
    </row>
    <row r="20" spans="1:20" ht="18.75" customHeight="1">
      <c r="A20" s="4" t="s">
        <v>18</v>
      </c>
      <c r="B20" s="10">
        <v>46041</v>
      </c>
      <c r="C20" s="13">
        <v>2368</v>
      </c>
      <c r="D20" s="13">
        <v>1348</v>
      </c>
      <c r="E20" s="13">
        <v>0</v>
      </c>
      <c r="F20" s="13">
        <v>2919</v>
      </c>
      <c r="G20" s="13">
        <v>2021</v>
      </c>
      <c r="H20" s="13">
        <v>173</v>
      </c>
      <c r="I20" s="13">
        <v>2287</v>
      </c>
      <c r="J20" s="13">
        <v>316</v>
      </c>
      <c r="K20" s="13">
        <v>9045.5</v>
      </c>
      <c r="L20" s="13">
        <v>5545</v>
      </c>
      <c r="M20" s="13">
        <v>913.5</v>
      </c>
      <c r="N20" s="13">
        <v>115</v>
      </c>
      <c r="O20" s="13">
        <v>565</v>
      </c>
      <c r="P20" s="27">
        <v>27616</v>
      </c>
      <c r="Q20" s="27">
        <v>8683</v>
      </c>
      <c r="R20" s="27">
        <v>18072</v>
      </c>
      <c r="S20" s="28">
        <f t="shared" si="0"/>
        <v>861</v>
      </c>
      <c r="T20" s="14"/>
    </row>
    <row r="21" spans="1:20" ht="18.75" customHeight="1">
      <c r="A21" s="4" t="s">
        <v>19</v>
      </c>
      <c r="B21" s="10">
        <v>46042</v>
      </c>
      <c r="C21" s="13">
        <v>1032</v>
      </c>
      <c r="D21" s="13">
        <v>994</v>
      </c>
      <c r="E21" s="13">
        <v>0</v>
      </c>
      <c r="F21" s="13">
        <v>3875</v>
      </c>
      <c r="G21" s="13">
        <v>1020</v>
      </c>
      <c r="H21" s="13">
        <v>823</v>
      </c>
      <c r="I21" s="13">
        <v>1494</v>
      </c>
      <c r="J21" s="13">
        <v>304</v>
      </c>
      <c r="K21" s="13">
        <v>9317</v>
      </c>
      <c r="L21" s="13">
        <v>9306.9500000000007</v>
      </c>
      <c r="M21" s="13">
        <v>1305</v>
      </c>
      <c r="N21" s="13">
        <v>0</v>
      </c>
      <c r="O21" s="13">
        <v>0</v>
      </c>
      <c r="P21" s="27">
        <v>29470.95</v>
      </c>
      <c r="Q21" s="27">
        <v>10785</v>
      </c>
      <c r="R21" s="27">
        <v>13736.5</v>
      </c>
      <c r="S21" s="28">
        <f t="shared" si="0"/>
        <v>4949.4500000000007</v>
      </c>
      <c r="T21" s="14"/>
    </row>
    <row r="22" spans="1:20" ht="18.75" customHeight="1">
      <c r="A22" s="4" t="s">
        <v>20</v>
      </c>
      <c r="B22" s="10">
        <v>46043</v>
      </c>
      <c r="C22" s="13">
        <v>802</v>
      </c>
      <c r="D22" s="13">
        <v>1004</v>
      </c>
      <c r="E22" s="13">
        <v>0</v>
      </c>
      <c r="F22" s="13">
        <v>2926</v>
      </c>
      <c r="G22" s="13">
        <v>1121</v>
      </c>
      <c r="H22" s="13">
        <v>741</v>
      </c>
      <c r="I22" s="13">
        <v>1645</v>
      </c>
      <c r="J22" s="13">
        <v>339</v>
      </c>
      <c r="K22" s="13">
        <v>11650.5</v>
      </c>
      <c r="L22" s="13">
        <v>5671.4</v>
      </c>
      <c r="M22" s="13">
        <v>1505</v>
      </c>
      <c r="N22" s="13">
        <v>258.75</v>
      </c>
      <c r="O22" s="13">
        <v>705</v>
      </c>
      <c r="P22" s="27">
        <v>28368.65</v>
      </c>
      <c r="Q22" s="27">
        <v>12495</v>
      </c>
      <c r="R22" s="27">
        <v>7341.5</v>
      </c>
      <c r="S22" s="28">
        <f t="shared" si="0"/>
        <v>8532.1500000000015</v>
      </c>
      <c r="T22" s="14"/>
    </row>
    <row r="23" spans="1:20" ht="18.75" customHeight="1">
      <c r="A23" s="4" t="s">
        <v>21</v>
      </c>
      <c r="B23" s="10">
        <v>46044</v>
      </c>
      <c r="C23" s="13">
        <v>1535</v>
      </c>
      <c r="D23" s="13">
        <v>1471</v>
      </c>
      <c r="E23" s="13">
        <v>1930</v>
      </c>
      <c r="F23" s="13">
        <v>1710</v>
      </c>
      <c r="G23" s="13">
        <v>830</v>
      </c>
      <c r="H23" s="13">
        <v>1996</v>
      </c>
      <c r="I23" s="13">
        <v>1996</v>
      </c>
      <c r="J23" s="13">
        <v>0</v>
      </c>
      <c r="K23" s="13">
        <v>9766.5</v>
      </c>
      <c r="L23" s="13">
        <v>7361.3</v>
      </c>
      <c r="M23" s="13">
        <v>2499</v>
      </c>
      <c r="N23" s="13">
        <v>173</v>
      </c>
      <c r="O23" s="13">
        <v>160.5</v>
      </c>
      <c r="P23" s="27">
        <v>31428.3</v>
      </c>
      <c r="Q23" s="27">
        <v>8325</v>
      </c>
      <c r="R23" s="27">
        <v>16518.5</v>
      </c>
      <c r="S23" s="28">
        <f t="shared" si="0"/>
        <v>6584.7999999999993</v>
      </c>
      <c r="T23" s="14"/>
    </row>
    <row r="24" spans="1:20" ht="18.75" customHeight="1">
      <c r="A24" s="4" t="s">
        <v>22</v>
      </c>
      <c r="B24" s="10">
        <v>46045</v>
      </c>
      <c r="C24" s="13">
        <v>2011</v>
      </c>
      <c r="D24" s="13">
        <v>1770.5</v>
      </c>
      <c r="E24" s="13">
        <v>2876</v>
      </c>
      <c r="F24" s="13">
        <v>2171</v>
      </c>
      <c r="G24" s="13">
        <v>1513</v>
      </c>
      <c r="H24" s="13">
        <v>2390</v>
      </c>
      <c r="I24" s="13">
        <v>2390</v>
      </c>
      <c r="J24" s="13">
        <v>0</v>
      </c>
      <c r="K24" s="13">
        <v>8794</v>
      </c>
      <c r="L24" s="13">
        <v>6282.9</v>
      </c>
      <c r="M24" s="13">
        <v>740</v>
      </c>
      <c r="N24" s="13">
        <v>766.25</v>
      </c>
      <c r="O24" s="13">
        <v>230</v>
      </c>
      <c r="P24" s="27">
        <v>31934.65</v>
      </c>
      <c r="Q24" s="27">
        <v>14541</v>
      </c>
      <c r="R24" s="27">
        <v>8706.5</v>
      </c>
      <c r="S24" s="28">
        <f t="shared" si="0"/>
        <v>8687.1500000000015</v>
      </c>
      <c r="T24" s="14"/>
    </row>
    <row r="25" spans="1:20" ht="18.75" customHeight="1">
      <c r="A25" s="4" t="s">
        <v>23</v>
      </c>
      <c r="B25" s="10">
        <v>46046</v>
      </c>
      <c r="C25" s="13">
        <v>2558</v>
      </c>
      <c r="D25" s="13">
        <v>2321</v>
      </c>
      <c r="E25" s="13">
        <v>3675</v>
      </c>
      <c r="F25" s="13">
        <v>2096</v>
      </c>
      <c r="G25" s="13">
        <v>1065</v>
      </c>
      <c r="H25" s="13">
        <v>2320</v>
      </c>
      <c r="I25" s="13">
        <v>2320</v>
      </c>
      <c r="J25" s="13">
        <v>0</v>
      </c>
      <c r="K25" s="13">
        <v>11822</v>
      </c>
      <c r="L25" s="13">
        <v>12499.6</v>
      </c>
      <c r="M25" s="13">
        <v>910</v>
      </c>
      <c r="N25" s="13">
        <v>237.5</v>
      </c>
      <c r="O25" s="13">
        <v>1362.5</v>
      </c>
      <c r="P25" s="27">
        <v>43186.6</v>
      </c>
      <c r="Q25" s="27">
        <v>10260</v>
      </c>
      <c r="R25" s="27">
        <v>14204</v>
      </c>
      <c r="S25" s="28">
        <f t="shared" si="0"/>
        <v>18722.599999999999</v>
      </c>
      <c r="T25" s="14"/>
    </row>
    <row r="26" spans="1:20" ht="18.75" customHeight="1">
      <c r="A26" s="4" t="s">
        <v>17</v>
      </c>
      <c r="B26" s="10">
        <v>46047</v>
      </c>
      <c r="C26" s="13">
        <v>1864</v>
      </c>
      <c r="D26" s="13">
        <v>578</v>
      </c>
      <c r="E26" s="13">
        <v>0</v>
      </c>
      <c r="F26" s="13">
        <v>1747</v>
      </c>
      <c r="G26" s="13">
        <v>2453</v>
      </c>
      <c r="H26" s="13">
        <v>332</v>
      </c>
      <c r="I26" s="13">
        <v>639</v>
      </c>
      <c r="J26" s="13">
        <v>0</v>
      </c>
      <c r="K26" s="13">
        <v>16194.5</v>
      </c>
      <c r="L26" s="13">
        <v>11574.5</v>
      </c>
      <c r="M26" s="13">
        <v>1969</v>
      </c>
      <c r="N26" s="13">
        <v>686</v>
      </c>
      <c r="O26" s="13">
        <v>1111.8</v>
      </c>
      <c r="P26" s="27">
        <v>39148.800000000003</v>
      </c>
      <c r="Q26" s="27">
        <v>10355</v>
      </c>
      <c r="R26" s="27">
        <v>6865.4</v>
      </c>
      <c r="S26" s="28">
        <f t="shared" si="0"/>
        <v>21928.400000000001</v>
      </c>
      <c r="T26" s="14"/>
    </row>
    <row r="27" spans="1:20" ht="18.75" customHeight="1">
      <c r="A27" s="4" t="s">
        <v>18</v>
      </c>
      <c r="B27" s="10">
        <v>46048</v>
      </c>
      <c r="C27" s="13">
        <v>3011</v>
      </c>
      <c r="D27" s="13">
        <v>956</v>
      </c>
      <c r="E27" s="13">
        <v>0</v>
      </c>
      <c r="F27" s="13">
        <v>3155</v>
      </c>
      <c r="G27" s="13">
        <v>3782</v>
      </c>
      <c r="H27" s="13">
        <v>0</v>
      </c>
      <c r="I27" s="13">
        <v>2183</v>
      </c>
      <c r="J27" s="13">
        <v>0</v>
      </c>
      <c r="K27" s="13">
        <v>8964</v>
      </c>
      <c r="L27" s="13">
        <v>7241.6</v>
      </c>
      <c r="M27" s="13">
        <v>1280</v>
      </c>
      <c r="N27" s="13">
        <v>705</v>
      </c>
      <c r="O27" s="13">
        <v>335</v>
      </c>
      <c r="P27" s="27">
        <v>31612.6</v>
      </c>
      <c r="Q27" s="27">
        <v>10110</v>
      </c>
      <c r="R27" s="27">
        <v>18021.5</v>
      </c>
      <c r="S27" s="28">
        <f t="shared" si="0"/>
        <v>3481.0999999999985</v>
      </c>
      <c r="T27" s="14"/>
    </row>
    <row r="28" spans="1:20" ht="18.75" customHeight="1">
      <c r="A28" s="4" t="s">
        <v>19</v>
      </c>
      <c r="B28" s="10">
        <v>46049</v>
      </c>
      <c r="C28" s="13">
        <v>1059</v>
      </c>
      <c r="D28" s="13">
        <v>1451</v>
      </c>
      <c r="E28" s="13">
        <v>0</v>
      </c>
      <c r="F28" s="13">
        <v>3202</v>
      </c>
      <c r="G28" s="13">
        <v>2653</v>
      </c>
      <c r="H28" s="13">
        <v>732</v>
      </c>
      <c r="I28" s="13">
        <v>1292</v>
      </c>
      <c r="J28" s="13">
        <v>0</v>
      </c>
      <c r="K28" s="13">
        <v>8303</v>
      </c>
      <c r="L28" s="13">
        <v>3879.4</v>
      </c>
      <c r="M28" s="13">
        <v>330</v>
      </c>
      <c r="N28" s="13">
        <v>0</v>
      </c>
      <c r="O28" s="13">
        <v>456</v>
      </c>
      <c r="P28" s="27">
        <v>23357.4</v>
      </c>
      <c r="Q28" s="27">
        <v>11580</v>
      </c>
      <c r="R28" s="27">
        <v>11001.5</v>
      </c>
      <c r="S28" s="28">
        <f t="shared" si="0"/>
        <v>775.90000000000146</v>
      </c>
      <c r="T28" s="14"/>
    </row>
    <row r="29" spans="1:20" ht="18.75" customHeight="1">
      <c r="A29" s="4" t="s">
        <v>20</v>
      </c>
      <c r="B29" s="10">
        <v>46050</v>
      </c>
      <c r="C29" s="13">
        <v>1773</v>
      </c>
      <c r="D29" s="13">
        <v>1627</v>
      </c>
      <c r="E29" s="13">
        <v>0</v>
      </c>
      <c r="F29" s="13">
        <v>2731</v>
      </c>
      <c r="G29" s="13">
        <v>1840</v>
      </c>
      <c r="H29" s="13">
        <v>782</v>
      </c>
      <c r="I29" s="13">
        <v>2379</v>
      </c>
      <c r="J29" s="13">
        <v>0</v>
      </c>
      <c r="K29" s="13">
        <v>7941.25</v>
      </c>
      <c r="L29" s="13">
        <v>7452.3</v>
      </c>
      <c r="M29" s="13">
        <v>888.5</v>
      </c>
      <c r="N29" s="13">
        <v>475</v>
      </c>
      <c r="O29" s="13">
        <v>446</v>
      </c>
      <c r="P29" s="27">
        <v>28335.05</v>
      </c>
      <c r="Q29" s="27">
        <v>7685</v>
      </c>
      <c r="R29" s="27">
        <v>14571.5</v>
      </c>
      <c r="S29" s="28">
        <f t="shared" si="0"/>
        <v>6078.5499999999993</v>
      </c>
      <c r="T29" s="14"/>
    </row>
    <row r="30" spans="1:20" ht="18.75" customHeight="1">
      <c r="A30" s="4" t="s">
        <v>21</v>
      </c>
      <c r="B30" s="10">
        <v>46051</v>
      </c>
      <c r="C30" s="13">
        <v>1817</v>
      </c>
      <c r="D30" s="13">
        <v>1919</v>
      </c>
      <c r="E30" s="13">
        <v>0</v>
      </c>
      <c r="F30" s="13">
        <v>2989</v>
      </c>
      <c r="G30" s="13">
        <v>2263</v>
      </c>
      <c r="H30" s="13">
        <v>1433</v>
      </c>
      <c r="I30" s="13">
        <v>1501</v>
      </c>
      <c r="J30" s="13">
        <v>0</v>
      </c>
      <c r="K30" s="13">
        <v>4721.5</v>
      </c>
      <c r="L30" s="13">
        <v>9694.25</v>
      </c>
      <c r="M30" s="13">
        <v>1090</v>
      </c>
      <c r="N30" s="13">
        <v>1294.5</v>
      </c>
      <c r="O30" s="13">
        <v>851</v>
      </c>
      <c r="P30" s="27">
        <v>29573.25</v>
      </c>
      <c r="Q30" s="27">
        <v>8265</v>
      </c>
      <c r="R30" s="27">
        <v>15497.5</v>
      </c>
      <c r="S30" s="28">
        <f t="shared" si="0"/>
        <v>5810.75</v>
      </c>
      <c r="T30" s="14"/>
    </row>
    <row r="31" spans="1:20" ht="18.75" customHeight="1">
      <c r="A31" s="4" t="s">
        <v>22</v>
      </c>
      <c r="B31" s="10">
        <v>46052</v>
      </c>
      <c r="C31" s="13">
        <v>2198</v>
      </c>
      <c r="D31" s="13">
        <v>1374</v>
      </c>
      <c r="E31" s="13">
        <v>0</v>
      </c>
      <c r="F31" s="13">
        <v>4027</v>
      </c>
      <c r="G31" s="13">
        <v>1479</v>
      </c>
      <c r="H31" s="13">
        <v>0</v>
      </c>
      <c r="I31" s="13">
        <v>3027</v>
      </c>
      <c r="J31" s="13">
        <v>0</v>
      </c>
      <c r="K31" s="13">
        <v>8878</v>
      </c>
      <c r="L31" s="13">
        <v>7470.1</v>
      </c>
      <c r="M31" s="13">
        <v>810</v>
      </c>
      <c r="N31" s="13">
        <v>646</v>
      </c>
      <c r="O31" s="13">
        <v>0</v>
      </c>
      <c r="P31" s="27">
        <v>29909.1</v>
      </c>
      <c r="Q31" s="27">
        <v>8053</v>
      </c>
      <c r="R31" s="27">
        <v>19466</v>
      </c>
      <c r="S31" s="28">
        <f t="shared" si="0"/>
        <v>2390.0999999999985</v>
      </c>
      <c r="T31" s="14"/>
    </row>
    <row r="32" spans="1:20" ht="18.75" customHeight="1">
      <c r="A32" s="4" t="s">
        <v>23</v>
      </c>
      <c r="B32" s="10">
        <v>46053</v>
      </c>
      <c r="C32" s="13">
        <v>1633</v>
      </c>
      <c r="D32" s="13">
        <v>856</v>
      </c>
      <c r="E32" s="13">
        <v>0</v>
      </c>
      <c r="F32" s="13">
        <v>3034</v>
      </c>
      <c r="G32" s="13">
        <v>1841</v>
      </c>
      <c r="H32" s="13">
        <v>562</v>
      </c>
      <c r="I32" s="13">
        <v>3261</v>
      </c>
      <c r="J32" s="13">
        <v>0</v>
      </c>
      <c r="K32" s="13">
        <v>14276</v>
      </c>
      <c r="L32" s="13">
        <v>15413.1</v>
      </c>
      <c r="M32" s="13">
        <v>829</v>
      </c>
      <c r="N32" s="13">
        <v>324</v>
      </c>
      <c r="O32" s="13">
        <v>847.5</v>
      </c>
      <c r="P32" s="27">
        <v>42876.6</v>
      </c>
      <c r="Q32" s="27">
        <v>10355</v>
      </c>
      <c r="R32" s="27">
        <v>6865.4</v>
      </c>
      <c r="S32" s="28">
        <f t="shared" si="0"/>
        <v>25656.199999999997</v>
      </c>
      <c r="T32" s="14"/>
    </row>
    <row r="33" spans="1:20" ht="18.75" customHeight="1">
      <c r="A33" s="4" t="s">
        <v>17</v>
      </c>
      <c r="B33" s="10">
        <v>46054</v>
      </c>
      <c r="C33" s="13">
        <v>704</v>
      </c>
      <c r="D33" s="13">
        <v>770</v>
      </c>
      <c r="E33" s="13">
        <v>0</v>
      </c>
      <c r="F33" s="13">
        <v>2523</v>
      </c>
      <c r="G33" s="13">
        <v>1594</v>
      </c>
      <c r="H33" s="13">
        <v>620</v>
      </c>
      <c r="I33" s="13">
        <v>1467</v>
      </c>
      <c r="J33" s="13">
        <v>0</v>
      </c>
      <c r="K33" s="13">
        <v>23158</v>
      </c>
      <c r="L33" s="13">
        <v>18511.75</v>
      </c>
      <c r="M33" s="13">
        <v>1570</v>
      </c>
      <c r="N33" s="13">
        <v>135</v>
      </c>
      <c r="O33" s="13">
        <v>611.20000000000005</v>
      </c>
      <c r="P33" s="27">
        <v>51663.95</v>
      </c>
      <c r="Q33" s="27">
        <v>20237</v>
      </c>
      <c r="R33" s="27">
        <v>14182</v>
      </c>
      <c r="S33" s="28">
        <f t="shared" si="0"/>
        <v>17244.949999999997</v>
      </c>
      <c r="T33" s="14"/>
    </row>
    <row r="34" spans="1:20" ht="18.75" customHeight="1">
      <c r="A34" s="4" t="s">
        <v>18</v>
      </c>
      <c r="B34" s="10">
        <v>46055</v>
      </c>
      <c r="C34" s="13">
        <v>1207</v>
      </c>
      <c r="D34" s="13">
        <v>1108</v>
      </c>
      <c r="E34" s="13">
        <v>0</v>
      </c>
      <c r="F34" s="13">
        <v>4381</v>
      </c>
      <c r="G34" s="13">
        <v>1903</v>
      </c>
      <c r="H34" s="13">
        <v>647</v>
      </c>
      <c r="I34" s="13">
        <v>2090</v>
      </c>
      <c r="J34" s="13">
        <v>0</v>
      </c>
      <c r="K34" s="13">
        <v>15373</v>
      </c>
      <c r="L34" s="13">
        <v>18010.8</v>
      </c>
      <c r="M34" s="13">
        <v>475</v>
      </c>
      <c r="N34" s="13">
        <v>420</v>
      </c>
      <c r="O34" s="13">
        <v>972.3</v>
      </c>
      <c r="P34" s="27">
        <v>46587.100000000013</v>
      </c>
      <c r="Q34" s="27">
        <v>10365</v>
      </c>
      <c r="R34" s="27">
        <v>29194</v>
      </c>
      <c r="S34" s="28">
        <f t="shared" si="0"/>
        <v>7028.1000000000131</v>
      </c>
      <c r="T34" s="14"/>
    </row>
    <row r="35" spans="1:20" ht="18.75" customHeight="1">
      <c r="A35" s="4" t="s">
        <v>19</v>
      </c>
      <c r="B35" s="10">
        <v>46056</v>
      </c>
      <c r="C35" s="13">
        <v>1711</v>
      </c>
      <c r="D35" s="13">
        <v>994</v>
      </c>
      <c r="E35" s="13">
        <v>0</v>
      </c>
      <c r="F35" s="13">
        <v>2690</v>
      </c>
      <c r="G35" s="13">
        <v>2097</v>
      </c>
      <c r="H35" s="13">
        <v>872</v>
      </c>
      <c r="I35" s="13">
        <v>1611</v>
      </c>
      <c r="J35" s="13">
        <v>0</v>
      </c>
      <c r="K35" s="13">
        <v>5085</v>
      </c>
      <c r="L35" s="13">
        <v>3278.2</v>
      </c>
      <c r="M35" s="13">
        <v>478</v>
      </c>
      <c r="N35" s="13">
        <v>314.25</v>
      </c>
      <c r="O35" s="13">
        <v>602</v>
      </c>
      <c r="P35" s="27">
        <v>19732.45</v>
      </c>
      <c r="Q35" s="27">
        <v>9167</v>
      </c>
      <c r="R35" s="27">
        <v>12088</v>
      </c>
      <c r="S35" s="28">
        <f t="shared" si="0"/>
        <v>-1522.5499999999993</v>
      </c>
      <c r="T35" s="14"/>
    </row>
    <row r="36" spans="1:20" ht="18.75" customHeight="1">
      <c r="A36" s="4" t="s">
        <v>20</v>
      </c>
      <c r="B36" s="10">
        <v>46057</v>
      </c>
      <c r="C36" s="13">
        <v>883</v>
      </c>
      <c r="D36" s="13">
        <v>554</v>
      </c>
      <c r="E36" s="13">
        <v>0</v>
      </c>
      <c r="F36" s="13">
        <v>3296</v>
      </c>
      <c r="G36" s="13">
        <v>1582</v>
      </c>
      <c r="H36" s="13">
        <v>431</v>
      </c>
      <c r="I36" s="13">
        <v>2312</v>
      </c>
      <c r="J36" s="13">
        <v>0</v>
      </c>
      <c r="K36" s="13">
        <v>6186</v>
      </c>
      <c r="L36" s="13">
        <v>7726.5</v>
      </c>
      <c r="M36" s="13">
        <v>1223</v>
      </c>
      <c r="N36" s="13">
        <v>155</v>
      </c>
      <c r="O36" s="13">
        <v>824</v>
      </c>
      <c r="P36" s="27">
        <v>25172.5</v>
      </c>
      <c r="Q36" s="27">
        <v>7705</v>
      </c>
      <c r="R36" s="27">
        <v>11688</v>
      </c>
      <c r="S36" s="28">
        <f t="shared" si="0"/>
        <v>5779.5</v>
      </c>
      <c r="T36" s="14"/>
    </row>
    <row r="37" spans="1:20" ht="18.75" customHeight="1">
      <c r="A37" s="4" t="s">
        <v>21</v>
      </c>
      <c r="B37" s="10">
        <v>46058</v>
      </c>
      <c r="C37" s="13">
        <v>1295</v>
      </c>
      <c r="D37" s="13">
        <v>1379</v>
      </c>
      <c r="E37" s="13">
        <v>0</v>
      </c>
      <c r="F37" s="13">
        <v>2589</v>
      </c>
      <c r="G37" s="13">
        <v>2289</v>
      </c>
      <c r="H37" s="13">
        <v>353</v>
      </c>
      <c r="I37" s="13">
        <v>1170</v>
      </c>
      <c r="J37" s="13">
        <v>0</v>
      </c>
      <c r="K37" s="13">
        <v>8845</v>
      </c>
      <c r="L37" s="13">
        <v>9085.4000000000015</v>
      </c>
      <c r="M37" s="13">
        <v>858</v>
      </c>
      <c r="N37" s="13">
        <v>103.5</v>
      </c>
      <c r="O37" s="13">
        <v>348.66</v>
      </c>
      <c r="P37" s="27">
        <v>28315.56</v>
      </c>
      <c r="Q37" s="27">
        <v>8941</v>
      </c>
      <c r="R37" s="27">
        <v>16174.5</v>
      </c>
      <c r="S37" s="28">
        <f t="shared" si="0"/>
        <v>3200.0600000000013</v>
      </c>
      <c r="T37" s="14"/>
    </row>
    <row r="38" spans="1:20" ht="18.75" customHeight="1">
      <c r="A38" s="4" t="s">
        <v>22</v>
      </c>
      <c r="B38" s="10">
        <v>46059</v>
      </c>
      <c r="C38" s="13">
        <v>1588</v>
      </c>
      <c r="D38" s="13">
        <v>803</v>
      </c>
      <c r="E38" s="13">
        <v>0</v>
      </c>
      <c r="F38" s="13">
        <v>2897</v>
      </c>
      <c r="G38" s="13">
        <v>1898</v>
      </c>
      <c r="H38" s="13">
        <v>894</v>
      </c>
      <c r="I38" s="13">
        <v>2079</v>
      </c>
      <c r="J38" s="13">
        <v>0</v>
      </c>
      <c r="K38" s="13">
        <v>10767.5</v>
      </c>
      <c r="L38" s="13">
        <v>10078.4</v>
      </c>
      <c r="M38" s="13">
        <v>102</v>
      </c>
      <c r="N38" s="13">
        <v>155.25</v>
      </c>
      <c r="O38" s="13">
        <v>737.43000000000006</v>
      </c>
      <c r="P38" s="27">
        <v>31999.58</v>
      </c>
      <c r="Q38" s="27">
        <v>9225</v>
      </c>
      <c r="R38" s="27">
        <v>21055.5</v>
      </c>
      <c r="S38" s="28">
        <f t="shared" si="0"/>
        <v>1719.0800000000017</v>
      </c>
      <c r="T38" s="14"/>
    </row>
    <row r="39" spans="1:20" ht="18.75" customHeight="1">
      <c r="A39" s="4" t="s">
        <v>23</v>
      </c>
      <c r="B39" s="10">
        <v>46060</v>
      </c>
      <c r="C39" s="13">
        <v>3342</v>
      </c>
      <c r="D39" s="13">
        <v>1595</v>
      </c>
      <c r="E39" s="13">
        <v>0</v>
      </c>
      <c r="F39" s="13">
        <v>2734</v>
      </c>
      <c r="G39" s="13">
        <v>1747</v>
      </c>
      <c r="H39" s="13">
        <v>1193</v>
      </c>
      <c r="I39" s="13">
        <v>1448</v>
      </c>
      <c r="J39" s="13">
        <v>0</v>
      </c>
      <c r="K39" s="13">
        <v>12486.5</v>
      </c>
      <c r="L39" s="13">
        <v>11231.3</v>
      </c>
      <c r="M39" s="13">
        <v>274</v>
      </c>
      <c r="N39" s="13">
        <v>0</v>
      </c>
      <c r="O39" s="13">
        <v>105.32</v>
      </c>
      <c r="P39" s="27">
        <v>36156.120000000003</v>
      </c>
      <c r="Q39" s="27">
        <v>14845</v>
      </c>
      <c r="R39" s="27">
        <v>14171.5</v>
      </c>
      <c r="S39" s="28">
        <f t="shared" si="0"/>
        <v>7139.6200000000026</v>
      </c>
      <c r="T39" s="14"/>
    </row>
    <row r="40" spans="1:20" ht="18.75" customHeight="1">
      <c r="A40" s="4" t="s">
        <v>17</v>
      </c>
      <c r="B40" s="10">
        <v>46061</v>
      </c>
      <c r="C40" s="13">
        <v>1123</v>
      </c>
      <c r="D40" s="13">
        <v>570</v>
      </c>
      <c r="E40" s="13">
        <v>0</v>
      </c>
      <c r="F40" s="13">
        <v>2773</v>
      </c>
      <c r="G40" s="13">
        <v>2434</v>
      </c>
      <c r="H40" s="13">
        <v>463</v>
      </c>
      <c r="I40" s="13">
        <v>1105</v>
      </c>
      <c r="J40" s="13">
        <v>0</v>
      </c>
      <c r="K40" s="13">
        <v>17458.5</v>
      </c>
      <c r="L40" s="13">
        <v>12608.55</v>
      </c>
      <c r="M40" s="13">
        <v>318</v>
      </c>
      <c r="N40" s="13">
        <v>390</v>
      </c>
      <c r="O40" s="13">
        <v>792.75</v>
      </c>
      <c r="P40" s="27">
        <v>40035.800000000003</v>
      </c>
      <c r="Q40" s="27">
        <v>16615</v>
      </c>
      <c r="R40" s="27">
        <v>11283</v>
      </c>
      <c r="S40" s="28">
        <f t="shared" si="0"/>
        <v>12137.800000000003</v>
      </c>
      <c r="T40" s="14"/>
    </row>
    <row r="41" spans="1:20" ht="18.75" customHeight="1">
      <c r="A41" s="4" t="s">
        <v>18</v>
      </c>
      <c r="B41" s="10">
        <v>46062</v>
      </c>
      <c r="C41" s="13">
        <v>1059</v>
      </c>
      <c r="D41" s="13">
        <v>936</v>
      </c>
      <c r="E41" s="13">
        <v>0</v>
      </c>
      <c r="F41" s="13">
        <v>5067</v>
      </c>
      <c r="G41" s="13">
        <v>2044</v>
      </c>
      <c r="H41" s="13">
        <v>423</v>
      </c>
      <c r="I41" s="13">
        <v>1580</v>
      </c>
      <c r="J41" s="13">
        <v>0</v>
      </c>
      <c r="K41" s="13">
        <v>7915.5</v>
      </c>
      <c r="L41" s="13">
        <v>8330.4</v>
      </c>
      <c r="M41" s="13">
        <v>1521</v>
      </c>
      <c r="N41" s="13">
        <v>766.25</v>
      </c>
      <c r="O41" s="13">
        <v>955</v>
      </c>
      <c r="P41" s="27">
        <v>30597.15</v>
      </c>
      <c r="Q41" s="27">
        <v>9123</v>
      </c>
      <c r="R41" s="27">
        <v>19067</v>
      </c>
      <c r="S41" s="28">
        <f t="shared" si="0"/>
        <v>2407.1500000000015</v>
      </c>
      <c r="T41" s="14"/>
    </row>
    <row r="42" spans="1:20" ht="18.75" customHeight="1">
      <c r="A42" s="4" t="s">
        <v>19</v>
      </c>
      <c r="B42" s="10">
        <v>46063</v>
      </c>
      <c r="C42" s="13">
        <v>1217</v>
      </c>
      <c r="D42" s="13">
        <v>1309</v>
      </c>
      <c r="E42" s="13">
        <v>0</v>
      </c>
      <c r="F42" s="13">
        <v>2428</v>
      </c>
      <c r="G42" s="13">
        <v>1709</v>
      </c>
      <c r="H42" s="13">
        <v>318</v>
      </c>
      <c r="I42" s="13">
        <v>1669</v>
      </c>
      <c r="J42" s="13">
        <v>0</v>
      </c>
      <c r="K42" s="13">
        <v>6971</v>
      </c>
      <c r="L42" s="13">
        <v>5183.5</v>
      </c>
      <c r="M42" s="13">
        <v>376</v>
      </c>
      <c r="N42" s="13">
        <v>0</v>
      </c>
      <c r="O42" s="13">
        <v>881.82999999999993</v>
      </c>
      <c r="P42" s="27">
        <v>22062.33</v>
      </c>
      <c r="Q42" s="27">
        <v>9796</v>
      </c>
      <c r="R42" s="27">
        <v>10837.5</v>
      </c>
      <c r="S42" s="28">
        <f t="shared" si="0"/>
        <v>1428.8300000000017</v>
      </c>
      <c r="T42" s="14"/>
    </row>
    <row r="43" spans="1:20" ht="18.75" customHeight="1">
      <c r="A43" s="4" t="s">
        <v>20</v>
      </c>
      <c r="B43" s="10">
        <v>46064</v>
      </c>
      <c r="C43" s="13">
        <v>2267</v>
      </c>
      <c r="D43" s="13">
        <v>1295</v>
      </c>
      <c r="E43" s="13">
        <v>0</v>
      </c>
      <c r="F43" s="13">
        <v>4034</v>
      </c>
      <c r="G43" s="13">
        <v>922</v>
      </c>
      <c r="H43" s="13">
        <v>1045</v>
      </c>
      <c r="I43" s="13">
        <v>1320</v>
      </c>
      <c r="J43" s="13">
        <v>0</v>
      </c>
      <c r="K43" s="13">
        <v>11372</v>
      </c>
      <c r="L43" s="13">
        <v>6335</v>
      </c>
      <c r="M43" s="13">
        <v>1947</v>
      </c>
      <c r="N43" s="13">
        <v>0</v>
      </c>
      <c r="O43" s="13">
        <v>578</v>
      </c>
      <c r="P43" s="27">
        <v>31115</v>
      </c>
      <c r="Q43" s="27">
        <v>12204</v>
      </c>
      <c r="R43" s="27">
        <v>15347.7</v>
      </c>
      <c r="S43" s="28">
        <f t="shared" si="0"/>
        <v>3563.2999999999993</v>
      </c>
      <c r="T43" s="14"/>
    </row>
    <row r="44" spans="1:20" ht="18.75" customHeight="1">
      <c r="A44" s="4" t="s">
        <v>21</v>
      </c>
      <c r="B44" s="10">
        <v>46065</v>
      </c>
      <c r="C44" s="13">
        <v>996</v>
      </c>
      <c r="D44" s="13">
        <v>1702</v>
      </c>
      <c r="E44" s="13">
        <v>0</v>
      </c>
      <c r="F44" s="13">
        <v>4427</v>
      </c>
      <c r="G44" s="13">
        <v>1648</v>
      </c>
      <c r="H44" s="13">
        <v>781</v>
      </c>
      <c r="I44" s="13">
        <v>1943</v>
      </c>
      <c r="J44" s="13">
        <v>0</v>
      </c>
      <c r="K44" s="13">
        <v>8155.5</v>
      </c>
      <c r="L44" s="13">
        <v>7552.1</v>
      </c>
      <c r="M44" s="13">
        <v>919</v>
      </c>
      <c r="N44" s="13">
        <v>0</v>
      </c>
      <c r="O44" s="13">
        <v>138</v>
      </c>
      <c r="P44" s="27">
        <v>28261.599999999999</v>
      </c>
      <c r="Q44" s="27">
        <v>7799</v>
      </c>
      <c r="R44" s="27">
        <v>20081</v>
      </c>
      <c r="S44" s="28">
        <f t="shared" si="0"/>
        <v>381.59999999999854</v>
      </c>
      <c r="T44" s="14"/>
    </row>
    <row r="45" spans="1:20" ht="18.75" customHeight="1">
      <c r="A45" s="4" t="s">
        <v>22</v>
      </c>
      <c r="B45" s="10">
        <v>46066</v>
      </c>
      <c r="C45" s="13">
        <v>1989</v>
      </c>
      <c r="D45" s="13">
        <v>1004</v>
      </c>
      <c r="E45" s="13">
        <v>0</v>
      </c>
      <c r="F45" s="13">
        <v>3189</v>
      </c>
      <c r="G45" s="13">
        <v>1625</v>
      </c>
      <c r="H45" s="13">
        <v>700</v>
      </c>
      <c r="I45" s="13">
        <v>3052</v>
      </c>
      <c r="J45" s="13">
        <v>0</v>
      </c>
      <c r="K45" s="13">
        <v>11384</v>
      </c>
      <c r="L45" s="13">
        <v>9629.6</v>
      </c>
      <c r="M45" s="13">
        <v>457</v>
      </c>
      <c r="N45" s="13">
        <v>238.5</v>
      </c>
      <c r="O45" s="13">
        <v>547</v>
      </c>
      <c r="P45" s="27">
        <v>33815.1</v>
      </c>
      <c r="Q45" s="27">
        <v>9445</v>
      </c>
      <c r="R45" s="27">
        <v>10695.5</v>
      </c>
      <c r="S45" s="28">
        <v>13674.6</v>
      </c>
      <c r="T45" s="14"/>
    </row>
    <row r="46" spans="1:20" ht="18.75" customHeight="1">
      <c r="A46" s="4" t="s">
        <v>23</v>
      </c>
      <c r="B46" s="10">
        <v>46067</v>
      </c>
      <c r="C46" s="13">
        <v>2013</v>
      </c>
      <c r="D46" s="13">
        <v>1102</v>
      </c>
      <c r="E46" s="13">
        <v>0</v>
      </c>
      <c r="F46" s="13">
        <v>4050</v>
      </c>
      <c r="G46" s="13">
        <v>1215</v>
      </c>
      <c r="H46" s="13">
        <v>592</v>
      </c>
      <c r="I46" s="13">
        <v>2077</v>
      </c>
      <c r="J46" s="13">
        <v>0</v>
      </c>
      <c r="K46" s="13">
        <v>14343</v>
      </c>
      <c r="L46" s="13">
        <v>22718.15</v>
      </c>
      <c r="M46" s="13">
        <v>3025</v>
      </c>
      <c r="N46" s="13">
        <v>390</v>
      </c>
      <c r="O46" s="13">
        <v>1091.33</v>
      </c>
      <c r="P46" s="27">
        <v>52616.480000000003</v>
      </c>
      <c r="Q46" s="27">
        <v>18760</v>
      </c>
      <c r="R46" s="27">
        <v>28704.5</v>
      </c>
      <c r="S46" s="28">
        <v>5151.9799999999959</v>
      </c>
      <c r="T46" s="14"/>
    </row>
    <row r="47" spans="1:20" ht="18.75" customHeight="1">
      <c r="A47" s="4" t="s">
        <v>17</v>
      </c>
      <c r="B47" s="10">
        <v>46068</v>
      </c>
      <c r="C47" s="13">
        <v>1585</v>
      </c>
      <c r="D47" s="13">
        <v>995</v>
      </c>
      <c r="E47" s="13">
        <v>0</v>
      </c>
      <c r="F47" s="13">
        <v>1929</v>
      </c>
      <c r="G47" s="13">
        <v>2488</v>
      </c>
      <c r="H47" s="13">
        <v>735</v>
      </c>
      <c r="I47" s="13">
        <v>1105</v>
      </c>
      <c r="J47" s="13">
        <v>0</v>
      </c>
      <c r="K47" s="13">
        <v>18758</v>
      </c>
      <c r="L47" s="13">
        <v>12549.2</v>
      </c>
      <c r="M47" s="13">
        <v>1224</v>
      </c>
      <c r="N47" s="13">
        <v>105</v>
      </c>
      <c r="O47" s="13">
        <v>900</v>
      </c>
      <c r="P47" s="27">
        <v>42373.2</v>
      </c>
      <c r="Q47" s="27">
        <v>18178</v>
      </c>
      <c r="R47" s="27">
        <v>11808.5</v>
      </c>
      <c r="S47" s="28">
        <v>24079.200000000001</v>
      </c>
      <c r="T47" s="14"/>
    </row>
    <row r="48" spans="1:20" ht="18.75" customHeight="1">
      <c r="A48" s="4" t="s">
        <v>18</v>
      </c>
      <c r="B48" s="10">
        <v>46069</v>
      </c>
      <c r="C48" s="13">
        <v>1761</v>
      </c>
      <c r="D48" s="13">
        <v>857</v>
      </c>
      <c r="E48" s="13">
        <v>0</v>
      </c>
      <c r="F48" s="13">
        <v>3347</v>
      </c>
      <c r="G48" s="13">
        <v>2261</v>
      </c>
      <c r="H48" s="13">
        <v>1007</v>
      </c>
      <c r="I48" s="13">
        <v>1892</v>
      </c>
      <c r="J48" s="13">
        <v>0</v>
      </c>
      <c r="K48" s="13">
        <v>8589</v>
      </c>
      <c r="L48" s="13">
        <v>5197.5</v>
      </c>
      <c r="M48" s="13">
        <v>521</v>
      </c>
      <c r="N48" s="13">
        <v>390</v>
      </c>
      <c r="O48" s="13">
        <v>1911.09</v>
      </c>
      <c r="P48" s="27">
        <f t="shared" ref="P48:P79" si="1">SUM(C48:O48)</f>
        <v>27733.59</v>
      </c>
      <c r="Q48" s="27">
        <v>8776</v>
      </c>
      <c r="R48" s="27">
        <v>14335.5</v>
      </c>
      <c r="S48" s="28">
        <f t="shared" ref="S48:S79" si="2">P48-Q48-R48</f>
        <v>4622.09</v>
      </c>
      <c r="T48" s="14"/>
    </row>
    <row r="49" spans="1:20" ht="18.75" customHeight="1">
      <c r="A49" s="4" t="s">
        <v>19</v>
      </c>
      <c r="B49" s="10">
        <v>46070</v>
      </c>
      <c r="C49" s="13">
        <v>1811</v>
      </c>
      <c r="D49" s="13">
        <v>1124</v>
      </c>
      <c r="E49" s="13">
        <v>0</v>
      </c>
      <c r="F49" s="13">
        <v>3580</v>
      </c>
      <c r="G49" s="13">
        <v>2023</v>
      </c>
      <c r="H49" s="13">
        <v>616</v>
      </c>
      <c r="I49" s="13">
        <v>1797</v>
      </c>
      <c r="J49" s="13">
        <v>0</v>
      </c>
      <c r="K49" s="13">
        <v>9550</v>
      </c>
      <c r="L49" s="13">
        <v>8287.9</v>
      </c>
      <c r="M49" s="13">
        <v>642</v>
      </c>
      <c r="N49" s="13">
        <v>0</v>
      </c>
      <c r="O49" s="13">
        <v>316</v>
      </c>
      <c r="P49" s="27">
        <f t="shared" si="1"/>
        <v>29746.9</v>
      </c>
      <c r="Q49" s="27">
        <v>9505</v>
      </c>
      <c r="R49" s="27">
        <v>18902</v>
      </c>
      <c r="S49" s="28">
        <f t="shared" si="2"/>
        <v>1339.9000000000015</v>
      </c>
      <c r="T49" s="14"/>
    </row>
    <row r="50" spans="1:20" ht="18.75" customHeight="1">
      <c r="A50" s="4" t="s">
        <v>20</v>
      </c>
      <c r="B50" s="10">
        <v>46071</v>
      </c>
      <c r="C50" s="13">
        <v>1326</v>
      </c>
      <c r="D50" s="13">
        <v>1091</v>
      </c>
      <c r="E50" s="13">
        <v>0</v>
      </c>
      <c r="F50" s="13">
        <v>4054</v>
      </c>
      <c r="G50" s="13">
        <v>1427</v>
      </c>
      <c r="H50" s="13">
        <v>797</v>
      </c>
      <c r="I50" s="13">
        <v>1790</v>
      </c>
      <c r="J50" s="13">
        <v>0</v>
      </c>
      <c r="K50" s="13">
        <v>7605</v>
      </c>
      <c r="L50" s="13">
        <v>6808.5</v>
      </c>
      <c r="M50" s="13">
        <v>1080</v>
      </c>
      <c r="N50" s="13">
        <v>219</v>
      </c>
      <c r="O50" s="13">
        <v>0</v>
      </c>
      <c r="P50" s="27">
        <f t="shared" si="1"/>
        <v>26197.5</v>
      </c>
      <c r="Q50" s="27">
        <v>13830</v>
      </c>
      <c r="R50" s="27">
        <v>11686.5</v>
      </c>
      <c r="S50" s="28">
        <f t="shared" si="2"/>
        <v>681</v>
      </c>
      <c r="T50" s="14"/>
    </row>
    <row r="51" spans="1:20" ht="18.75" customHeight="1">
      <c r="A51" s="4" t="s">
        <v>21</v>
      </c>
      <c r="B51" s="10">
        <v>46072</v>
      </c>
      <c r="C51" s="13">
        <v>701</v>
      </c>
      <c r="D51" s="13">
        <v>1814</v>
      </c>
      <c r="E51" s="13">
        <v>0</v>
      </c>
      <c r="F51" s="13">
        <v>3776</v>
      </c>
      <c r="G51" s="13">
        <v>1688</v>
      </c>
      <c r="H51" s="13">
        <v>678</v>
      </c>
      <c r="I51" s="13">
        <v>1413</v>
      </c>
      <c r="J51" s="13">
        <v>0</v>
      </c>
      <c r="K51" s="13">
        <v>7086.5</v>
      </c>
      <c r="L51" s="13">
        <v>10791.8</v>
      </c>
      <c r="M51" s="13">
        <v>1507</v>
      </c>
      <c r="N51" s="13">
        <v>0</v>
      </c>
      <c r="O51" s="13">
        <v>661</v>
      </c>
      <c r="P51" s="27">
        <f t="shared" si="1"/>
        <v>30116.3</v>
      </c>
      <c r="Q51" s="27">
        <v>9820</v>
      </c>
      <c r="R51" s="27">
        <v>10791</v>
      </c>
      <c r="S51" s="28">
        <f t="shared" si="2"/>
        <v>9505.2999999999993</v>
      </c>
      <c r="T51" s="14"/>
    </row>
    <row r="52" spans="1:20" ht="18.75" customHeight="1">
      <c r="A52" s="4" t="s">
        <v>22</v>
      </c>
      <c r="B52" s="10">
        <v>46073</v>
      </c>
      <c r="C52" s="13">
        <v>1652</v>
      </c>
      <c r="D52" s="13">
        <v>1217</v>
      </c>
      <c r="E52" s="13">
        <v>0</v>
      </c>
      <c r="F52" s="13">
        <v>3490</v>
      </c>
      <c r="G52" s="13">
        <v>1282</v>
      </c>
      <c r="H52" s="13">
        <v>1134</v>
      </c>
      <c r="I52" s="13">
        <v>3498</v>
      </c>
      <c r="J52" s="13">
        <v>0</v>
      </c>
      <c r="K52" s="13">
        <v>8694</v>
      </c>
      <c r="L52" s="13">
        <v>13364.7</v>
      </c>
      <c r="M52" s="13">
        <v>1082</v>
      </c>
      <c r="N52" s="13">
        <v>0</v>
      </c>
      <c r="O52" s="13">
        <v>560</v>
      </c>
      <c r="P52" s="27">
        <f t="shared" si="1"/>
        <v>35973.699999999997</v>
      </c>
      <c r="Q52" s="27">
        <v>9087</v>
      </c>
      <c r="R52" s="27">
        <v>20229.5</v>
      </c>
      <c r="S52" s="28">
        <f t="shared" si="2"/>
        <v>6657.1999999999971</v>
      </c>
      <c r="T52" s="14"/>
    </row>
    <row r="53" spans="1:20" ht="18.75" customHeight="1">
      <c r="A53" s="4" t="s">
        <v>23</v>
      </c>
      <c r="B53" s="10">
        <v>46074</v>
      </c>
      <c r="C53" s="13">
        <v>1867</v>
      </c>
      <c r="D53" s="13">
        <v>1312</v>
      </c>
      <c r="E53" s="13">
        <v>0</v>
      </c>
      <c r="F53" s="13">
        <v>4743</v>
      </c>
      <c r="G53" s="13">
        <v>1465</v>
      </c>
      <c r="H53" s="13">
        <v>1660</v>
      </c>
      <c r="I53" s="13">
        <v>2908</v>
      </c>
      <c r="J53" s="13">
        <v>0</v>
      </c>
      <c r="K53" s="13">
        <v>18050</v>
      </c>
      <c r="L53" s="13">
        <v>15295.1</v>
      </c>
      <c r="M53" s="13">
        <v>551</v>
      </c>
      <c r="N53" s="13">
        <v>195</v>
      </c>
      <c r="O53" s="13">
        <v>455</v>
      </c>
      <c r="P53" s="27">
        <f t="shared" si="1"/>
        <v>48501.1</v>
      </c>
      <c r="Q53" s="27">
        <v>17770</v>
      </c>
      <c r="R53" s="27">
        <v>20711.5</v>
      </c>
      <c r="S53" s="28">
        <f t="shared" si="2"/>
        <v>10019.599999999999</v>
      </c>
      <c r="T53" s="14"/>
    </row>
    <row r="54" spans="1:20" ht="18.75" customHeight="1">
      <c r="A54" s="4" t="s">
        <v>17</v>
      </c>
      <c r="B54" s="10">
        <v>46075</v>
      </c>
      <c r="C54" s="13">
        <v>2569</v>
      </c>
      <c r="D54" s="13">
        <v>258</v>
      </c>
      <c r="E54" s="13">
        <v>0</v>
      </c>
      <c r="F54" s="13">
        <v>2365</v>
      </c>
      <c r="G54" s="13">
        <v>1595</v>
      </c>
      <c r="H54" s="13">
        <v>123</v>
      </c>
      <c r="I54" s="13">
        <v>1216</v>
      </c>
      <c r="J54" s="13">
        <v>0</v>
      </c>
      <c r="K54" s="13">
        <v>18156</v>
      </c>
      <c r="L54" s="13">
        <v>9334.4</v>
      </c>
      <c r="M54" s="13">
        <v>2203</v>
      </c>
      <c r="N54" s="13">
        <v>801</v>
      </c>
      <c r="O54" s="13">
        <v>713</v>
      </c>
      <c r="P54" s="27">
        <f t="shared" si="1"/>
        <v>39333.4</v>
      </c>
      <c r="Q54" s="27">
        <v>10826</v>
      </c>
      <c r="R54" s="27">
        <v>13439.5</v>
      </c>
      <c r="S54" s="28">
        <f t="shared" si="2"/>
        <v>15067.900000000001</v>
      </c>
      <c r="T54" s="14"/>
    </row>
    <row r="55" spans="1:20" ht="18.75" customHeight="1">
      <c r="A55" s="4" t="s">
        <v>18</v>
      </c>
      <c r="B55" s="10">
        <v>46076</v>
      </c>
      <c r="C55" s="13">
        <v>1882</v>
      </c>
      <c r="D55" s="13">
        <v>1984</v>
      </c>
      <c r="E55" s="13">
        <v>0</v>
      </c>
      <c r="F55" s="13">
        <v>3720</v>
      </c>
      <c r="G55" s="13">
        <v>1458</v>
      </c>
      <c r="H55" s="13">
        <v>575</v>
      </c>
      <c r="I55" s="13">
        <v>2135</v>
      </c>
      <c r="J55" s="13">
        <v>0</v>
      </c>
      <c r="K55" s="13">
        <v>9580</v>
      </c>
      <c r="L55" s="13">
        <v>3513.2</v>
      </c>
      <c r="M55" s="13">
        <v>662</v>
      </c>
      <c r="N55" s="13">
        <v>596.5</v>
      </c>
      <c r="O55" s="13">
        <v>1696</v>
      </c>
      <c r="P55" s="27">
        <f t="shared" si="1"/>
        <v>27801.7</v>
      </c>
      <c r="Q55" s="27">
        <v>10601</v>
      </c>
      <c r="R55" s="27">
        <v>13755.5</v>
      </c>
      <c r="S55" s="28">
        <f t="shared" si="2"/>
        <v>3445.2000000000007</v>
      </c>
      <c r="T55" s="14"/>
    </row>
    <row r="56" spans="1:20" ht="18.75" customHeight="1">
      <c r="A56" s="4" t="s">
        <v>19</v>
      </c>
      <c r="B56" s="10">
        <v>46077</v>
      </c>
      <c r="C56" s="13">
        <v>2084</v>
      </c>
      <c r="D56" s="13">
        <v>1245</v>
      </c>
      <c r="E56" s="13">
        <v>0</v>
      </c>
      <c r="F56" s="13">
        <v>3733</v>
      </c>
      <c r="G56" s="13">
        <v>2361</v>
      </c>
      <c r="H56" s="13">
        <v>508</v>
      </c>
      <c r="I56" s="13">
        <v>1799</v>
      </c>
      <c r="J56" s="13">
        <v>0</v>
      </c>
      <c r="K56" s="13">
        <v>9211.5</v>
      </c>
      <c r="L56" s="13">
        <v>9378.5</v>
      </c>
      <c r="M56" s="13">
        <v>1823</v>
      </c>
      <c r="N56" s="13">
        <v>428.75</v>
      </c>
      <c r="O56" s="13">
        <v>380</v>
      </c>
      <c r="P56" s="27">
        <f t="shared" si="1"/>
        <v>32951.75</v>
      </c>
      <c r="Q56" s="27">
        <v>10520</v>
      </c>
      <c r="R56" s="27">
        <v>12689</v>
      </c>
      <c r="S56" s="28">
        <f t="shared" si="2"/>
        <v>9742.75</v>
      </c>
      <c r="T56" s="14"/>
    </row>
    <row r="57" spans="1:20" ht="18.75" customHeight="1">
      <c r="A57" s="4" t="s">
        <v>20</v>
      </c>
      <c r="B57" s="10">
        <v>46078</v>
      </c>
      <c r="C57" s="13">
        <v>1534</v>
      </c>
      <c r="D57" s="13">
        <v>1070</v>
      </c>
      <c r="E57" s="13">
        <v>0</v>
      </c>
      <c r="F57" s="13">
        <v>3859</v>
      </c>
      <c r="G57" s="13">
        <v>1306</v>
      </c>
      <c r="H57" s="13">
        <v>776</v>
      </c>
      <c r="I57" s="13">
        <v>1846</v>
      </c>
      <c r="J57" s="13">
        <v>0</v>
      </c>
      <c r="K57" s="13">
        <v>8128.5</v>
      </c>
      <c r="L57" s="13">
        <v>7296</v>
      </c>
      <c r="M57" s="13">
        <v>1362</v>
      </c>
      <c r="N57" s="13">
        <v>0</v>
      </c>
      <c r="O57" s="13">
        <v>832</v>
      </c>
      <c r="P57" s="27">
        <f t="shared" si="1"/>
        <v>28009.5</v>
      </c>
      <c r="Q57" s="27">
        <v>13400</v>
      </c>
      <c r="R57" s="27">
        <v>11218.5</v>
      </c>
      <c r="S57" s="28">
        <f t="shared" si="2"/>
        <v>3391</v>
      </c>
      <c r="T57" s="14"/>
    </row>
    <row r="58" spans="1:20" ht="18.75" customHeight="1">
      <c r="A58" s="4" t="s">
        <v>21</v>
      </c>
      <c r="B58" s="10">
        <v>46079</v>
      </c>
      <c r="C58" s="13">
        <v>743</v>
      </c>
      <c r="D58" s="13">
        <v>1103</v>
      </c>
      <c r="E58" s="13">
        <v>0</v>
      </c>
      <c r="F58" s="13">
        <v>4376</v>
      </c>
      <c r="G58" s="13">
        <v>2180</v>
      </c>
      <c r="H58" s="13">
        <v>547</v>
      </c>
      <c r="I58" s="13">
        <v>3235</v>
      </c>
      <c r="J58" s="13">
        <v>0</v>
      </c>
      <c r="K58" s="13">
        <v>8362</v>
      </c>
      <c r="L58" s="13">
        <v>8095.8</v>
      </c>
      <c r="M58" s="13">
        <v>1032</v>
      </c>
      <c r="N58" s="13">
        <v>357</v>
      </c>
      <c r="O58" s="13">
        <v>917</v>
      </c>
      <c r="P58" s="27">
        <f t="shared" si="1"/>
        <v>30947.8</v>
      </c>
      <c r="Q58" s="27">
        <v>9689</v>
      </c>
      <c r="R58" s="27">
        <v>14714</v>
      </c>
      <c r="S58" s="28">
        <f t="shared" si="2"/>
        <v>6544.7999999999993</v>
      </c>
      <c r="T58" s="14"/>
    </row>
    <row r="59" spans="1:20" ht="18.75" customHeight="1">
      <c r="A59" s="4" t="s">
        <v>22</v>
      </c>
      <c r="B59" s="10">
        <v>46080</v>
      </c>
      <c r="C59" s="13">
        <v>2442</v>
      </c>
      <c r="D59" s="13">
        <v>1893</v>
      </c>
      <c r="E59" s="13">
        <v>0</v>
      </c>
      <c r="F59" s="13">
        <v>4404</v>
      </c>
      <c r="G59" s="13">
        <v>3278</v>
      </c>
      <c r="H59" s="13">
        <v>800</v>
      </c>
      <c r="I59" s="13">
        <v>3152</v>
      </c>
      <c r="J59" s="13">
        <v>0</v>
      </c>
      <c r="K59" s="13">
        <v>10258</v>
      </c>
      <c r="L59" s="13">
        <v>8215.2999999999993</v>
      </c>
      <c r="M59" s="13">
        <v>427</v>
      </c>
      <c r="N59" s="13">
        <v>0</v>
      </c>
      <c r="O59" s="13">
        <v>84</v>
      </c>
      <c r="P59" s="27">
        <f t="shared" si="1"/>
        <v>34953.300000000003</v>
      </c>
      <c r="Q59" s="27">
        <v>8280</v>
      </c>
      <c r="R59" s="27">
        <v>25559.5</v>
      </c>
      <c r="S59" s="28">
        <f t="shared" si="2"/>
        <v>1113.8000000000029</v>
      </c>
      <c r="T59" s="14"/>
    </row>
    <row r="60" spans="1:20" ht="18.75" customHeight="1">
      <c r="A60" s="4" t="s">
        <v>23</v>
      </c>
      <c r="B60" s="10">
        <v>46081</v>
      </c>
      <c r="C60" s="13">
        <v>2760</v>
      </c>
      <c r="D60" s="13">
        <v>1662</v>
      </c>
      <c r="E60" s="13">
        <v>0</v>
      </c>
      <c r="F60" s="13">
        <v>4071</v>
      </c>
      <c r="G60" s="13">
        <v>2782</v>
      </c>
      <c r="H60" s="13">
        <v>559</v>
      </c>
      <c r="I60" s="13">
        <v>2828</v>
      </c>
      <c r="J60" s="13">
        <v>0</v>
      </c>
      <c r="K60" s="13">
        <v>17467</v>
      </c>
      <c r="L60" s="13">
        <v>11336</v>
      </c>
      <c r="M60" s="13">
        <v>1369</v>
      </c>
      <c r="N60" s="13">
        <v>103.5</v>
      </c>
      <c r="O60" s="13">
        <v>1620</v>
      </c>
      <c r="P60" s="27">
        <f t="shared" si="1"/>
        <v>46557.5</v>
      </c>
      <c r="Q60" s="27">
        <v>17890</v>
      </c>
      <c r="R60" s="27">
        <v>27835</v>
      </c>
      <c r="S60" s="28">
        <f t="shared" si="2"/>
        <v>832.5</v>
      </c>
      <c r="T60" s="14"/>
    </row>
    <row r="61" spans="1:20" ht="18.75" customHeight="1">
      <c r="A61" s="4" t="s">
        <v>17</v>
      </c>
      <c r="B61" s="10">
        <v>46082</v>
      </c>
      <c r="C61" s="13">
        <v>2156</v>
      </c>
      <c r="D61" s="13">
        <v>1766</v>
      </c>
      <c r="E61" s="13">
        <v>0</v>
      </c>
      <c r="F61" s="13">
        <v>3203</v>
      </c>
      <c r="G61" s="13">
        <v>2366</v>
      </c>
      <c r="H61" s="13">
        <v>339</v>
      </c>
      <c r="I61" s="13">
        <v>1164</v>
      </c>
      <c r="J61" s="13">
        <v>0</v>
      </c>
      <c r="K61" s="13">
        <v>27429.5</v>
      </c>
      <c r="L61" s="13">
        <v>14062.8</v>
      </c>
      <c r="M61" s="13">
        <v>727.5</v>
      </c>
      <c r="N61" s="13">
        <v>609</v>
      </c>
      <c r="O61" s="13">
        <v>2735</v>
      </c>
      <c r="P61" s="27">
        <f t="shared" si="1"/>
        <v>56557.8</v>
      </c>
      <c r="Q61" s="27">
        <v>12325</v>
      </c>
      <c r="R61" s="27">
        <v>21909</v>
      </c>
      <c r="S61" s="28">
        <f t="shared" si="2"/>
        <v>22323.800000000003</v>
      </c>
      <c r="T61" s="14"/>
    </row>
    <row r="62" spans="1:20" ht="18.75" customHeight="1">
      <c r="A62" s="4" t="s">
        <v>18</v>
      </c>
      <c r="B62" s="10">
        <v>46083</v>
      </c>
      <c r="C62" s="13">
        <v>1230</v>
      </c>
      <c r="D62" s="13">
        <v>1233</v>
      </c>
      <c r="E62" s="13">
        <v>0</v>
      </c>
      <c r="F62" s="13">
        <v>3842</v>
      </c>
      <c r="G62" s="13">
        <v>2475</v>
      </c>
      <c r="H62" s="13">
        <v>1289</v>
      </c>
      <c r="I62" s="13">
        <v>1794</v>
      </c>
      <c r="J62" s="13">
        <v>0</v>
      </c>
      <c r="K62" s="13">
        <v>9038</v>
      </c>
      <c r="L62" s="13">
        <v>6554.5</v>
      </c>
      <c r="M62" s="13">
        <v>1015</v>
      </c>
      <c r="N62" s="13">
        <v>0</v>
      </c>
      <c r="O62" s="13">
        <v>155</v>
      </c>
      <c r="P62" s="27">
        <f t="shared" si="1"/>
        <v>28625.5</v>
      </c>
      <c r="Q62" s="27">
        <v>8531</v>
      </c>
      <c r="R62" s="27">
        <v>19279.5</v>
      </c>
      <c r="S62" s="28">
        <f t="shared" si="2"/>
        <v>815</v>
      </c>
      <c r="T62" s="14"/>
    </row>
    <row r="63" spans="1:20" ht="18.75" customHeight="1">
      <c r="A63" s="4" t="s">
        <v>19</v>
      </c>
      <c r="B63" s="10">
        <v>46084</v>
      </c>
      <c r="C63" s="13">
        <v>2182</v>
      </c>
      <c r="D63" s="13">
        <v>1039</v>
      </c>
      <c r="E63" s="13">
        <v>0</v>
      </c>
      <c r="F63" s="13">
        <v>3573</v>
      </c>
      <c r="G63" s="13">
        <v>1539</v>
      </c>
      <c r="H63" s="13">
        <v>303</v>
      </c>
      <c r="I63" s="13">
        <v>2312</v>
      </c>
      <c r="J63" s="13">
        <v>0</v>
      </c>
      <c r="K63" s="13">
        <v>10927</v>
      </c>
      <c r="L63" s="13">
        <v>8242.35</v>
      </c>
      <c r="M63" s="13">
        <v>724.5</v>
      </c>
      <c r="N63" s="13">
        <v>0</v>
      </c>
      <c r="O63" s="13">
        <v>830</v>
      </c>
      <c r="P63" s="27">
        <f t="shared" si="1"/>
        <v>31671.85</v>
      </c>
      <c r="Q63" s="27">
        <v>9810</v>
      </c>
      <c r="R63" s="27">
        <v>19748</v>
      </c>
      <c r="S63" s="28">
        <f t="shared" si="2"/>
        <v>2113.8499999999985</v>
      </c>
      <c r="T63" s="14"/>
    </row>
    <row r="64" spans="1:20" ht="18.75" customHeight="1">
      <c r="A64" s="4" t="s">
        <v>20</v>
      </c>
      <c r="B64" s="10">
        <v>46085</v>
      </c>
      <c r="C64" s="13">
        <v>1771</v>
      </c>
      <c r="D64" s="13">
        <v>1158</v>
      </c>
      <c r="E64" s="13">
        <v>0</v>
      </c>
      <c r="F64" s="13">
        <v>3955</v>
      </c>
      <c r="G64" s="13">
        <v>2596</v>
      </c>
      <c r="H64" s="13">
        <v>1250</v>
      </c>
      <c r="I64" s="13">
        <v>1540</v>
      </c>
      <c r="J64" s="13">
        <v>0</v>
      </c>
      <c r="K64" s="13">
        <v>6050.5</v>
      </c>
      <c r="L64" s="13">
        <v>9745.7000000000007</v>
      </c>
      <c r="M64" s="13">
        <v>883</v>
      </c>
      <c r="N64" s="13">
        <v>86.25</v>
      </c>
      <c r="O64" s="13">
        <v>208</v>
      </c>
      <c r="P64" s="27">
        <f t="shared" si="1"/>
        <v>29243.45</v>
      </c>
      <c r="Q64" s="27">
        <v>13064</v>
      </c>
      <c r="R64" s="27">
        <v>13737.5</v>
      </c>
      <c r="S64" s="28">
        <f t="shared" si="2"/>
        <v>2441.9500000000007</v>
      </c>
      <c r="T64" s="14"/>
    </row>
    <row r="65" spans="1:20" ht="18.75" customHeight="1">
      <c r="A65" s="4" t="s">
        <v>21</v>
      </c>
      <c r="B65" s="10">
        <v>46086</v>
      </c>
      <c r="C65" s="13">
        <v>1780</v>
      </c>
      <c r="D65" s="13">
        <v>1108</v>
      </c>
      <c r="E65" s="13">
        <v>0</v>
      </c>
      <c r="F65" s="13">
        <v>4514</v>
      </c>
      <c r="G65" s="13">
        <v>1245</v>
      </c>
      <c r="H65" s="13">
        <v>682</v>
      </c>
      <c r="I65" s="13">
        <v>2244</v>
      </c>
      <c r="J65" s="13">
        <v>0</v>
      </c>
      <c r="K65" s="13">
        <v>7650.5</v>
      </c>
      <c r="L65" s="13">
        <v>10019.299999999999</v>
      </c>
      <c r="M65" s="13">
        <v>327</v>
      </c>
      <c r="N65" s="13">
        <v>105</v>
      </c>
      <c r="O65" s="13">
        <v>636</v>
      </c>
      <c r="P65" s="27">
        <f t="shared" si="1"/>
        <v>30310.799999999999</v>
      </c>
      <c r="Q65" s="27">
        <v>9872</v>
      </c>
      <c r="R65" s="27">
        <v>15892.5</v>
      </c>
      <c r="S65" s="28">
        <f t="shared" si="2"/>
        <v>4546.2999999999993</v>
      </c>
      <c r="T65" s="14"/>
    </row>
    <row r="66" spans="1:20" ht="18.75" customHeight="1">
      <c r="A66" s="4" t="s">
        <v>22</v>
      </c>
      <c r="B66" s="10">
        <v>46087</v>
      </c>
      <c r="C66" s="13">
        <v>1557</v>
      </c>
      <c r="D66" s="13">
        <v>1819</v>
      </c>
      <c r="E66" s="13">
        <v>0</v>
      </c>
      <c r="F66" s="13">
        <v>5708</v>
      </c>
      <c r="G66" s="13">
        <v>2026</v>
      </c>
      <c r="H66" s="13">
        <v>592</v>
      </c>
      <c r="I66" s="13">
        <v>2561</v>
      </c>
      <c r="J66" s="13">
        <v>0</v>
      </c>
      <c r="K66" s="13">
        <v>11929</v>
      </c>
      <c r="L66" s="13">
        <v>11300.3</v>
      </c>
      <c r="M66" s="13">
        <v>1314.5</v>
      </c>
      <c r="N66" s="13">
        <v>333</v>
      </c>
      <c r="O66" s="13">
        <v>1116</v>
      </c>
      <c r="P66" s="27">
        <f t="shared" si="1"/>
        <v>40255.800000000003</v>
      </c>
      <c r="Q66" s="27">
        <v>16150</v>
      </c>
      <c r="R66" s="27">
        <v>16255</v>
      </c>
      <c r="S66" s="28">
        <f t="shared" si="2"/>
        <v>7850.8000000000029</v>
      </c>
      <c r="T66" s="14"/>
    </row>
    <row r="67" spans="1:20" ht="18.75" customHeight="1">
      <c r="A67" s="4" t="s">
        <v>23</v>
      </c>
      <c r="B67" s="10">
        <v>46088</v>
      </c>
      <c r="C67" s="13">
        <v>2116</v>
      </c>
      <c r="D67" s="13">
        <v>2028</v>
      </c>
      <c r="E67" s="13">
        <v>0</v>
      </c>
      <c r="F67" s="13">
        <v>5808</v>
      </c>
      <c r="G67" s="13">
        <v>1798</v>
      </c>
      <c r="H67" s="13">
        <v>1211</v>
      </c>
      <c r="I67" s="13">
        <v>2301</v>
      </c>
      <c r="J67" s="13">
        <v>0</v>
      </c>
      <c r="K67" s="13">
        <v>13513</v>
      </c>
      <c r="L67" s="13">
        <v>11087.9</v>
      </c>
      <c r="M67" s="13">
        <v>1177</v>
      </c>
      <c r="N67" s="13">
        <v>222</v>
      </c>
      <c r="O67" s="13">
        <v>1185</v>
      </c>
      <c r="P67" s="27">
        <f t="shared" si="1"/>
        <v>42446.9</v>
      </c>
      <c r="Q67" s="27">
        <v>19573</v>
      </c>
      <c r="R67" s="27">
        <v>19975</v>
      </c>
      <c r="S67" s="28">
        <f t="shared" si="2"/>
        <v>2898.9000000000015</v>
      </c>
      <c r="T67" s="14"/>
    </row>
    <row r="68" spans="1:20" ht="18.75" customHeight="1">
      <c r="A68" s="4" t="s">
        <v>17</v>
      </c>
      <c r="B68" s="10">
        <v>46089</v>
      </c>
      <c r="C68" s="13">
        <v>1878</v>
      </c>
      <c r="D68" s="13">
        <v>977</v>
      </c>
      <c r="E68" s="13">
        <v>0</v>
      </c>
      <c r="F68" s="13">
        <v>2984</v>
      </c>
      <c r="G68" s="13">
        <v>2253</v>
      </c>
      <c r="H68" s="13">
        <v>777</v>
      </c>
      <c r="I68" s="13">
        <v>3433</v>
      </c>
      <c r="J68" s="13">
        <v>0</v>
      </c>
      <c r="K68" s="13">
        <v>17198.5</v>
      </c>
      <c r="L68" s="13">
        <v>21180.349999999991</v>
      </c>
      <c r="M68" s="13">
        <v>1021</v>
      </c>
      <c r="N68" s="13">
        <v>863.25</v>
      </c>
      <c r="O68" s="13">
        <v>1747</v>
      </c>
      <c r="P68" s="27">
        <f t="shared" si="1"/>
        <v>54312.099999999991</v>
      </c>
      <c r="Q68" s="27">
        <v>16342</v>
      </c>
      <c r="R68" s="27">
        <v>19254</v>
      </c>
      <c r="S68" s="28">
        <f t="shared" si="2"/>
        <v>18716.099999999991</v>
      </c>
      <c r="T68" s="14"/>
    </row>
    <row r="69" spans="1:20" ht="18.75" customHeight="1">
      <c r="A69" s="4" t="s">
        <v>18</v>
      </c>
      <c r="B69" s="10">
        <v>46090</v>
      </c>
      <c r="C69" s="13">
        <v>1385</v>
      </c>
      <c r="D69" s="13">
        <v>1975</v>
      </c>
      <c r="E69" s="13">
        <v>0</v>
      </c>
      <c r="F69" s="13">
        <v>5782</v>
      </c>
      <c r="G69" s="13">
        <v>1849</v>
      </c>
      <c r="H69" s="13">
        <v>997</v>
      </c>
      <c r="I69" s="13">
        <v>2189</v>
      </c>
      <c r="J69" s="13">
        <v>0</v>
      </c>
      <c r="K69" s="13">
        <v>10470.5</v>
      </c>
      <c r="L69" s="13">
        <v>9034.2999999999993</v>
      </c>
      <c r="M69" s="13">
        <v>1232</v>
      </c>
      <c r="N69" s="13">
        <v>720</v>
      </c>
      <c r="O69" s="13">
        <v>375.75</v>
      </c>
      <c r="P69" s="27">
        <f t="shared" si="1"/>
        <v>36009.550000000003</v>
      </c>
      <c r="Q69" s="27">
        <v>9606</v>
      </c>
      <c r="R69" s="27">
        <v>22389</v>
      </c>
      <c r="S69" s="28">
        <f t="shared" si="2"/>
        <v>4014.5500000000029</v>
      </c>
      <c r="T69" s="14"/>
    </row>
    <row r="70" spans="1:20" ht="18.75" customHeight="1">
      <c r="A70" s="4" t="s">
        <v>19</v>
      </c>
      <c r="B70" s="10">
        <v>46091</v>
      </c>
      <c r="C70" s="13">
        <v>1680</v>
      </c>
      <c r="D70" s="13">
        <v>1281</v>
      </c>
      <c r="E70" s="13">
        <v>0</v>
      </c>
      <c r="F70" s="13">
        <v>3359</v>
      </c>
      <c r="G70" s="13">
        <v>2083</v>
      </c>
      <c r="H70" s="13">
        <v>323</v>
      </c>
      <c r="I70" s="13">
        <v>2564</v>
      </c>
      <c r="J70" s="13">
        <v>0</v>
      </c>
      <c r="K70" s="13">
        <v>11210</v>
      </c>
      <c r="L70" s="13">
        <v>8701</v>
      </c>
      <c r="M70" s="13">
        <v>1629.5</v>
      </c>
      <c r="N70" s="13">
        <v>210</v>
      </c>
      <c r="O70" s="13">
        <v>816</v>
      </c>
      <c r="P70" s="27">
        <f t="shared" si="1"/>
        <v>33856.5</v>
      </c>
      <c r="Q70" s="27">
        <v>14937</v>
      </c>
      <c r="R70" s="27">
        <v>14696.5</v>
      </c>
      <c r="S70" s="28">
        <f t="shared" si="2"/>
        <v>4223</v>
      </c>
      <c r="T70" s="14"/>
    </row>
    <row r="71" spans="1:20" ht="18.75" customHeight="1">
      <c r="A71" s="4" t="s">
        <v>20</v>
      </c>
      <c r="B71" s="10">
        <v>46092</v>
      </c>
      <c r="C71" s="13">
        <v>1938</v>
      </c>
      <c r="D71" s="13">
        <v>1892</v>
      </c>
      <c r="E71" s="13">
        <v>0</v>
      </c>
      <c r="F71" s="13">
        <v>3989</v>
      </c>
      <c r="G71" s="13">
        <v>1449</v>
      </c>
      <c r="H71" s="13">
        <v>670</v>
      </c>
      <c r="I71" s="13">
        <v>2005</v>
      </c>
      <c r="J71" s="13">
        <v>0</v>
      </c>
      <c r="K71" s="13">
        <v>9370.5</v>
      </c>
      <c r="L71" s="13">
        <v>10532.9</v>
      </c>
      <c r="M71" s="13">
        <v>908</v>
      </c>
      <c r="N71" s="13">
        <v>463.5</v>
      </c>
      <c r="O71" s="13">
        <v>0</v>
      </c>
      <c r="P71" s="27">
        <f t="shared" si="1"/>
        <v>33217.9</v>
      </c>
      <c r="Q71" s="27">
        <v>13922</v>
      </c>
      <c r="R71" s="27">
        <v>13025</v>
      </c>
      <c r="S71" s="28">
        <f t="shared" si="2"/>
        <v>6270.9000000000015</v>
      </c>
      <c r="T71" s="14"/>
    </row>
    <row r="72" spans="1:20" ht="18.75" customHeight="1">
      <c r="A72" s="4" t="s">
        <v>21</v>
      </c>
      <c r="B72" s="10">
        <v>46093</v>
      </c>
      <c r="C72" s="13">
        <v>1737</v>
      </c>
      <c r="D72" s="13">
        <v>689</v>
      </c>
      <c r="E72" s="13">
        <v>0</v>
      </c>
      <c r="F72" s="13">
        <v>4369</v>
      </c>
      <c r="G72" s="13">
        <v>2294</v>
      </c>
      <c r="H72" s="13">
        <v>1209</v>
      </c>
      <c r="I72" s="13">
        <v>1698</v>
      </c>
      <c r="J72" s="13">
        <v>0</v>
      </c>
      <c r="K72" s="13">
        <v>9240</v>
      </c>
      <c r="L72" s="13">
        <v>7258.1</v>
      </c>
      <c r="M72" s="13">
        <v>743</v>
      </c>
      <c r="N72" s="13">
        <v>305.25</v>
      </c>
      <c r="O72" s="13">
        <v>556</v>
      </c>
      <c r="P72" s="27">
        <f t="shared" si="1"/>
        <v>30098.35</v>
      </c>
      <c r="Q72" s="27">
        <v>9674</v>
      </c>
      <c r="R72" s="27">
        <v>17569.5</v>
      </c>
      <c r="S72" s="28">
        <f t="shared" si="2"/>
        <v>2854.8499999999985</v>
      </c>
      <c r="T72" s="14"/>
    </row>
    <row r="73" spans="1:20" ht="18.75" customHeight="1">
      <c r="A73" s="4" t="s">
        <v>22</v>
      </c>
      <c r="B73" s="10">
        <v>46094</v>
      </c>
      <c r="C73" s="13">
        <v>1835</v>
      </c>
      <c r="D73" s="13">
        <v>2419</v>
      </c>
      <c r="E73" s="13">
        <v>0</v>
      </c>
      <c r="F73" s="13">
        <v>3343</v>
      </c>
      <c r="G73" s="13">
        <v>2629</v>
      </c>
      <c r="H73" s="13">
        <v>934</v>
      </c>
      <c r="I73" s="13">
        <v>3521</v>
      </c>
      <c r="J73" s="13">
        <v>0</v>
      </c>
      <c r="K73" s="13">
        <v>15808</v>
      </c>
      <c r="L73" s="13">
        <v>13230.7</v>
      </c>
      <c r="M73" s="13">
        <v>728</v>
      </c>
      <c r="N73" s="13">
        <v>103.5</v>
      </c>
      <c r="O73" s="13">
        <v>0</v>
      </c>
      <c r="P73" s="27">
        <f t="shared" si="1"/>
        <v>44551.199999999997</v>
      </c>
      <c r="Q73" s="27">
        <v>10597</v>
      </c>
      <c r="R73" s="27">
        <v>22769.5</v>
      </c>
      <c r="S73" s="28">
        <f t="shared" si="2"/>
        <v>11184.699999999997</v>
      </c>
      <c r="T73" s="14"/>
    </row>
    <row r="74" spans="1:20" ht="18.75" customHeight="1">
      <c r="A74" s="4" t="s">
        <v>23</v>
      </c>
      <c r="B74" s="10">
        <v>46095</v>
      </c>
      <c r="C74" s="13">
        <v>3545</v>
      </c>
      <c r="D74" s="13">
        <v>3432</v>
      </c>
      <c r="E74" s="13">
        <v>0</v>
      </c>
      <c r="F74" s="13">
        <v>4525</v>
      </c>
      <c r="G74" s="13">
        <v>2636</v>
      </c>
      <c r="H74" s="13">
        <v>540</v>
      </c>
      <c r="I74" s="13">
        <v>2632</v>
      </c>
      <c r="J74" s="13">
        <v>0</v>
      </c>
      <c r="K74" s="13">
        <v>29682</v>
      </c>
      <c r="L74" s="13">
        <v>29746.5</v>
      </c>
      <c r="M74" s="13">
        <v>530</v>
      </c>
      <c r="N74" s="13">
        <v>276</v>
      </c>
      <c r="O74" s="13">
        <v>861</v>
      </c>
      <c r="P74" s="27">
        <f t="shared" si="1"/>
        <v>78405.5</v>
      </c>
      <c r="Q74" s="27">
        <v>22622</v>
      </c>
      <c r="R74" s="27">
        <v>34591.5</v>
      </c>
      <c r="S74" s="28">
        <f t="shared" si="2"/>
        <v>21192</v>
      </c>
      <c r="T74" s="14"/>
    </row>
    <row r="75" spans="1:20" ht="18.75" customHeight="1">
      <c r="A75" s="4" t="s">
        <v>17</v>
      </c>
      <c r="B75" s="10">
        <v>46096</v>
      </c>
      <c r="C75" s="13">
        <v>2125</v>
      </c>
      <c r="D75" s="13">
        <v>1800</v>
      </c>
      <c r="E75" s="13">
        <v>0</v>
      </c>
      <c r="F75" s="13">
        <v>3371</v>
      </c>
      <c r="G75" s="13">
        <v>2913</v>
      </c>
      <c r="H75" s="13">
        <v>648</v>
      </c>
      <c r="I75" s="13">
        <v>1943</v>
      </c>
      <c r="J75" s="13">
        <v>0</v>
      </c>
      <c r="K75" s="13">
        <v>37416</v>
      </c>
      <c r="L75" s="13">
        <v>33489.300000000003</v>
      </c>
      <c r="M75" s="13">
        <v>2483</v>
      </c>
      <c r="N75" s="13">
        <v>502.25</v>
      </c>
      <c r="O75" s="13">
        <v>0</v>
      </c>
      <c r="P75" s="27">
        <f t="shared" si="1"/>
        <v>86690.55</v>
      </c>
      <c r="Q75" s="27">
        <v>16891</v>
      </c>
      <c r="R75" s="27">
        <v>36817</v>
      </c>
      <c r="S75" s="28">
        <f t="shared" si="2"/>
        <v>32982.550000000003</v>
      </c>
      <c r="T75" s="14"/>
    </row>
    <row r="76" spans="1:20" ht="18.75" customHeight="1">
      <c r="A76" s="4" t="s">
        <v>18</v>
      </c>
      <c r="B76" s="10">
        <v>46097</v>
      </c>
      <c r="C76" s="13">
        <v>2187</v>
      </c>
      <c r="D76" s="13">
        <v>0</v>
      </c>
      <c r="E76" s="13">
        <v>0</v>
      </c>
      <c r="F76" s="13">
        <v>7886</v>
      </c>
      <c r="G76" s="13">
        <v>2340</v>
      </c>
      <c r="H76" s="13">
        <v>0</v>
      </c>
      <c r="I76" s="13">
        <v>0</v>
      </c>
      <c r="J76" s="13">
        <v>0</v>
      </c>
      <c r="K76" s="13">
        <v>29719.5</v>
      </c>
      <c r="L76" s="13">
        <v>30047.4</v>
      </c>
      <c r="M76" s="13">
        <v>1392</v>
      </c>
      <c r="N76" s="13">
        <v>848</v>
      </c>
      <c r="O76" s="13">
        <v>1740</v>
      </c>
      <c r="P76" s="27">
        <f t="shared" si="1"/>
        <v>76159.899999999994</v>
      </c>
      <c r="Q76" s="27">
        <v>14527</v>
      </c>
      <c r="R76" s="27">
        <v>39925.5</v>
      </c>
      <c r="S76" s="28">
        <f t="shared" si="2"/>
        <v>21707.399999999994</v>
      </c>
      <c r="T76" s="14"/>
    </row>
    <row r="77" spans="1:20" ht="18.75" customHeight="1">
      <c r="A77" s="4" t="s">
        <v>19</v>
      </c>
      <c r="B77" s="10">
        <v>46098</v>
      </c>
      <c r="C77" s="13">
        <v>2323</v>
      </c>
      <c r="D77" s="13">
        <v>3997</v>
      </c>
      <c r="E77" s="13">
        <v>0</v>
      </c>
      <c r="F77" s="13">
        <v>1128</v>
      </c>
      <c r="G77" s="13">
        <v>3311</v>
      </c>
      <c r="H77" s="13">
        <v>739</v>
      </c>
      <c r="I77" s="13">
        <v>2225</v>
      </c>
      <c r="J77" s="13">
        <v>0</v>
      </c>
      <c r="K77" s="13">
        <v>8417</v>
      </c>
      <c r="L77" s="13">
        <v>10863</v>
      </c>
      <c r="M77" s="13">
        <v>821</v>
      </c>
      <c r="N77" s="13">
        <v>147</v>
      </c>
      <c r="O77" s="13">
        <v>877</v>
      </c>
      <c r="P77" s="27">
        <f t="shared" si="1"/>
        <v>34848</v>
      </c>
      <c r="Q77" s="27">
        <v>8952</v>
      </c>
      <c r="R77" s="27">
        <v>22279</v>
      </c>
      <c r="S77" s="28">
        <f t="shared" si="2"/>
        <v>3617</v>
      </c>
      <c r="T77" s="14"/>
    </row>
    <row r="78" spans="1:20" ht="18.75" customHeight="1">
      <c r="A78" s="4" t="s">
        <v>20</v>
      </c>
      <c r="B78" s="10">
        <v>46099</v>
      </c>
      <c r="C78" s="13">
        <v>1485</v>
      </c>
      <c r="D78" s="13">
        <v>1849</v>
      </c>
      <c r="E78" s="13">
        <v>0</v>
      </c>
      <c r="F78" s="13">
        <v>5005</v>
      </c>
      <c r="G78" s="13">
        <v>1884</v>
      </c>
      <c r="H78" s="13">
        <v>801</v>
      </c>
      <c r="I78" s="13">
        <v>1415</v>
      </c>
      <c r="J78" s="13">
        <v>0</v>
      </c>
      <c r="K78" s="13">
        <v>9177.5</v>
      </c>
      <c r="L78" s="13">
        <v>5894.6</v>
      </c>
      <c r="M78" s="13">
        <v>1340</v>
      </c>
      <c r="N78" s="13">
        <v>461.5</v>
      </c>
      <c r="O78" s="13">
        <v>698</v>
      </c>
      <c r="P78" s="27">
        <f t="shared" si="1"/>
        <v>30010.6</v>
      </c>
      <c r="Q78" s="27">
        <v>13386</v>
      </c>
      <c r="R78" s="27">
        <v>15824.7</v>
      </c>
      <c r="S78" s="28">
        <f t="shared" si="2"/>
        <v>799.89999999999782</v>
      </c>
      <c r="T78" s="14"/>
    </row>
    <row r="79" spans="1:20" ht="18.75" customHeight="1">
      <c r="A79" s="4" t="s">
        <v>21</v>
      </c>
      <c r="B79" s="10">
        <v>46100</v>
      </c>
      <c r="C79" s="13">
        <v>2222</v>
      </c>
      <c r="D79" s="13">
        <v>1121</v>
      </c>
      <c r="E79" s="13">
        <v>0</v>
      </c>
      <c r="F79" s="13">
        <v>3034</v>
      </c>
      <c r="G79" s="13">
        <v>2811</v>
      </c>
      <c r="H79" s="13">
        <v>863</v>
      </c>
      <c r="I79" s="13">
        <v>2058</v>
      </c>
      <c r="J79" s="13">
        <v>0</v>
      </c>
      <c r="K79" s="13">
        <v>11369</v>
      </c>
      <c r="L79" s="13">
        <v>8021.1</v>
      </c>
      <c r="M79" s="13">
        <v>1487</v>
      </c>
      <c r="N79" s="13">
        <v>0</v>
      </c>
      <c r="O79" s="13">
        <v>525</v>
      </c>
      <c r="P79" s="27">
        <f t="shared" si="1"/>
        <v>33511.1</v>
      </c>
      <c r="Q79" s="27">
        <v>9155</v>
      </c>
      <c r="R79" s="27">
        <v>20217</v>
      </c>
      <c r="S79" s="28">
        <f t="shared" si="2"/>
        <v>4139.0999999999985</v>
      </c>
      <c r="T79" s="14"/>
    </row>
    <row r="80" spans="1:20" ht="18.75" customHeight="1">
      <c r="A80" s="4" t="s">
        <v>22</v>
      </c>
      <c r="B80" s="10">
        <v>46101</v>
      </c>
      <c r="C80" s="13">
        <v>1974</v>
      </c>
      <c r="D80" s="13">
        <v>1735</v>
      </c>
      <c r="E80" s="13">
        <v>0</v>
      </c>
      <c r="F80" s="13">
        <v>2548</v>
      </c>
      <c r="G80" s="13">
        <v>1878</v>
      </c>
      <c r="H80" s="13">
        <v>950</v>
      </c>
      <c r="I80" s="13">
        <v>3938</v>
      </c>
      <c r="J80" s="13">
        <v>0</v>
      </c>
      <c r="K80" s="13">
        <v>9543.5</v>
      </c>
      <c r="L80" s="13">
        <v>15005.25</v>
      </c>
      <c r="M80" s="13">
        <v>1301</v>
      </c>
      <c r="N80" s="13">
        <v>0</v>
      </c>
      <c r="O80" s="13">
        <v>882</v>
      </c>
      <c r="P80" s="27">
        <f t="shared" ref="P80:P106" si="3">SUM(C80:O80)</f>
        <v>39754.75</v>
      </c>
      <c r="Q80" s="27">
        <v>14936</v>
      </c>
      <c r="R80" s="27">
        <v>13708</v>
      </c>
      <c r="S80" s="28">
        <f t="shared" ref="S80:S121" si="4">P80-Q80-R80</f>
        <v>11110.75</v>
      </c>
      <c r="T80" s="14"/>
    </row>
    <row r="81" spans="1:20" ht="18.75" customHeight="1">
      <c r="A81" s="4" t="s">
        <v>23</v>
      </c>
      <c r="B81" s="10">
        <v>46102</v>
      </c>
      <c r="C81" s="13">
        <v>1879</v>
      </c>
      <c r="D81" s="13">
        <v>1269</v>
      </c>
      <c r="E81" s="13">
        <v>0</v>
      </c>
      <c r="F81" s="13">
        <v>3176</v>
      </c>
      <c r="G81" s="13">
        <v>2827</v>
      </c>
      <c r="H81" s="13">
        <v>865</v>
      </c>
      <c r="I81" s="13">
        <v>2382</v>
      </c>
      <c r="J81" s="13">
        <v>0</v>
      </c>
      <c r="K81" s="13">
        <v>17910</v>
      </c>
      <c r="L81" s="13">
        <v>16767.05</v>
      </c>
      <c r="M81" s="13">
        <v>1383</v>
      </c>
      <c r="N81" s="13">
        <v>0</v>
      </c>
      <c r="O81" s="13">
        <v>915</v>
      </c>
      <c r="P81" s="27">
        <f t="shared" si="3"/>
        <v>49373.05</v>
      </c>
      <c r="Q81" s="27">
        <v>14029</v>
      </c>
      <c r="R81" s="27">
        <v>21385.85</v>
      </c>
      <c r="S81" s="28">
        <f t="shared" si="4"/>
        <v>13958.200000000004</v>
      </c>
      <c r="T81" s="14"/>
    </row>
    <row r="82" spans="1:20" ht="18.75" customHeight="1">
      <c r="A82" s="4" t="s">
        <v>17</v>
      </c>
      <c r="B82" s="10">
        <v>46103</v>
      </c>
      <c r="C82" s="13">
        <v>1611</v>
      </c>
      <c r="D82" s="13">
        <v>410</v>
      </c>
      <c r="E82" s="13">
        <v>0</v>
      </c>
      <c r="F82" s="13">
        <v>2208</v>
      </c>
      <c r="G82" s="13">
        <v>3007</v>
      </c>
      <c r="H82" s="13">
        <v>1104</v>
      </c>
      <c r="I82" s="13">
        <v>2419</v>
      </c>
      <c r="J82" s="13">
        <v>0</v>
      </c>
      <c r="K82" s="13">
        <v>22965</v>
      </c>
      <c r="L82" s="13">
        <v>21233.4</v>
      </c>
      <c r="M82" s="13">
        <v>1200.5</v>
      </c>
      <c r="N82" s="13">
        <v>850.25</v>
      </c>
      <c r="O82" s="13">
        <v>1068</v>
      </c>
      <c r="P82" s="27">
        <f t="shared" si="3"/>
        <v>58076.15</v>
      </c>
      <c r="Q82" s="27">
        <v>17920</v>
      </c>
      <c r="R82" s="27">
        <v>14956.5</v>
      </c>
      <c r="S82" s="28">
        <f t="shared" si="4"/>
        <v>25199.65</v>
      </c>
      <c r="T82" s="14"/>
    </row>
    <row r="83" spans="1:20" ht="18.75" customHeight="1">
      <c r="A83" s="4" t="s">
        <v>18</v>
      </c>
      <c r="B83" s="10">
        <v>46104</v>
      </c>
      <c r="C83" s="13">
        <v>1692</v>
      </c>
      <c r="D83" s="13">
        <v>1845</v>
      </c>
      <c r="E83" s="13">
        <v>0</v>
      </c>
      <c r="F83" s="13">
        <v>4440</v>
      </c>
      <c r="G83" s="13">
        <v>864</v>
      </c>
      <c r="H83" s="13">
        <v>1132</v>
      </c>
      <c r="I83" s="13">
        <v>2941</v>
      </c>
      <c r="J83" s="13">
        <v>0</v>
      </c>
      <c r="K83" s="13">
        <v>17822.5</v>
      </c>
      <c r="L83" s="13">
        <v>9398.5</v>
      </c>
      <c r="M83" s="13">
        <v>1310</v>
      </c>
      <c r="N83" s="13">
        <v>393.5</v>
      </c>
      <c r="O83" s="13">
        <v>540</v>
      </c>
      <c r="P83" s="27">
        <f t="shared" si="3"/>
        <v>42378.5</v>
      </c>
      <c r="Q83" s="27">
        <v>12320</v>
      </c>
      <c r="R83" s="27">
        <v>20941.5</v>
      </c>
      <c r="S83" s="28">
        <f t="shared" si="4"/>
        <v>9117</v>
      </c>
      <c r="T83" s="14"/>
    </row>
    <row r="84" spans="1:20" ht="18.75" customHeight="1">
      <c r="A84" s="4" t="s">
        <v>19</v>
      </c>
      <c r="B84" s="10">
        <v>46105</v>
      </c>
      <c r="C84" s="13">
        <v>2296</v>
      </c>
      <c r="D84" s="13">
        <v>1304</v>
      </c>
      <c r="E84" s="13">
        <v>0</v>
      </c>
      <c r="F84" s="13">
        <v>2950</v>
      </c>
      <c r="G84" s="13">
        <v>2077</v>
      </c>
      <c r="H84" s="13">
        <v>741</v>
      </c>
      <c r="I84" s="13">
        <v>1590</v>
      </c>
      <c r="J84" s="13">
        <v>0</v>
      </c>
      <c r="K84" s="13">
        <v>7953</v>
      </c>
      <c r="L84" s="13">
        <v>10899</v>
      </c>
      <c r="M84" s="13">
        <v>1121</v>
      </c>
      <c r="N84" s="13">
        <v>0</v>
      </c>
      <c r="O84" s="13">
        <v>366</v>
      </c>
      <c r="P84" s="27">
        <f t="shared" si="3"/>
        <v>31297</v>
      </c>
      <c r="Q84" s="27">
        <v>11193</v>
      </c>
      <c r="R84" s="27">
        <v>17173.599999999999</v>
      </c>
      <c r="S84" s="28">
        <f t="shared" si="4"/>
        <v>2930.4000000000015</v>
      </c>
      <c r="T84" s="14"/>
    </row>
    <row r="85" spans="1:20" ht="18.75" customHeight="1">
      <c r="A85" s="4" t="s">
        <v>20</v>
      </c>
      <c r="B85" s="10">
        <v>46106</v>
      </c>
      <c r="C85" s="13">
        <v>1439</v>
      </c>
      <c r="D85" s="13">
        <v>1917</v>
      </c>
      <c r="E85" s="13">
        <v>0</v>
      </c>
      <c r="F85" s="13">
        <v>2927</v>
      </c>
      <c r="G85" s="13">
        <v>2025</v>
      </c>
      <c r="H85" s="13">
        <v>708</v>
      </c>
      <c r="I85" s="13">
        <v>2857</v>
      </c>
      <c r="J85" s="13">
        <v>0</v>
      </c>
      <c r="K85" s="13">
        <v>10855</v>
      </c>
      <c r="L85" s="13">
        <v>10478.5</v>
      </c>
      <c r="M85" s="13">
        <v>1259</v>
      </c>
      <c r="N85" s="13">
        <v>235</v>
      </c>
      <c r="O85" s="13">
        <v>139</v>
      </c>
      <c r="P85" s="27">
        <f t="shared" si="3"/>
        <v>34839.5</v>
      </c>
      <c r="Q85" s="27">
        <v>8940</v>
      </c>
      <c r="R85" s="27">
        <v>12226.98</v>
      </c>
      <c r="S85" s="28">
        <f t="shared" si="4"/>
        <v>13672.52</v>
      </c>
      <c r="T85" s="14"/>
    </row>
    <row r="86" spans="1:20" ht="18.75" customHeight="1">
      <c r="A86" s="4" t="s">
        <v>21</v>
      </c>
      <c r="B86" s="10">
        <v>46107</v>
      </c>
      <c r="C86" s="13">
        <v>2096</v>
      </c>
      <c r="D86" s="13">
        <v>2449</v>
      </c>
      <c r="E86" s="13">
        <v>0</v>
      </c>
      <c r="F86" s="13">
        <v>6056</v>
      </c>
      <c r="G86" s="13">
        <v>1740</v>
      </c>
      <c r="H86" s="13">
        <v>1760</v>
      </c>
      <c r="I86" s="13">
        <v>3901</v>
      </c>
      <c r="J86" s="13">
        <v>0</v>
      </c>
      <c r="K86" s="13">
        <v>14399.5</v>
      </c>
      <c r="L86" s="13">
        <v>12683.6</v>
      </c>
      <c r="M86" s="13">
        <v>529.5</v>
      </c>
      <c r="N86" s="13">
        <v>135</v>
      </c>
      <c r="O86" s="13">
        <v>1248</v>
      </c>
      <c r="P86" s="27">
        <f t="shared" si="3"/>
        <v>46997.599999999999</v>
      </c>
      <c r="Q86" s="27">
        <v>14768</v>
      </c>
      <c r="R86" s="27">
        <v>33884.35</v>
      </c>
      <c r="S86" s="28">
        <f t="shared" si="4"/>
        <v>-1654.75</v>
      </c>
      <c r="T86" s="14"/>
    </row>
    <row r="87" spans="1:20" ht="18.75" customHeight="1">
      <c r="A87" s="4" t="s">
        <v>22</v>
      </c>
      <c r="B87" s="10">
        <v>46108</v>
      </c>
      <c r="C87" s="13">
        <v>2569</v>
      </c>
      <c r="D87" s="13">
        <v>1880</v>
      </c>
      <c r="E87" s="13">
        <v>0</v>
      </c>
      <c r="F87" s="13">
        <v>4281</v>
      </c>
      <c r="G87" s="13">
        <v>2608</v>
      </c>
      <c r="H87" s="13">
        <v>989</v>
      </c>
      <c r="I87" s="13">
        <v>2529</v>
      </c>
      <c r="J87" s="13">
        <v>0</v>
      </c>
      <c r="K87" s="13">
        <v>11087.5</v>
      </c>
      <c r="L87" s="13">
        <v>9521.2000000000007</v>
      </c>
      <c r="M87" s="13">
        <v>1284</v>
      </c>
      <c r="N87" s="13">
        <v>103.5</v>
      </c>
      <c r="O87" s="13">
        <v>253</v>
      </c>
      <c r="P87" s="27">
        <f t="shared" si="3"/>
        <v>37105.199999999997</v>
      </c>
      <c r="Q87" s="27">
        <v>11946</v>
      </c>
      <c r="R87" s="27">
        <v>26681.15</v>
      </c>
      <c r="S87" s="28">
        <f t="shared" si="4"/>
        <v>-1521.9500000000044</v>
      </c>
      <c r="T87" s="14"/>
    </row>
    <row r="88" spans="1:20" ht="18.75" customHeight="1">
      <c r="A88" s="4" t="s">
        <v>23</v>
      </c>
      <c r="B88" s="10">
        <v>46109</v>
      </c>
      <c r="C88" s="13">
        <v>2479</v>
      </c>
      <c r="D88" s="13">
        <v>2591</v>
      </c>
      <c r="E88" s="13">
        <v>0</v>
      </c>
      <c r="F88" s="13">
        <v>5029</v>
      </c>
      <c r="G88" s="13">
        <v>2822</v>
      </c>
      <c r="H88" s="13">
        <v>826</v>
      </c>
      <c r="I88" s="13">
        <v>2965</v>
      </c>
      <c r="J88" s="13">
        <v>0</v>
      </c>
      <c r="K88" s="13">
        <v>25826.5</v>
      </c>
      <c r="L88" s="13">
        <v>24573.75</v>
      </c>
      <c r="M88" s="13">
        <v>1355</v>
      </c>
      <c r="N88" s="13">
        <v>345</v>
      </c>
      <c r="O88" s="13">
        <v>2080</v>
      </c>
      <c r="P88" s="27">
        <f t="shared" si="3"/>
        <v>70892.25</v>
      </c>
      <c r="Q88" s="27">
        <v>15706</v>
      </c>
      <c r="R88" s="27">
        <v>39992.85</v>
      </c>
      <c r="S88" s="28">
        <f t="shared" si="4"/>
        <v>15193.400000000001</v>
      </c>
      <c r="T88" s="14"/>
    </row>
    <row r="89" spans="1:20" ht="18.75" customHeight="1">
      <c r="A89" s="4" t="s">
        <v>17</v>
      </c>
      <c r="B89" s="10">
        <v>46110</v>
      </c>
      <c r="C89" s="13">
        <v>2106</v>
      </c>
      <c r="D89" s="13">
        <v>1366</v>
      </c>
      <c r="E89" s="13">
        <v>0</v>
      </c>
      <c r="F89" s="13">
        <v>6259</v>
      </c>
      <c r="G89" s="13">
        <v>1793</v>
      </c>
      <c r="H89" s="13">
        <v>404</v>
      </c>
      <c r="I89" s="13">
        <v>2867</v>
      </c>
      <c r="J89" s="13">
        <v>0</v>
      </c>
      <c r="K89" s="13">
        <v>33370</v>
      </c>
      <c r="L89" s="13">
        <v>38093.699999999997</v>
      </c>
      <c r="M89" s="13">
        <v>1550</v>
      </c>
      <c r="N89" s="13">
        <v>683.25</v>
      </c>
      <c r="O89" s="13">
        <v>1306</v>
      </c>
      <c r="P89" s="27">
        <f t="shared" si="3"/>
        <v>89797.95</v>
      </c>
      <c r="Q89" s="27">
        <v>24228</v>
      </c>
      <c r="R89" s="27">
        <v>38309.5</v>
      </c>
      <c r="S89" s="28">
        <f t="shared" si="4"/>
        <v>27260.449999999997</v>
      </c>
      <c r="T89" s="14"/>
    </row>
    <row r="90" spans="1:20" ht="18.75" customHeight="1">
      <c r="A90" s="4" t="s">
        <v>18</v>
      </c>
      <c r="B90" s="10">
        <v>46111</v>
      </c>
      <c r="C90" s="13">
        <v>1694</v>
      </c>
      <c r="D90" s="13">
        <v>2202</v>
      </c>
      <c r="E90" s="13">
        <v>0</v>
      </c>
      <c r="F90" s="13">
        <v>4498</v>
      </c>
      <c r="G90" s="13">
        <v>1492</v>
      </c>
      <c r="H90" s="13">
        <v>1223</v>
      </c>
      <c r="I90" s="13">
        <v>2312</v>
      </c>
      <c r="J90" s="13">
        <v>0</v>
      </c>
      <c r="K90" s="13">
        <v>29660</v>
      </c>
      <c r="L90" s="13">
        <v>16299.1</v>
      </c>
      <c r="M90" s="13">
        <v>1127.5</v>
      </c>
      <c r="N90" s="13">
        <v>125</v>
      </c>
      <c r="O90" s="13">
        <v>555</v>
      </c>
      <c r="P90" s="27">
        <f t="shared" si="3"/>
        <v>61187.6</v>
      </c>
      <c r="Q90" s="27">
        <v>19497</v>
      </c>
      <c r="R90" s="27">
        <v>29420</v>
      </c>
      <c r="S90" s="28">
        <f t="shared" si="4"/>
        <v>12270.599999999999</v>
      </c>
      <c r="T90" s="14"/>
    </row>
    <row r="91" spans="1:20" ht="18.75" customHeight="1">
      <c r="A91" s="4" t="s">
        <v>19</v>
      </c>
      <c r="B91" s="10">
        <v>46112</v>
      </c>
      <c r="C91" s="13">
        <v>2085</v>
      </c>
      <c r="D91" s="13">
        <v>1344</v>
      </c>
      <c r="E91" s="13">
        <v>0</v>
      </c>
      <c r="F91" s="13">
        <v>6454</v>
      </c>
      <c r="G91" s="13">
        <v>2130</v>
      </c>
      <c r="H91" s="13">
        <v>1421</v>
      </c>
      <c r="I91" s="13">
        <v>3427</v>
      </c>
      <c r="J91" s="13">
        <v>0</v>
      </c>
      <c r="K91" s="13">
        <v>21092</v>
      </c>
      <c r="L91" s="13">
        <v>25470.15</v>
      </c>
      <c r="M91" s="13">
        <v>1417</v>
      </c>
      <c r="N91" s="13">
        <v>0</v>
      </c>
      <c r="O91" s="13">
        <v>684</v>
      </c>
      <c r="P91" s="27">
        <f t="shared" si="3"/>
        <v>65524.15</v>
      </c>
      <c r="Q91" s="27">
        <v>17737</v>
      </c>
      <c r="R91" s="27">
        <v>19344</v>
      </c>
      <c r="S91" s="28">
        <f t="shared" si="4"/>
        <v>28443.15</v>
      </c>
      <c r="T91" s="14"/>
    </row>
    <row r="92" spans="1:20" ht="18.75" customHeight="1">
      <c r="A92" s="4" t="s">
        <v>20</v>
      </c>
      <c r="B92" s="10">
        <v>46113</v>
      </c>
      <c r="C92" s="13">
        <v>1680</v>
      </c>
      <c r="D92" s="13">
        <v>1561</v>
      </c>
      <c r="E92" s="13">
        <v>0</v>
      </c>
      <c r="F92" s="13">
        <v>4821</v>
      </c>
      <c r="G92" s="13">
        <v>1924</v>
      </c>
      <c r="H92" s="13">
        <v>1196</v>
      </c>
      <c r="I92" s="13">
        <v>2466</v>
      </c>
      <c r="J92" s="13">
        <v>0</v>
      </c>
      <c r="K92" s="13">
        <v>30474</v>
      </c>
      <c r="L92" s="13">
        <v>27618.55</v>
      </c>
      <c r="M92" s="13">
        <v>769</v>
      </c>
      <c r="N92" s="13">
        <v>0</v>
      </c>
      <c r="O92" s="13">
        <v>806</v>
      </c>
      <c r="P92" s="27">
        <f t="shared" si="3"/>
        <v>73315.55</v>
      </c>
      <c r="Q92" s="27">
        <v>25674</v>
      </c>
      <c r="R92" s="27">
        <v>26318.5</v>
      </c>
      <c r="S92" s="28">
        <f t="shared" si="4"/>
        <v>21323.050000000003</v>
      </c>
      <c r="T92" s="14"/>
    </row>
    <row r="93" spans="1:20" ht="18.75" customHeight="1">
      <c r="A93" s="4" t="s">
        <v>21</v>
      </c>
      <c r="B93" s="10">
        <v>46114</v>
      </c>
      <c r="C93" s="13">
        <v>2881</v>
      </c>
      <c r="D93" s="13">
        <v>3940</v>
      </c>
      <c r="E93" s="13">
        <v>0</v>
      </c>
      <c r="F93" s="13">
        <v>7878</v>
      </c>
      <c r="G93" s="13">
        <v>3565</v>
      </c>
      <c r="H93" s="13">
        <v>814</v>
      </c>
      <c r="I93" s="13">
        <v>2578</v>
      </c>
      <c r="J93" s="13">
        <v>0</v>
      </c>
      <c r="K93" s="13">
        <v>38475</v>
      </c>
      <c r="L93" s="13">
        <v>24786.6</v>
      </c>
      <c r="M93" s="13">
        <v>1965</v>
      </c>
      <c r="N93" s="13">
        <v>0</v>
      </c>
      <c r="O93" s="13">
        <v>345</v>
      </c>
      <c r="P93" s="27">
        <f t="shared" si="3"/>
        <v>87227.6</v>
      </c>
      <c r="Q93" s="27">
        <v>18029</v>
      </c>
      <c r="R93" s="27">
        <v>48032</v>
      </c>
      <c r="S93" s="28">
        <f t="shared" si="4"/>
        <v>21166.600000000006</v>
      </c>
      <c r="T93" s="14"/>
    </row>
    <row r="94" spans="1:20" ht="18.75" customHeight="1">
      <c r="A94" s="4" t="s">
        <v>22</v>
      </c>
      <c r="B94" s="10">
        <v>46115</v>
      </c>
      <c r="C94" s="13">
        <v>2642</v>
      </c>
      <c r="D94" s="13">
        <v>3223</v>
      </c>
      <c r="E94" s="13">
        <v>0</v>
      </c>
      <c r="F94" s="13">
        <v>5184</v>
      </c>
      <c r="G94" s="13">
        <v>3241</v>
      </c>
      <c r="H94" s="13">
        <v>2527</v>
      </c>
      <c r="I94" s="13">
        <v>4044</v>
      </c>
      <c r="J94" s="13">
        <v>0</v>
      </c>
      <c r="K94" s="13">
        <v>54726</v>
      </c>
      <c r="L94" s="13">
        <v>33393.099999999991</v>
      </c>
      <c r="M94" s="13">
        <v>397</v>
      </c>
      <c r="N94" s="13">
        <v>270</v>
      </c>
      <c r="O94" s="13">
        <v>724</v>
      </c>
      <c r="P94" s="27">
        <f t="shared" si="3"/>
        <v>110371.09999999999</v>
      </c>
      <c r="Q94" s="27">
        <v>24278</v>
      </c>
      <c r="R94" s="27">
        <v>41713.5</v>
      </c>
      <c r="S94" s="28">
        <f t="shared" si="4"/>
        <v>44379.599999999991</v>
      </c>
      <c r="T94" s="14"/>
    </row>
    <row r="95" spans="1:20" ht="18.75" customHeight="1">
      <c r="A95" s="4" t="s">
        <v>23</v>
      </c>
      <c r="B95" s="10">
        <v>46116</v>
      </c>
      <c r="C95" s="13">
        <v>4647</v>
      </c>
      <c r="D95" s="13">
        <v>2732</v>
      </c>
      <c r="E95" s="13">
        <v>0</v>
      </c>
      <c r="F95" s="13">
        <v>11040</v>
      </c>
      <c r="G95" s="13">
        <v>3310</v>
      </c>
      <c r="H95" s="13">
        <v>2536</v>
      </c>
      <c r="I95" s="13">
        <v>3504</v>
      </c>
      <c r="J95" s="13">
        <v>0</v>
      </c>
      <c r="K95" s="13">
        <v>65499.5</v>
      </c>
      <c r="L95" s="13">
        <v>48734.400000000001</v>
      </c>
      <c r="M95" s="13">
        <v>1962</v>
      </c>
      <c r="N95" s="13">
        <v>0</v>
      </c>
      <c r="O95" s="13">
        <v>390</v>
      </c>
      <c r="P95" s="27">
        <f t="shared" si="3"/>
        <v>144354.9</v>
      </c>
      <c r="Q95" s="27">
        <v>24020</v>
      </c>
      <c r="R95" s="27">
        <v>49083.5</v>
      </c>
      <c r="S95" s="28">
        <f t="shared" si="4"/>
        <v>71251.399999999994</v>
      </c>
      <c r="T95" s="14"/>
    </row>
    <row r="96" spans="1:20" ht="18.75" customHeight="1">
      <c r="A96" s="4" t="s">
        <v>17</v>
      </c>
      <c r="B96" s="10">
        <v>46117</v>
      </c>
      <c r="C96" s="13">
        <v>2002</v>
      </c>
      <c r="D96" s="13">
        <v>2930</v>
      </c>
      <c r="E96" s="13">
        <v>0</v>
      </c>
      <c r="F96" s="13">
        <v>13100</v>
      </c>
      <c r="G96" s="13">
        <v>3113</v>
      </c>
      <c r="H96" s="13">
        <v>1867</v>
      </c>
      <c r="I96" s="13">
        <v>2286</v>
      </c>
      <c r="J96" s="13">
        <v>0</v>
      </c>
      <c r="K96" s="13">
        <v>49973</v>
      </c>
      <c r="L96" s="13">
        <v>40339.1</v>
      </c>
      <c r="M96" s="13">
        <v>1503</v>
      </c>
      <c r="N96" s="13">
        <v>0</v>
      </c>
      <c r="O96" s="13">
        <v>1171</v>
      </c>
      <c r="P96" s="27">
        <f t="shared" si="3"/>
        <v>118284.1</v>
      </c>
      <c r="Q96" s="27">
        <v>31500</v>
      </c>
      <c r="R96" s="27">
        <v>50385</v>
      </c>
      <c r="S96" s="28">
        <f t="shared" si="4"/>
        <v>36399.100000000006</v>
      </c>
      <c r="T96" s="14"/>
    </row>
    <row r="97" spans="1:20" ht="18.75" customHeight="1">
      <c r="A97" s="4" t="s">
        <v>18</v>
      </c>
      <c r="B97" s="10">
        <v>46118</v>
      </c>
      <c r="C97" s="13">
        <v>2747</v>
      </c>
      <c r="D97" s="13">
        <v>2669</v>
      </c>
      <c r="E97" s="13">
        <v>0</v>
      </c>
      <c r="F97" s="13">
        <v>8526</v>
      </c>
      <c r="G97" s="13">
        <v>1729</v>
      </c>
      <c r="H97" s="13">
        <v>1243</v>
      </c>
      <c r="I97" s="13">
        <v>2706</v>
      </c>
      <c r="J97" s="13">
        <v>0</v>
      </c>
      <c r="K97" s="13">
        <v>38013.5</v>
      </c>
      <c r="L97" s="13">
        <v>27673.5</v>
      </c>
      <c r="M97" s="13">
        <v>692</v>
      </c>
      <c r="N97" s="13">
        <v>293</v>
      </c>
      <c r="O97" s="13">
        <v>388</v>
      </c>
      <c r="P97" s="27">
        <f t="shared" si="3"/>
        <v>86680</v>
      </c>
      <c r="Q97" s="27">
        <v>16650</v>
      </c>
      <c r="R97" s="27">
        <v>51857</v>
      </c>
      <c r="S97" s="28">
        <f t="shared" si="4"/>
        <v>18173</v>
      </c>
      <c r="T97" s="14"/>
    </row>
    <row r="98" spans="1:20" ht="18.75" customHeight="1">
      <c r="A98" s="4" t="s">
        <v>19</v>
      </c>
      <c r="B98" s="10">
        <v>46119</v>
      </c>
      <c r="C98" s="13">
        <v>2375</v>
      </c>
      <c r="D98" s="13">
        <v>1461</v>
      </c>
      <c r="E98" s="13">
        <v>0</v>
      </c>
      <c r="F98" s="13">
        <v>5733</v>
      </c>
      <c r="G98" s="13">
        <v>852</v>
      </c>
      <c r="H98" s="13">
        <v>604</v>
      </c>
      <c r="I98" s="13">
        <v>2511</v>
      </c>
      <c r="J98" s="13">
        <v>0</v>
      </c>
      <c r="K98" s="13">
        <v>27431</v>
      </c>
      <c r="L98" s="13">
        <v>23150.6</v>
      </c>
      <c r="M98" s="13">
        <v>742</v>
      </c>
      <c r="N98" s="13">
        <v>313</v>
      </c>
      <c r="O98" s="13">
        <v>754</v>
      </c>
      <c r="P98" s="27">
        <f t="shared" si="3"/>
        <v>65926.600000000006</v>
      </c>
      <c r="Q98" s="27">
        <v>16417</v>
      </c>
      <c r="R98" s="27">
        <v>22516.59</v>
      </c>
      <c r="S98" s="28">
        <f t="shared" si="4"/>
        <v>26993.010000000006</v>
      </c>
      <c r="T98" s="14"/>
    </row>
    <row r="99" spans="1:20" ht="18.75" customHeight="1">
      <c r="A99" s="4" t="s">
        <v>20</v>
      </c>
      <c r="B99" s="10">
        <v>46120</v>
      </c>
      <c r="C99" s="13">
        <v>1397</v>
      </c>
      <c r="D99" s="13">
        <v>2331</v>
      </c>
      <c r="E99" s="13">
        <v>0</v>
      </c>
      <c r="F99" s="13">
        <v>7788</v>
      </c>
      <c r="G99" s="13">
        <v>1131</v>
      </c>
      <c r="H99" s="13">
        <v>593</v>
      </c>
      <c r="I99" s="13">
        <v>1177</v>
      </c>
      <c r="J99" s="13">
        <v>0</v>
      </c>
      <c r="K99" s="13">
        <v>29064</v>
      </c>
      <c r="L99" s="13">
        <v>28720.3</v>
      </c>
      <c r="M99" s="13">
        <v>2954</v>
      </c>
      <c r="N99" s="13">
        <v>415</v>
      </c>
      <c r="O99" s="13">
        <v>85</v>
      </c>
      <c r="P99" s="27">
        <f t="shared" si="3"/>
        <v>75655.3</v>
      </c>
      <c r="Q99" s="27">
        <v>16195</v>
      </c>
      <c r="R99" s="27">
        <v>27677.17</v>
      </c>
      <c r="S99" s="28">
        <f t="shared" si="4"/>
        <v>31783.130000000005</v>
      </c>
      <c r="T99" s="14"/>
    </row>
    <row r="100" spans="1:20" ht="18.75" customHeight="1">
      <c r="A100" s="4" t="s">
        <v>21</v>
      </c>
      <c r="B100" s="10">
        <v>46121</v>
      </c>
      <c r="C100" s="13">
        <v>2478</v>
      </c>
      <c r="D100" s="13">
        <v>1723</v>
      </c>
      <c r="E100" s="13">
        <v>0</v>
      </c>
      <c r="F100" s="13">
        <v>5125</v>
      </c>
      <c r="G100" s="13">
        <v>2583</v>
      </c>
      <c r="H100" s="13">
        <v>1334</v>
      </c>
      <c r="I100" s="13">
        <v>2361</v>
      </c>
      <c r="J100" s="13">
        <v>0</v>
      </c>
      <c r="K100" s="13">
        <v>31558</v>
      </c>
      <c r="L100" s="13">
        <v>26605.5</v>
      </c>
      <c r="M100" s="13">
        <v>1070</v>
      </c>
      <c r="N100" s="13">
        <v>0</v>
      </c>
      <c r="O100" s="13">
        <v>180</v>
      </c>
      <c r="P100" s="27">
        <f t="shared" si="3"/>
        <v>75017.5</v>
      </c>
      <c r="Q100" s="27">
        <v>20680</v>
      </c>
      <c r="R100" s="27">
        <v>23032.5</v>
      </c>
      <c r="S100" s="28">
        <f t="shared" si="4"/>
        <v>31305</v>
      </c>
      <c r="T100" s="14"/>
    </row>
    <row r="101" spans="1:20" ht="18.75" customHeight="1">
      <c r="A101" s="4" t="s">
        <v>22</v>
      </c>
      <c r="B101" s="10">
        <v>46122</v>
      </c>
      <c r="C101" s="13">
        <v>1834</v>
      </c>
      <c r="D101" s="13">
        <v>2135</v>
      </c>
      <c r="E101" s="13">
        <v>0</v>
      </c>
      <c r="F101" s="13">
        <v>5567</v>
      </c>
      <c r="G101" s="13">
        <v>1849</v>
      </c>
      <c r="H101" s="13">
        <v>1115</v>
      </c>
      <c r="I101" s="13">
        <v>2943</v>
      </c>
      <c r="J101" s="13">
        <v>0</v>
      </c>
      <c r="K101" s="13">
        <v>27418</v>
      </c>
      <c r="L101" s="13">
        <v>28716.5</v>
      </c>
      <c r="M101" s="13">
        <v>1110</v>
      </c>
      <c r="N101" s="13">
        <v>135</v>
      </c>
      <c r="O101" s="13">
        <v>0</v>
      </c>
      <c r="P101" s="27">
        <f t="shared" si="3"/>
        <v>72822.5</v>
      </c>
      <c r="Q101" s="27">
        <v>15632</v>
      </c>
      <c r="R101" s="27">
        <v>28544</v>
      </c>
      <c r="S101" s="28">
        <f t="shared" si="4"/>
        <v>28646.5</v>
      </c>
      <c r="T101" s="14"/>
    </row>
    <row r="102" spans="1:20" ht="18.75" customHeight="1">
      <c r="A102" s="4" t="s">
        <v>23</v>
      </c>
      <c r="B102" s="10">
        <v>46123</v>
      </c>
      <c r="C102" s="13">
        <v>2560</v>
      </c>
      <c r="D102" s="13">
        <v>3326</v>
      </c>
      <c r="E102" s="13">
        <v>0</v>
      </c>
      <c r="F102" s="13">
        <v>4266</v>
      </c>
      <c r="G102" s="13">
        <v>2196</v>
      </c>
      <c r="H102" s="13">
        <v>1429</v>
      </c>
      <c r="I102" s="13">
        <v>2772</v>
      </c>
      <c r="J102" s="13">
        <v>0</v>
      </c>
      <c r="K102" s="13">
        <v>38138</v>
      </c>
      <c r="L102" s="13">
        <v>36799.5</v>
      </c>
      <c r="M102" s="13">
        <v>1544</v>
      </c>
      <c r="N102" s="13">
        <v>538</v>
      </c>
      <c r="O102" s="13">
        <v>833</v>
      </c>
      <c r="P102" s="27">
        <f t="shared" si="3"/>
        <v>94401.5</v>
      </c>
      <c r="Q102" s="27">
        <v>22724</v>
      </c>
      <c r="R102" s="27">
        <v>31583.5</v>
      </c>
      <c r="S102" s="28">
        <f t="shared" si="4"/>
        <v>40094</v>
      </c>
      <c r="T102" s="14"/>
    </row>
    <row r="103" spans="1:20" ht="18.75" customHeight="1">
      <c r="A103" s="4" t="s">
        <v>17</v>
      </c>
      <c r="B103" s="10">
        <v>46124</v>
      </c>
      <c r="C103" s="13">
        <v>1278</v>
      </c>
      <c r="D103" s="13">
        <v>1714</v>
      </c>
      <c r="E103" s="13">
        <v>0</v>
      </c>
      <c r="F103" s="13">
        <v>6842</v>
      </c>
      <c r="G103" s="13">
        <v>2708</v>
      </c>
      <c r="H103" s="13">
        <v>716</v>
      </c>
      <c r="I103" s="13">
        <v>2771</v>
      </c>
      <c r="J103" s="13">
        <v>0</v>
      </c>
      <c r="K103" s="13">
        <v>26691.5</v>
      </c>
      <c r="L103" s="13">
        <v>32717.300000000003</v>
      </c>
      <c r="M103" s="13">
        <v>985</v>
      </c>
      <c r="N103" s="13">
        <v>414</v>
      </c>
      <c r="O103" s="13">
        <v>1617</v>
      </c>
      <c r="P103" s="27">
        <f t="shared" si="3"/>
        <v>78453.8</v>
      </c>
      <c r="Q103" s="27">
        <v>24540</v>
      </c>
      <c r="R103" s="27">
        <v>21603.5</v>
      </c>
      <c r="S103" s="28">
        <f t="shared" si="4"/>
        <v>32310.300000000003</v>
      </c>
      <c r="T103" s="14"/>
    </row>
    <row r="104" spans="1:20" ht="18.75" customHeight="1">
      <c r="A104" s="4" t="s">
        <v>18</v>
      </c>
      <c r="B104" s="10">
        <v>46125</v>
      </c>
      <c r="C104" s="13">
        <v>1816</v>
      </c>
      <c r="D104" s="13">
        <v>2531</v>
      </c>
      <c r="E104" s="13">
        <v>0</v>
      </c>
      <c r="F104" s="13">
        <v>4426</v>
      </c>
      <c r="G104" s="13">
        <v>1481</v>
      </c>
      <c r="H104" s="13">
        <v>1291</v>
      </c>
      <c r="I104" s="13">
        <v>1644</v>
      </c>
      <c r="J104" s="13">
        <v>0</v>
      </c>
      <c r="K104" s="13">
        <v>13334</v>
      </c>
      <c r="L104" s="13">
        <v>10093.4</v>
      </c>
      <c r="M104" s="13">
        <v>1397</v>
      </c>
      <c r="N104" s="13">
        <v>535.5</v>
      </c>
      <c r="O104" s="13">
        <v>706</v>
      </c>
      <c r="P104" s="27">
        <f t="shared" si="3"/>
        <v>39254.9</v>
      </c>
      <c r="Q104" s="27">
        <v>14065</v>
      </c>
      <c r="R104" s="27">
        <v>17672.5</v>
      </c>
      <c r="S104" s="28">
        <f t="shared" si="4"/>
        <v>7517.4000000000015</v>
      </c>
      <c r="T104" s="14"/>
    </row>
    <row r="105" spans="1:20" ht="18.75" customHeight="1">
      <c r="A105" s="4" t="s">
        <v>19</v>
      </c>
      <c r="B105" s="10">
        <v>46126</v>
      </c>
      <c r="C105" s="13">
        <v>2243</v>
      </c>
      <c r="D105" s="13">
        <v>1957</v>
      </c>
      <c r="E105" s="13">
        <v>0</v>
      </c>
      <c r="F105" s="13">
        <v>3876</v>
      </c>
      <c r="G105" s="13">
        <v>1908</v>
      </c>
      <c r="H105" s="13">
        <v>549</v>
      </c>
      <c r="I105" s="13">
        <v>1716</v>
      </c>
      <c r="J105" s="13">
        <v>0</v>
      </c>
      <c r="K105" s="13">
        <v>8771.5</v>
      </c>
      <c r="L105" s="13">
        <v>10762.8</v>
      </c>
      <c r="M105" s="13">
        <v>2007</v>
      </c>
      <c r="N105" s="13">
        <v>134.75</v>
      </c>
      <c r="O105" s="13">
        <v>200</v>
      </c>
      <c r="P105" s="27">
        <f t="shared" si="3"/>
        <v>34125.050000000003</v>
      </c>
      <c r="Q105" s="27">
        <v>15385</v>
      </c>
      <c r="R105" s="27">
        <v>16131</v>
      </c>
      <c r="S105" s="28">
        <f t="shared" si="4"/>
        <v>2609.0500000000029</v>
      </c>
      <c r="T105" s="14"/>
    </row>
    <row r="106" spans="1:20" ht="18.75" customHeight="1">
      <c r="A106" s="4" t="s">
        <v>20</v>
      </c>
      <c r="B106" s="10">
        <v>46127</v>
      </c>
      <c r="C106" s="13">
        <v>2138</v>
      </c>
      <c r="D106" s="13">
        <v>1645</v>
      </c>
      <c r="E106" s="13">
        <v>0</v>
      </c>
      <c r="F106" s="13">
        <v>3916</v>
      </c>
      <c r="G106" s="13">
        <v>1274</v>
      </c>
      <c r="H106" s="13">
        <v>412</v>
      </c>
      <c r="I106" s="13">
        <v>1639</v>
      </c>
      <c r="J106" s="13">
        <v>0</v>
      </c>
      <c r="K106" s="13">
        <v>12353</v>
      </c>
      <c r="L106" s="13">
        <v>8408.7999999999993</v>
      </c>
      <c r="M106" s="13">
        <v>1685</v>
      </c>
      <c r="N106" s="13">
        <v>112.5</v>
      </c>
      <c r="O106" s="13">
        <v>130</v>
      </c>
      <c r="P106" s="27">
        <f t="shared" si="3"/>
        <v>33713.300000000003</v>
      </c>
      <c r="Q106" s="27">
        <v>10415</v>
      </c>
      <c r="R106" s="27">
        <v>19610</v>
      </c>
      <c r="S106" s="28">
        <f t="shared" si="4"/>
        <v>3688.3000000000029</v>
      </c>
      <c r="T106" s="14"/>
    </row>
    <row r="107" spans="1:20" ht="18.75" customHeight="1">
      <c r="A107" s="4" t="s">
        <v>21</v>
      </c>
      <c r="B107" s="10">
        <v>46128</v>
      </c>
      <c r="C107" s="13">
        <f>'[1]16abril'!$T$6</f>
        <v>1751</v>
      </c>
      <c r="D107" s="13">
        <f>'[1]16abril'!$W$6</f>
        <v>1368</v>
      </c>
      <c r="E107" s="13">
        <v>0</v>
      </c>
      <c r="F107" s="13">
        <f>'[1]16abril'!$Z$6</f>
        <v>3134</v>
      </c>
      <c r="G107" s="13">
        <f>'[1]16abril'!$AC$6</f>
        <v>1643</v>
      </c>
      <c r="H107" s="13">
        <f>'[1]16abril'!$AF$6</f>
        <v>846</v>
      </c>
      <c r="I107" s="13">
        <f>'[1]16abril'!$AI$6</f>
        <v>2384</v>
      </c>
      <c r="J107" s="13">
        <f>'[1]16abril'!$AL$6</f>
        <v>0</v>
      </c>
      <c r="K107" s="13">
        <f>'[1]16abril'!$AP$6</f>
        <v>10965.5</v>
      </c>
      <c r="L107" s="13">
        <f>SUM('[1]16abril'!$K$2:$K$3000)</f>
        <v>9517.6</v>
      </c>
      <c r="M107" s="13">
        <f>SUM('[1]16abril'!$J$2:$J$3000)</f>
        <v>1605</v>
      </c>
      <c r="N107" s="13">
        <f>'[1]16abril'!$BD$6</f>
        <v>84</v>
      </c>
      <c r="O107" s="13">
        <f>'[1]16abril'!$BE$6</f>
        <v>258</v>
      </c>
      <c r="P107" s="27">
        <f>SUM(C107:O107)</f>
        <v>33556.1</v>
      </c>
      <c r="Q107" s="27">
        <f>SUM('[1]16abril'!$AW$6+'[1]16abril'!$AX$6)</f>
        <v>15690</v>
      </c>
      <c r="R107" s="27">
        <f>SUM('[1]16abril'!$AU$6+'[1]16abril'!$AV$6)</f>
        <v>13633.5</v>
      </c>
      <c r="S107" s="28">
        <f t="shared" si="4"/>
        <v>4232.5999999999985</v>
      </c>
      <c r="T107" s="14"/>
    </row>
    <row r="108" spans="1:20" ht="18.75" customHeight="1">
      <c r="A108" s="4" t="s">
        <v>22</v>
      </c>
      <c r="B108" s="10">
        <v>46129</v>
      </c>
      <c r="C108" s="13">
        <f>'[1]17abril'!$T$6</f>
        <v>1223</v>
      </c>
      <c r="D108" s="13">
        <f>'[1]17abril'!$W$6</f>
        <v>1165</v>
      </c>
      <c r="E108" s="13">
        <v>0</v>
      </c>
      <c r="F108" s="13">
        <f>'[1]17abril'!$Z$6</f>
        <v>2517</v>
      </c>
      <c r="G108" s="13">
        <f>'[1]17abril'!$AC$6</f>
        <v>2260</v>
      </c>
      <c r="H108" s="13">
        <f>'[1]17abril'!$AF$6</f>
        <v>1477</v>
      </c>
      <c r="I108" s="13">
        <f>'[1]17abril'!$AI$6</f>
        <v>3474</v>
      </c>
      <c r="J108" s="13">
        <v>0</v>
      </c>
      <c r="K108" s="13">
        <f>'[1]17abril'!$AP$6</f>
        <v>7670.5</v>
      </c>
      <c r="L108" s="13">
        <f>SUM('[1]17abril'!$K$2:$K$3000)</f>
        <v>11605.8</v>
      </c>
      <c r="M108" s="13">
        <f>SUM('[1]17abril'!$J$2:$J$3000)</f>
        <v>942</v>
      </c>
      <c r="N108" s="13">
        <f>'[1]17abril'!$BD$6</f>
        <v>0</v>
      </c>
      <c r="O108" s="13">
        <f>'[1]17abril'!$BE$6</f>
        <v>229</v>
      </c>
      <c r="P108" s="27">
        <f>SUM(C108:O108)</f>
        <v>32563.3</v>
      </c>
      <c r="Q108" s="27">
        <f>SUM('[1]17abril'!$AW$6+'[1]17abril'!$AX$6)</f>
        <v>10937</v>
      </c>
      <c r="R108" s="27">
        <f>'[1]17abril'!$AU$6+'[1]17abril'!$AV$6</f>
        <v>12536</v>
      </c>
      <c r="S108" s="28">
        <f t="shared" si="4"/>
        <v>9090.2999999999993</v>
      </c>
      <c r="T108" s="14"/>
    </row>
    <row r="109" spans="1:20" ht="18.75" customHeight="1">
      <c r="A109" s="4" t="s">
        <v>23</v>
      </c>
      <c r="B109" s="10">
        <v>46130</v>
      </c>
      <c r="C109" s="13">
        <f>'[1]18abril'!$T$6</f>
        <v>1491</v>
      </c>
      <c r="D109" s="13">
        <f>'[1]18abril'!$W$6</f>
        <v>2077</v>
      </c>
      <c r="E109" s="13">
        <v>0</v>
      </c>
      <c r="F109" s="13">
        <f>'[1]18abril'!$Z$6</f>
        <v>4400</v>
      </c>
      <c r="G109" s="13">
        <f>'[1]18abril'!$AC$6</f>
        <v>1574</v>
      </c>
      <c r="H109" s="13">
        <f>'[1]18abril'!$AF$6</f>
        <v>868</v>
      </c>
      <c r="I109" s="13">
        <f>'[1]18abril'!$AI$6</f>
        <v>2444</v>
      </c>
      <c r="J109" s="13">
        <v>0</v>
      </c>
      <c r="K109" s="13">
        <f>'[1]18abril'!$AP$6</f>
        <v>20340</v>
      </c>
      <c r="L109" s="13">
        <f>SUM('[1]18abril'!$K$2:$K$3000)</f>
        <v>21324.600000000002</v>
      </c>
      <c r="M109" s="13">
        <f>SUM('[1]18abril'!$J$2:$J$3000)</f>
        <v>1684</v>
      </c>
      <c r="N109" s="13">
        <f>'[1]18abril'!$BD$6</f>
        <v>306.75</v>
      </c>
      <c r="O109" s="13">
        <f>'[1]18abril'!$BE$6</f>
        <v>370</v>
      </c>
      <c r="P109" s="27">
        <f>SUM(C109:O109)</f>
        <v>56879.350000000006</v>
      </c>
      <c r="Q109" s="27">
        <f>SUM('[1]18abril'!$AW$6+'[1]18abril'!$AX$6)</f>
        <v>20475</v>
      </c>
      <c r="R109" s="27">
        <f>'[1]18abril'!$AU$6+'[1]18abril'!$AV$6</f>
        <v>24199</v>
      </c>
      <c r="S109" s="28">
        <f t="shared" si="4"/>
        <v>12205.350000000006</v>
      </c>
      <c r="T109" s="14"/>
    </row>
    <row r="110" spans="1:20" ht="18.75">
      <c r="A110" s="4" t="s">
        <v>17</v>
      </c>
      <c r="B110" s="10">
        <v>46131</v>
      </c>
      <c r="C110" s="13">
        <f>'[1]19abril'!$T$6</f>
        <v>1851</v>
      </c>
      <c r="D110" s="13">
        <f>'[1]19abril'!$W$6</f>
        <v>1086</v>
      </c>
      <c r="E110" s="13">
        <v>0</v>
      </c>
      <c r="F110" s="13">
        <f>'[1]19abril'!$Z$6</f>
        <v>4109</v>
      </c>
      <c r="G110" s="13">
        <f>'[1]19abril'!$AC$6</f>
        <v>1980</v>
      </c>
      <c r="H110" s="13">
        <f>'[1]19abril'!$AF$6</f>
        <v>603</v>
      </c>
      <c r="I110" s="13">
        <f>'[1]19abril'!$AI$6</f>
        <v>1220</v>
      </c>
      <c r="J110" s="13">
        <v>0</v>
      </c>
      <c r="K110" s="13">
        <f>'[1]19abril'!$AP$6</f>
        <v>30029.5</v>
      </c>
      <c r="L110" s="13">
        <f>SUM('[1]19abril'!$K$2:$K$3000)</f>
        <v>15854.55</v>
      </c>
      <c r="M110" s="13">
        <f>SUM('[1]19abril'!$J$2:$J$3000)</f>
        <v>2029.5</v>
      </c>
      <c r="N110" s="13">
        <f>'[1]19abril'!$BD$6</f>
        <v>426.25</v>
      </c>
      <c r="O110" s="13">
        <f>'[1]19abril'!$BE$6</f>
        <v>1290.0999999999999</v>
      </c>
      <c r="P110" s="27">
        <f t="shared" ref="P110:P121" si="5">SUM(C110:O110)</f>
        <v>60478.9</v>
      </c>
      <c r="Q110" s="27">
        <f>SUM('[1]19abril'!$AW$6+'[1]19abril'!$AX$6)</f>
        <v>21901</v>
      </c>
      <c r="R110" s="27">
        <f>'[1]19abril'!$AU$6+'[1]19abril'!$AV$6</f>
        <v>21085.5</v>
      </c>
      <c r="S110" s="28">
        <f t="shared" si="4"/>
        <v>17492.400000000001</v>
      </c>
    </row>
    <row r="111" spans="1:20" ht="18.75">
      <c r="A111" s="4" t="s">
        <v>18</v>
      </c>
      <c r="B111" s="10">
        <v>46132</v>
      </c>
      <c r="C111" s="13">
        <f>'[1]20abril'!$T$6</f>
        <v>2279</v>
      </c>
      <c r="D111" s="13">
        <f>'[1]20abril'!$W$6</f>
        <v>1574</v>
      </c>
      <c r="E111" s="13">
        <v>0</v>
      </c>
      <c r="F111" s="13">
        <f>'[1]20abril'!$Z$6</f>
        <v>4221</v>
      </c>
      <c r="G111" s="13">
        <f>'[1]20abril'!$AC$6</f>
        <v>1678</v>
      </c>
      <c r="H111" s="13">
        <f>'[1]20abril'!$AF$6</f>
        <v>622</v>
      </c>
      <c r="I111" s="13">
        <f>'[1]20abril'!$AI$6</f>
        <v>2198</v>
      </c>
      <c r="J111" s="13">
        <v>0</v>
      </c>
      <c r="K111" s="13">
        <f>'[1]20abril'!$AP$6</f>
        <v>16411</v>
      </c>
      <c r="L111" s="13">
        <f>SUM('[1]20abril'!$K$2:$K$3000)</f>
        <v>9369.9000000000015</v>
      </c>
      <c r="M111" s="13">
        <f>SUM('[1]20abril'!$J$2:$J$3000)</f>
        <v>897</v>
      </c>
      <c r="N111" s="13">
        <f>'[1]20abril'!$BD$6</f>
        <v>839</v>
      </c>
      <c r="O111" s="13">
        <f>'[1]20abril'!$BE$6</f>
        <v>795</v>
      </c>
      <c r="P111" s="27">
        <f t="shared" si="5"/>
        <v>40883.9</v>
      </c>
      <c r="Q111" s="27">
        <f>SUM('[1]20abril'!$AW$6+'[1]20abril'!$AX$6)</f>
        <v>12015</v>
      </c>
      <c r="R111" s="27">
        <f>'[1]20abril'!$AU$6+'[1]20abril'!$AV$6</f>
        <v>21714</v>
      </c>
      <c r="S111" s="28">
        <f t="shared" si="4"/>
        <v>7154.9000000000015</v>
      </c>
    </row>
    <row r="112" spans="1:20" ht="18.75">
      <c r="A112" s="4" t="s">
        <v>19</v>
      </c>
      <c r="B112" s="10">
        <v>46133</v>
      </c>
      <c r="C112" s="13">
        <f>'[1]21abril'!$T$6</f>
        <v>1184</v>
      </c>
      <c r="D112" s="13">
        <f>'[1]21abril'!$W$6</f>
        <v>1152</v>
      </c>
      <c r="E112" s="13">
        <v>0</v>
      </c>
      <c r="F112" s="13">
        <f>'[1]21abril'!$Z$6</f>
        <v>4164</v>
      </c>
      <c r="G112" s="13">
        <f>'[1]21abril'!$AC$6</f>
        <v>2447</v>
      </c>
      <c r="H112" s="13">
        <f>'[1]21abril'!$AF$6</f>
        <v>374</v>
      </c>
      <c r="I112" s="13">
        <f>'[1]21abril'!$AI$6</f>
        <v>1237</v>
      </c>
      <c r="J112" s="13">
        <v>0</v>
      </c>
      <c r="K112" s="13">
        <f>'[1]21abril'!$AP$6</f>
        <v>9851.5</v>
      </c>
      <c r="L112" s="13">
        <f>SUM('[1]21abril'!$K$2:$K$3000)</f>
        <v>11760.5</v>
      </c>
      <c r="M112" s="13">
        <f>SUM('[1]21abril'!$J$2:$J$3000)</f>
        <v>2600</v>
      </c>
      <c r="N112" s="13">
        <f>'[1]21abril'!$BD$6</f>
        <v>0</v>
      </c>
      <c r="O112" s="13">
        <f>'[1]21abril'!$BE$6</f>
        <v>115</v>
      </c>
      <c r="P112" s="27">
        <f t="shared" si="5"/>
        <v>34885</v>
      </c>
      <c r="Q112" s="27">
        <f>SUM('[1]21abril'!$AW$6+'[1]21abril'!$AX$6)</f>
        <v>13045</v>
      </c>
      <c r="R112" s="27">
        <f>'[1]21abril'!$AU$6+'[1]21abril'!$AV$6</f>
        <v>17922</v>
      </c>
      <c r="S112" s="28">
        <f t="shared" si="4"/>
        <v>3918</v>
      </c>
    </row>
    <row r="113" spans="1:19" ht="18.75">
      <c r="A113" s="4" t="s">
        <v>20</v>
      </c>
      <c r="B113" s="10">
        <v>46134</v>
      </c>
      <c r="C113" s="13">
        <f>'[1]22abril'!$T$6</f>
        <v>1386</v>
      </c>
      <c r="D113" s="13">
        <f>'[1]22abril'!$W$6</f>
        <v>1817</v>
      </c>
      <c r="E113" s="13">
        <v>0</v>
      </c>
      <c r="F113" s="13">
        <f>'[1]22abril'!$Z$6</f>
        <v>3696</v>
      </c>
      <c r="G113" s="13">
        <f>'[1]22abril'!$AC$6</f>
        <v>2647</v>
      </c>
      <c r="H113" s="13">
        <f>'[1]22abril'!$AF$6</f>
        <v>1105</v>
      </c>
      <c r="I113" s="13">
        <f>'[1]22abril'!$AI$6</f>
        <v>3034</v>
      </c>
      <c r="J113" s="13">
        <v>0</v>
      </c>
      <c r="K113" s="13">
        <f>'[1]22abril'!$AP$6</f>
        <v>7897</v>
      </c>
      <c r="L113" s="13">
        <f>SUM('[1]22abril'!$K$2:$K$3000)</f>
        <v>11284.1</v>
      </c>
      <c r="M113" s="13">
        <f>SUM('[1]22abril'!$J$2:$J$3000)</f>
        <v>1075</v>
      </c>
      <c r="N113" s="13">
        <f>'[1]22abril'!$BD$6</f>
        <v>0</v>
      </c>
      <c r="O113" s="13">
        <f>'[1]22abril'!$BE$6</f>
        <v>288.5</v>
      </c>
      <c r="P113" s="27">
        <f t="shared" si="5"/>
        <v>34229.599999999999</v>
      </c>
      <c r="Q113" s="27">
        <f>SUM('[1]22abril'!$AW$6+'[1]22abril'!$AX$6)</f>
        <v>14573</v>
      </c>
      <c r="R113" s="27">
        <f>'[1]22abril'!$AU$6+'[1]22abril'!$AV$6</f>
        <v>9339.5</v>
      </c>
      <c r="S113" s="28">
        <f t="shared" si="4"/>
        <v>10317.099999999999</v>
      </c>
    </row>
    <row r="114" spans="1:19" ht="18.75">
      <c r="A114" s="4" t="s">
        <v>21</v>
      </c>
      <c r="B114" s="10">
        <v>46135</v>
      </c>
      <c r="C114" s="13">
        <f>'[1]23abril'!$T$6</f>
        <v>1883</v>
      </c>
      <c r="D114" s="13">
        <f>'[1]23abril'!$W$6</f>
        <v>1438</v>
      </c>
      <c r="E114" s="13">
        <v>0</v>
      </c>
      <c r="F114" s="13">
        <f>'[1]23abril'!$Z$6</f>
        <v>3356</v>
      </c>
      <c r="G114" s="13">
        <f>'[1]23abril'!$AC$6</f>
        <v>2439</v>
      </c>
      <c r="H114" s="13">
        <f>'[1]23abril'!$AF$6</f>
        <v>750</v>
      </c>
      <c r="I114" s="13">
        <f>'[1]23abril'!$AI$6</f>
        <v>1741</v>
      </c>
      <c r="J114" s="13">
        <v>0</v>
      </c>
      <c r="K114" s="13">
        <f>'[1]23abril'!$AP$6</f>
        <v>13607.5</v>
      </c>
      <c r="L114" s="13">
        <f>SUM('[1]23abril'!$K$2:$K$3000)</f>
        <v>11765.7</v>
      </c>
      <c r="M114" s="13">
        <f>SUM('[1]23abril'!$J$2:$J$3000)</f>
        <v>734.5</v>
      </c>
      <c r="N114" s="13">
        <f>'[1]23abril'!$BD$6</f>
        <v>425</v>
      </c>
      <c r="O114" s="13">
        <f>'[1]23abril'!$BE$6</f>
        <v>1258</v>
      </c>
      <c r="P114" s="27">
        <f t="shared" si="5"/>
        <v>39397.699999999997</v>
      </c>
      <c r="Q114" s="27">
        <f>SUM('[1]23abril'!$AW$6+'[1]23abril'!$AX$6)</f>
        <v>10727</v>
      </c>
      <c r="R114" s="27">
        <f>'[1]23abril'!$AU$6+'[1]23abril'!$AV$6</f>
        <v>24473</v>
      </c>
      <c r="S114" s="28">
        <f t="shared" si="4"/>
        <v>4197.6999999999971</v>
      </c>
    </row>
    <row r="115" spans="1:19" ht="18.75">
      <c r="A115" s="4" t="s">
        <v>22</v>
      </c>
      <c r="B115" s="10">
        <v>46136</v>
      </c>
      <c r="C115" s="13">
        <f>'[1]24abril'!$T$6</f>
        <v>2090</v>
      </c>
      <c r="D115" s="13">
        <f>'[1]24abril'!$W$6</f>
        <v>2178</v>
      </c>
      <c r="E115" s="13">
        <v>0</v>
      </c>
      <c r="F115" s="13">
        <f>'[1]24abril'!$Z$6</f>
        <v>4830</v>
      </c>
      <c r="G115" s="13">
        <f>'[1]24abril'!$AC$6</f>
        <v>2466</v>
      </c>
      <c r="H115" s="13">
        <f>'[1]24abril'!$AF$6</f>
        <v>998</v>
      </c>
      <c r="I115" s="13">
        <f>'[1]24abril'!$AI$6</f>
        <v>3866</v>
      </c>
      <c r="J115" s="13">
        <v>0</v>
      </c>
      <c r="K115" s="13">
        <f>'[1]24abril'!$AP$6</f>
        <v>16003</v>
      </c>
      <c r="L115" s="13">
        <f>SUM('[1]24abril'!$K$2:$K$3000)</f>
        <v>8973.5</v>
      </c>
      <c r="M115" s="13">
        <f>SUM('[1]24abril'!$J$2:$J$3000)</f>
        <v>717</v>
      </c>
      <c r="N115" s="13">
        <f>'[1]24abril'!$BD$6</f>
        <v>201.75</v>
      </c>
      <c r="O115" s="13">
        <f>'[1]24abril'!$BE$6</f>
        <v>600</v>
      </c>
      <c r="P115" s="27">
        <f t="shared" si="5"/>
        <v>42923.25</v>
      </c>
      <c r="Q115" s="27">
        <f>SUM('[1]24abril'!$AW$6+'[1]24abril'!$AX$6)</f>
        <v>11760</v>
      </c>
      <c r="R115" s="27">
        <f>'[1]24abril'!$AU$6+'[1]24abril'!$AV$6</f>
        <v>22995</v>
      </c>
      <c r="S115" s="28">
        <f t="shared" si="4"/>
        <v>8168.25</v>
      </c>
    </row>
    <row r="116" spans="1:19" ht="18.75">
      <c r="A116" s="4" t="s">
        <v>23</v>
      </c>
      <c r="B116" s="10">
        <v>46137</v>
      </c>
      <c r="C116" s="13">
        <f>'[1]25abril'!$T$6</f>
        <v>2432</v>
      </c>
      <c r="D116" s="13">
        <f>'[1]25abril'!$W$6</f>
        <v>1129</v>
      </c>
      <c r="E116" s="13">
        <v>0</v>
      </c>
      <c r="F116" s="13">
        <f>'[1]25abril'!$Z$6</f>
        <v>3473</v>
      </c>
      <c r="G116" s="13">
        <f>'[1]25abril'!$AC$6</f>
        <v>2236</v>
      </c>
      <c r="H116" s="13">
        <f>'[1]25abril'!$AF$6</f>
        <v>524</v>
      </c>
      <c r="I116" s="13">
        <f>'[1]25abril'!$AI$6</f>
        <v>1682</v>
      </c>
      <c r="J116" s="13">
        <v>0</v>
      </c>
      <c r="K116" s="13">
        <f>'[1]25abril'!$AP$6</f>
        <v>14637.5</v>
      </c>
      <c r="L116" s="13">
        <f>SUM('[1]25abril'!$K$2:$K$3000)</f>
        <v>23562.799999999999</v>
      </c>
      <c r="M116" s="13">
        <f>SUM('[1]25abril'!$J$2:$J$3000)</f>
        <v>800</v>
      </c>
      <c r="N116" s="13">
        <f>'[1]25abril'!$BD$6</f>
        <v>580</v>
      </c>
      <c r="O116" s="13">
        <f>'[1]25abril'!$BE$6</f>
        <v>1149</v>
      </c>
      <c r="P116" s="27">
        <f>SUM(C116:O116)</f>
        <v>52205.3</v>
      </c>
      <c r="Q116" s="27">
        <f>SUM('[1]25abril'!$AW$6+'[1]25abril'!$AX$6)</f>
        <v>19090</v>
      </c>
      <c r="R116" s="27">
        <f>'[1]25abril'!$AU$6+'[1]25abril'!$AV$6</f>
        <v>30586</v>
      </c>
      <c r="S116" s="28">
        <f t="shared" si="4"/>
        <v>2529.3000000000029</v>
      </c>
    </row>
    <row r="117" spans="1:19" ht="18.75">
      <c r="A117" s="4" t="s">
        <v>17</v>
      </c>
      <c r="B117" s="10">
        <v>46138</v>
      </c>
      <c r="C117" s="13">
        <f>'[1]26abril'!$T$6</f>
        <v>2910</v>
      </c>
      <c r="D117" s="13">
        <f>'[1]26abril'!$W$6</f>
        <v>1153</v>
      </c>
      <c r="E117" s="13">
        <v>0</v>
      </c>
      <c r="F117" s="13">
        <f>'[1]26abril'!$Z$6</f>
        <v>3597</v>
      </c>
      <c r="G117" s="13">
        <f>'[1]26abril'!$AC$6</f>
        <v>1708</v>
      </c>
      <c r="H117" s="13">
        <f>'[1]26abril'!$AF$6</f>
        <v>1584</v>
      </c>
      <c r="I117" s="13">
        <f>'[1]26abril'!$AI$6</f>
        <v>800</v>
      </c>
      <c r="J117" s="13">
        <v>0</v>
      </c>
      <c r="K117" s="13">
        <f>'[1]26abril'!$AP$6</f>
        <v>24396</v>
      </c>
      <c r="L117" s="13">
        <f>SUM('[1]26abril'!$K$2:$K$3000)</f>
        <v>14333.099999999999</v>
      </c>
      <c r="M117" s="13">
        <f>SUM('[1]26abril'!$J$2:$J$3000)</f>
        <v>1684</v>
      </c>
      <c r="N117" s="13">
        <f>'[1]26abril'!$BD$6</f>
        <v>0</v>
      </c>
      <c r="O117" s="13">
        <f>'[1]26abril'!$BE$6</f>
        <v>1756</v>
      </c>
      <c r="P117" s="27">
        <f t="shared" si="5"/>
        <v>53921.1</v>
      </c>
      <c r="Q117" s="27">
        <f>SUM('[1]26abril'!$AW$6+'[1]26abril'!$AX$6)</f>
        <v>20441</v>
      </c>
      <c r="R117" s="27">
        <f>'[1]26abril'!$AU$6+'[1]26abril'!$AV$6</f>
        <v>15273.5</v>
      </c>
      <c r="S117" s="28">
        <f t="shared" si="4"/>
        <v>18206.599999999999</v>
      </c>
    </row>
    <row r="118" spans="1:19" ht="18.75">
      <c r="A118" s="4" t="s">
        <v>18</v>
      </c>
      <c r="B118" s="10">
        <v>46139</v>
      </c>
      <c r="C118" s="13">
        <f>'[1]27abril'!$T$6</f>
        <v>3145</v>
      </c>
      <c r="D118" s="13">
        <f>'[1]27abril'!$W$6</f>
        <v>1714</v>
      </c>
      <c r="E118" s="13">
        <v>0</v>
      </c>
      <c r="F118" s="13">
        <f>'[1]27abril'!$Z$6</f>
        <v>4545</v>
      </c>
      <c r="G118" s="13">
        <f>'[1]27abril'!$AC$6</f>
        <v>1150</v>
      </c>
      <c r="H118" s="13">
        <f>'[1]27abril'!$AF$6</f>
        <v>966</v>
      </c>
      <c r="I118" s="13">
        <f>'[1]27abril'!$AI$6</f>
        <v>1678</v>
      </c>
      <c r="J118" s="13">
        <v>0</v>
      </c>
      <c r="K118" s="13">
        <f>'[1]27abril'!$AP$6</f>
        <v>15464</v>
      </c>
      <c r="L118" s="13">
        <f>SUM('[1]27abril'!$K$2:$K$3000)</f>
        <v>11644.7</v>
      </c>
      <c r="M118" s="13">
        <f>SUM('[1]27abril'!$J$2:$J$3000)</f>
        <v>1840</v>
      </c>
      <c r="N118" s="13">
        <f>'[1]27abril'!$BD$6</f>
        <v>279</v>
      </c>
      <c r="O118" s="13">
        <f>'[1]27abril'!$BE$6</f>
        <v>654</v>
      </c>
      <c r="P118" s="27">
        <f t="shared" si="5"/>
        <v>43079.7</v>
      </c>
      <c r="Q118" s="27">
        <f>SUM('[1]27abril'!$AW$6+'[1]27abril'!$AX$6)</f>
        <v>12459</v>
      </c>
      <c r="R118" s="27">
        <f>'[1]27abril'!$AU$6+'[1]27abril'!$AV$6</f>
        <v>23602</v>
      </c>
      <c r="S118" s="28">
        <f t="shared" si="4"/>
        <v>7018.6999999999971</v>
      </c>
    </row>
    <row r="119" spans="1:19" ht="18.75">
      <c r="A119" s="4" t="s">
        <v>19</v>
      </c>
      <c r="B119" s="10">
        <v>46140</v>
      </c>
      <c r="C119" s="13">
        <f>'[1]28abril'!$T$6</f>
        <v>1267</v>
      </c>
      <c r="D119" s="13">
        <f>'[1]28abril'!$W$6</f>
        <v>958</v>
      </c>
      <c r="E119" s="13">
        <v>0</v>
      </c>
      <c r="F119" s="13">
        <f>'[1]28abril'!$Z$6</f>
        <v>3991</v>
      </c>
      <c r="G119" s="13">
        <f>'[1]28abril'!$AC$6</f>
        <v>2197</v>
      </c>
      <c r="H119" s="13">
        <f>'[1]28abril'!$AF$6</f>
        <v>696</v>
      </c>
      <c r="I119" s="13">
        <f>'[1]28abril'!$AI$6</f>
        <v>3373</v>
      </c>
      <c r="J119" s="13">
        <v>0</v>
      </c>
      <c r="K119" s="13">
        <f>'[1]28abril'!$AP$6</f>
        <v>10114.5</v>
      </c>
      <c r="L119" s="13">
        <f>SUM('[1]28abril'!$K$2:$K$3000)</f>
        <v>8490</v>
      </c>
      <c r="M119" s="13">
        <f>SUM('[1]28abril'!$J$2:$J$3000)</f>
        <v>2058</v>
      </c>
      <c r="N119" s="13">
        <f>'[1]28abril'!$BD$6</f>
        <v>0</v>
      </c>
      <c r="O119" s="13">
        <f>'[1]28abril'!$BE$6</f>
        <v>441</v>
      </c>
      <c r="P119" s="27">
        <f t="shared" si="5"/>
        <v>33585.5</v>
      </c>
      <c r="Q119" s="27">
        <f>SUM('[1]28abril'!$AW$6+'[1]28abril'!$AX$6)</f>
        <v>11050</v>
      </c>
      <c r="R119" s="27">
        <f>'[1]28abril'!$AU$6+'[1]28abril'!$AV$6</f>
        <v>19047.5</v>
      </c>
      <c r="S119" s="28">
        <f t="shared" si="4"/>
        <v>3488</v>
      </c>
    </row>
    <row r="120" spans="1:19" ht="18.75">
      <c r="A120" s="4" t="s">
        <v>20</v>
      </c>
      <c r="B120" s="10">
        <v>46141</v>
      </c>
      <c r="C120" s="13">
        <f>'[1]29abril'!$T$6</f>
        <v>1855</v>
      </c>
      <c r="D120" s="13">
        <f>'[1]29abril'!$W$6</f>
        <v>2219</v>
      </c>
      <c r="E120" s="13">
        <v>0</v>
      </c>
      <c r="F120" s="13">
        <f>'[1]29abril'!$Z$6</f>
        <v>4913</v>
      </c>
      <c r="G120" s="13">
        <f>'[1]29abril'!$AC$6</f>
        <v>2299</v>
      </c>
      <c r="H120" s="13">
        <f>'[1]29abril'!$AF$6</f>
        <v>1059</v>
      </c>
      <c r="I120" s="13">
        <f>'[1]29abril'!$AI$6</f>
        <v>1544</v>
      </c>
      <c r="J120" s="13">
        <v>0</v>
      </c>
      <c r="K120" s="13">
        <f>'[1]29abril'!$AP$6</f>
        <v>11530.5</v>
      </c>
      <c r="L120" s="13">
        <f>SUM('[1]29abril'!$K$2:$K$3000)</f>
        <v>6557</v>
      </c>
      <c r="M120" s="13">
        <f>SUM('[1]29abril'!$J$2:$J$3000)</f>
        <v>975</v>
      </c>
      <c r="N120" s="13">
        <f>'[1]29abril'!$BD$6</f>
        <v>490</v>
      </c>
      <c r="O120" s="13">
        <f>'[1]29abril'!$BE$6</f>
        <v>184</v>
      </c>
      <c r="P120" s="27">
        <f t="shared" si="5"/>
        <v>33625.5</v>
      </c>
      <c r="Q120" s="27">
        <f>SUM('[1]29abril'!$AW$6+'[1]29abril'!$AX$6)</f>
        <v>15860</v>
      </c>
      <c r="R120" s="27">
        <f>'[1]29abril'!$AU$6+'[1]29abril'!$AV$6</f>
        <v>14989.35</v>
      </c>
      <c r="S120" s="28">
        <f t="shared" si="4"/>
        <v>2776.1499999999996</v>
      </c>
    </row>
    <row r="121" spans="1:19" ht="18.75">
      <c r="A121" s="4" t="s">
        <v>21</v>
      </c>
      <c r="B121" s="10">
        <v>46142</v>
      </c>
      <c r="C121" s="13">
        <f>'[1]30abril'!$T$6</f>
        <v>1812</v>
      </c>
      <c r="D121" s="13">
        <f>'[1]30abril'!$W$6</f>
        <v>2108</v>
      </c>
      <c r="E121" s="13">
        <v>0</v>
      </c>
      <c r="F121" s="13">
        <f>'[1]30abril'!$Z$6</f>
        <v>4102</v>
      </c>
      <c r="G121" s="13">
        <f>'[1]30abril'!$AC$6</f>
        <v>1784</v>
      </c>
      <c r="H121" s="13">
        <f>'[1]30abril'!$AF$6</f>
        <v>731</v>
      </c>
      <c r="I121" s="13">
        <f>'[1]30abril'!$AI$6</f>
        <v>3435</v>
      </c>
      <c r="J121" s="13">
        <v>0</v>
      </c>
      <c r="K121" s="13">
        <f>'[1]30abril'!$AP$6</f>
        <v>15410</v>
      </c>
      <c r="L121" s="13">
        <f>SUM('[1]30abril'!$K$2:$K$3000)</f>
        <v>14976.300000000001</v>
      </c>
      <c r="M121" s="13">
        <f>SUM('[1]30abril'!$J$2:$J$3000)</f>
        <v>1068</v>
      </c>
      <c r="N121" s="13">
        <f>'[1]30abril'!$BD$6</f>
        <v>418</v>
      </c>
      <c r="O121" s="13">
        <f>'[1]30abril'!$BE$6</f>
        <v>948</v>
      </c>
      <c r="P121" s="27">
        <f t="shared" si="5"/>
        <v>46792.3</v>
      </c>
      <c r="Q121" s="27">
        <f>SUM('[1]30abril'!$AW$6+'[1]30abril'!$AX$6)</f>
        <v>11651</v>
      </c>
      <c r="R121" s="27">
        <f>'[1]30abril'!$AU$6+'[1]30abril'!$AV$6</f>
        <v>28110.5</v>
      </c>
      <c r="S121" s="28">
        <f t="shared" si="4"/>
        <v>7030.8000000000029</v>
      </c>
    </row>
    <row r="122" spans="1:19" ht="18.75">
      <c r="A122" s="4" t="s">
        <v>20</v>
      </c>
      <c r="B122" s="10">
        <v>46143</v>
      </c>
      <c r="C122" s="13">
        <f>'[1]01mayo'!$T$6</f>
        <v>2243</v>
      </c>
      <c r="D122" s="13">
        <f>'[1]01mayo'!$W$6</f>
        <v>1320</v>
      </c>
      <c r="E122" s="13">
        <v>0</v>
      </c>
      <c r="F122" s="13">
        <f>'[1]01mayo'!$Z$6</f>
        <v>5550</v>
      </c>
      <c r="G122" s="13">
        <f>'[1]01mayo'!$AC$6</f>
        <v>2180</v>
      </c>
      <c r="H122" s="13">
        <f>'[1]01mayo'!$AF$6</f>
        <v>661</v>
      </c>
      <c r="I122" s="13">
        <f>'[1]01mayo'!$AI$6</f>
        <v>3009</v>
      </c>
      <c r="J122" s="13">
        <v>0</v>
      </c>
      <c r="K122" s="13">
        <f>'[1]01mayo'!$AP$6</f>
        <v>43499.5</v>
      </c>
      <c r="L122" s="13">
        <f>SUM('[1]01mayo'!$K$2:$K$3000)</f>
        <v>26301.499999999996</v>
      </c>
      <c r="M122" s="13">
        <f>SUM('[1]01mayo'!$J$2:$J$3000)</f>
        <v>1907</v>
      </c>
      <c r="N122" s="13">
        <f>'[1]01mayo'!$BD$6</f>
        <v>409.5</v>
      </c>
      <c r="O122" s="13">
        <f>'[1]01mayo'!$BE$6</f>
        <v>1768</v>
      </c>
      <c r="P122" s="27">
        <f t="shared" ref="P122:P130" si="6">SUM(C122:O122)</f>
        <v>88848.5</v>
      </c>
      <c r="Q122" s="27">
        <f>SUM('[1]01mayo'!$AW$6+'[1]01mayo'!$AX$6)</f>
        <v>23505</v>
      </c>
      <c r="R122" s="27">
        <f>'[1]01mayo'!$AU$6+'[1]01mayo'!$AV$6</f>
        <v>23348.5</v>
      </c>
      <c r="S122" s="28">
        <f t="shared" ref="S122:S130" si="7">P122-Q122-R122</f>
        <v>41995</v>
      </c>
    </row>
    <row r="123" spans="1:19" ht="18.75">
      <c r="A123" s="4" t="s">
        <v>21</v>
      </c>
      <c r="B123" s="10">
        <v>46144</v>
      </c>
      <c r="C123" s="13">
        <f>'[1]02mayo'!$T$6</f>
        <v>0</v>
      </c>
      <c r="D123" s="13">
        <f>'[1]02mayo'!$W$6</f>
        <v>0</v>
      </c>
      <c r="E123" s="13">
        <v>0</v>
      </c>
      <c r="F123" s="13">
        <f>'[1]02mayo'!$Z$6</f>
        <v>0</v>
      </c>
      <c r="G123" s="13">
        <f>'[1]02mayo'!$AC$6</f>
        <v>0</v>
      </c>
      <c r="H123" s="13">
        <f>'[1]02mayo'!$AF$6</f>
        <v>0</v>
      </c>
      <c r="I123" s="13">
        <f>'[1]02mayo'!$AI$6</f>
        <v>0</v>
      </c>
      <c r="J123" s="13">
        <v>0</v>
      </c>
      <c r="K123" s="13">
        <f>'[1]02mayo'!$AP$6</f>
        <v>0</v>
      </c>
      <c r="L123" s="13">
        <f>SUM('[1]02mayo'!$K$2:$K$3000)</f>
        <v>0</v>
      </c>
      <c r="M123" s="13">
        <f>SUM('[1]02mayo'!$J$2:$J$3000)</f>
        <v>0</v>
      </c>
      <c r="N123" s="13">
        <f>'[1]02mayo'!$BD$6</f>
        <v>0</v>
      </c>
      <c r="O123" s="13">
        <f>'[1]02mayo'!$BE$6</f>
        <v>0</v>
      </c>
      <c r="P123" s="27">
        <f t="shared" si="6"/>
        <v>0</v>
      </c>
      <c r="Q123" s="27">
        <f>SUM('[1]02mayo'!$AW$6+'[1]02mayo'!$AX$6)</f>
        <v>0</v>
      </c>
      <c r="R123" s="27">
        <f>'[1]02mayo'!$AU$6+'[1]02mayo'!$AV$6</f>
        <v>0</v>
      </c>
      <c r="S123" s="28">
        <f t="shared" si="7"/>
        <v>0</v>
      </c>
    </row>
    <row r="124" spans="1:19" ht="18.75">
      <c r="A124" s="4" t="s">
        <v>20</v>
      </c>
      <c r="B124" s="10">
        <v>46145</v>
      </c>
      <c r="C124" s="13">
        <f>'[1]03mayo'!$T$6</f>
        <v>0</v>
      </c>
      <c r="D124" s="13">
        <f>'[1]03mayo'!$W$6</f>
        <v>0</v>
      </c>
      <c r="E124" s="13">
        <v>0</v>
      </c>
      <c r="F124" s="13">
        <f>'[1]03mayo'!$Z$6</f>
        <v>0</v>
      </c>
      <c r="G124" s="13">
        <f>'[1]03mayo'!$AC$6</f>
        <v>0</v>
      </c>
      <c r="H124" s="13">
        <f>'[1]03mayo'!$AF$6</f>
        <v>0</v>
      </c>
      <c r="I124" s="13">
        <f>'[1]03mayo'!$AI$6</f>
        <v>0</v>
      </c>
      <c r="J124" s="13">
        <v>0</v>
      </c>
      <c r="K124" s="13">
        <f>'[1]03mayo'!$AP$6</f>
        <v>0</v>
      </c>
      <c r="L124" s="13">
        <f>SUM('[1]03mayo'!$K$2:$K$3000)</f>
        <v>0</v>
      </c>
      <c r="M124" s="13">
        <f>SUM('[1]03mayo'!$J$2:$J$3000)</f>
        <v>0</v>
      </c>
      <c r="N124" s="13">
        <f>'[1]03mayo'!$BD$6</f>
        <v>0</v>
      </c>
      <c r="O124" s="13">
        <f>'[1]03mayo'!$BE$6</f>
        <v>0</v>
      </c>
      <c r="P124" s="27">
        <f t="shared" si="6"/>
        <v>0</v>
      </c>
      <c r="Q124" s="27">
        <f>SUM('[1]03mayo'!$AW$6+'[1]03mayo'!$AX$6)</f>
        <v>0</v>
      </c>
      <c r="R124" s="27">
        <f>'[1]03mayo'!$AU$6+'[1]03mayo'!$AV$6</f>
        <v>0</v>
      </c>
      <c r="S124" s="28">
        <f t="shared" si="7"/>
        <v>0</v>
      </c>
    </row>
    <row r="125" spans="1:19" ht="18.75">
      <c r="A125" s="4" t="s">
        <v>21</v>
      </c>
      <c r="B125" s="10">
        <v>46146</v>
      </c>
      <c r="C125" s="13">
        <f>'[1]04mayo'!$T$6</f>
        <v>0</v>
      </c>
      <c r="D125" s="13">
        <f>'[1]04mayo'!$W$6</f>
        <v>0</v>
      </c>
      <c r="E125" s="13">
        <v>0</v>
      </c>
      <c r="F125" s="13">
        <f>'[1]04mayo'!$Z$6</f>
        <v>0</v>
      </c>
      <c r="G125" s="13">
        <f>'[1]04mayo'!$AC$6</f>
        <v>0</v>
      </c>
      <c r="H125" s="13">
        <f>'[1]04mayo'!$AF$6</f>
        <v>0</v>
      </c>
      <c r="I125" s="13">
        <f>'[1]04mayo'!$AI$6</f>
        <v>0</v>
      </c>
      <c r="J125" s="13">
        <v>0</v>
      </c>
      <c r="K125" s="13">
        <f>'[1]04mayo'!$AP$6</f>
        <v>0</v>
      </c>
      <c r="L125" s="13">
        <f>SUM('[1]04mayo'!$K$2:$K$3000)</f>
        <v>0</v>
      </c>
      <c r="M125" s="13">
        <f>SUM('[1]04mayo'!$J$2:$J$3000)</f>
        <v>0</v>
      </c>
      <c r="N125" s="13">
        <f>'[1]04mayo'!$BD$6</f>
        <v>0</v>
      </c>
      <c r="O125" s="13">
        <f>'[1]04mayo'!$BE$6</f>
        <v>0</v>
      </c>
      <c r="P125" s="27">
        <f t="shared" si="6"/>
        <v>0</v>
      </c>
      <c r="Q125" s="27">
        <f>SUM('[1]04mayo'!$AW$6+'[1]04mayo'!$AX$6)</f>
        <v>0</v>
      </c>
      <c r="R125" s="27">
        <f>'[1]04mayo'!$AU$6+'[1]04mayo'!$AV$6</f>
        <v>0</v>
      </c>
      <c r="S125" s="28">
        <f t="shared" si="7"/>
        <v>0</v>
      </c>
    </row>
    <row r="126" spans="1:19" ht="18.75">
      <c r="A126" s="4" t="s">
        <v>20</v>
      </c>
      <c r="B126" s="10">
        <v>46147</v>
      </c>
      <c r="C126" s="13">
        <f>'[1]05mayo'!$T$6</f>
        <v>0</v>
      </c>
      <c r="D126" s="13">
        <f>'[1]05mayo'!$W$6</f>
        <v>0</v>
      </c>
      <c r="E126" s="13">
        <v>0</v>
      </c>
      <c r="F126" s="13">
        <f>'[1]05mayo'!$Z$6</f>
        <v>0</v>
      </c>
      <c r="G126" s="13">
        <f>'[1]05mayo'!$AC$6</f>
        <v>0</v>
      </c>
      <c r="H126" s="13">
        <f>'[1]05mayo'!$AF$6</f>
        <v>0</v>
      </c>
      <c r="I126" s="13">
        <f>'[1]05mayo'!$AI$6</f>
        <v>0</v>
      </c>
      <c r="J126" s="13">
        <v>0</v>
      </c>
      <c r="K126" s="13">
        <f>'[1]05mayo'!$AP$6</f>
        <v>0</v>
      </c>
      <c r="L126" s="13">
        <f>SUM('[1]05mayo'!$K$2:$K$3000)</f>
        <v>0</v>
      </c>
      <c r="M126" s="13">
        <f>SUM('[1]05mayo'!$J$2:$J$3000)</f>
        <v>0</v>
      </c>
      <c r="N126" s="13">
        <f>'[1]05mayo'!$BD$6</f>
        <v>0</v>
      </c>
      <c r="O126" s="13">
        <f>'[1]05mayo'!$BE$6</f>
        <v>0</v>
      </c>
      <c r="P126" s="27">
        <f t="shared" si="6"/>
        <v>0</v>
      </c>
      <c r="Q126" s="27">
        <f>SUM('[1]05mayo'!$AW$6+'[1]05mayo'!$AX$6)</f>
        <v>0</v>
      </c>
      <c r="R126" s="27">
        <f>'[1]05mayo'!$AU$6+'[1]05mayo'!$AV$6</f>
        <v>0</v>
      </c>
      <c r="S126" s="28">
        <f t="shared" si="7"/>
        <v>0</v>
      </c>
    </row>
    <row r="127" spans="1:19" ht="18.75">
      <c r="A127" s="4" t="s">
        <v>21</v>
      </c>
      <c r="B127" s="10">
        <v>46148</v>
      </c>
      <c r="C127" s="13">
        <f>'[1]06mayo'!$T$6</f>
        <v>0</v>
      </c>
      <c r="D127" s="13">
        <f>'[1]06mayo'!$W$6</f>
        <v>0</v>
      </c>
      <c r="E127" s="13">
        <v>0</v>
      </c>
      <c r="F127" s="13">
        <f>'[1]06mayo'!$Z$6</f>
        <v>0</v>
      </c>
      <c r="G127" s="13">
        <f>'[1]06mayo'!$AC$6</f>
        <v>0</v>
      </c>
      <c r="H127" s="13">
        <f>'[1]06mayo'!$AF$6</f>
        <v>0</v>
      </c>
      <c r="I127" s="13">
        <f>'[1]06mayo'!$AI$6</f>
        <v>0</v>
      </c>
      <c r="J127" s="13">
        <v>0</v>
      </c>
      <c r="K127" s="13">
        <f>'[1]06mayo'!$AP$6</f>
        <v>0</v>
      </c>
      <c r="L127" s="13">
        <f>SUM('[1]06mayo'!$K$2:$K$3000)</f>
        <v>0</v>
      </c>
      <c r="M127" s="13">
        <f>SUM('[1]06mayo'!$J$2:$J$3000)</f>
        <v>0</v>
      </c>
      <c r="N127" s="13">
        <f>'[1]06mayo'!$BD$6</f>
        <v>0</v>
      </c>
      <c r="O127" s="13">
        <f>'[1]06mayo'!$BE$6</f>
        <v>0</v>
      </c>
      <c r="P127" s="27">
        <f t="shared" si="6"/>
        <v>0</v>
      </c>
      <c r="Q127" s="27">
        <f>SUM('[1]06mayo'!$AW$6+'[1]06mayo'!$AX$6)</f>
        <v>0</v>
      </c>
      <c r="R127" s="27">
        <f>'[1]06mayo'!$AU$6+'[1]06mayo'!$AV$6</f>
        <v>0</v>
      </c>
      <c r="S127" s="28">
        <f t="shared" si="7"/>
        <v>0</v>
      </c>
    </row>
    <row r="128" spans="1:19" ht="18.75">
      <c r="A128" s="4" t="s">
        <v>20</v>
      </c>
      <c r="B128" s="10">
        <v>46149</v>
      </c>
      <c r="C128" s="13">
        <f>'[1]07mayo'!$T$6</f>
        <v>0</v>
      </c>
      <c r="D128" s="13">
        <f>'[1]07mayo'!$W$6</f>
        <v>0</v>
      </c>
      <c r="E128" s="13">
        <v>0</v>
      </c>
      <c r="F128" s="13">
        <f>'[1]07mayo'!$Z$6</f>
        <v>0</v>
      </c>
      <c r="G128" s="13">
        <f>'[1]07mayo'!$AC$6</f>
        <v>0</v>
      </c>
      <c r="H128" s="13">
        <f>'[1]07mayo'!$AF$6</f>
        <v>0</v>
      </c>
      <c r="I128" s="13">
        <f>'[1]07mayo'!$AI$6</f>
        <v>0</v>
      </c>
      <c r="J128" s="13">
        <v>0</v>
      </c>
      <c r="K128" s="13">
        <f>'[1]07mayo'!$AP$6</f>
        <v>0</v>
      </c>
      <c r="L128" s="13">
        <f>SUM('[1]07mayo'!$K$2:$K$3000)</f>
        <v>0</v>
      </c>
      <c r="M128" s="13">
        <f>SUM('[1]07mayo'!$J$2:$J$3000)</f>
        <v>0</v>
      </c>
      <c r="N128" s="13">
        <f>'[1]07mayo'!$BD$6</f>
        <v>0</v>
      </c>
      <c r="O128" s="13">
        <f>'[1]07mayo'!$BE$6</f>
        <v>0</v>
      </c>
      <c r="P128" s="27">
        <f t="shared" si="6"/>
        <v>0</v>
      </c>
      <c r="Q128" s="27">
        <f>SUM('[1]07mayo'!$AW$6+'[1]07mayo'!$AX$6)</f>
        <v>0</v>
      </c>
      <c r="R128" s="27">
        <f>'[1]07mayo'!$AU$6+'[1]07mayo'!$AV$6</f>
        <v>0</v>
      </c>
      <c r="S128" s="28">
        <f t="shared" si="7"/>
        <v>0</v>
      </c>
    </row>
    <row r="129" spans="1:19" ht="18.75">
      <c r="A129" s="4" t="s">
        <v>21</v>
      </c>
      <c r="B129" s="10">
        <v>46150</v>
      </c>
      <c r="C129" s="13">
        <f>'[1]08mayo'!$T$6</f>
        <v>0</v>
      </c>
      <c r="D129" s="13">
        <f>'[1]08mayo'!$W$6</f>
        <v>0</v>
      </c>
      <c r="E129" s="13">
        <v>0</v>
      </c>
      <c r="F129" s="13">
        <f>'[1]08mayo'!$Z$6</f>
        <v>0</v>
      </c>
      <c r="G129" s="13">
        <f>'[1]08mayo'!$AC$6</f>
        <v>0</v>
      </c>
      <c r="H129" s="13">
        <f>'[1]08mayo'!$AF$6</f>
        <v>0</v>
      </c>
      <c r="I129" s="13">
        <f>'[1]08mayo'!$AI$6</f>
        <v>0</v>
      </c>
      <c r="J129" s="13">
        <v>0</v>
      </c>
      <c r="K129" s="13">
        <f>'[1]08mayo'!$AP$6</f>
        <v>0</v>
      </c>
      <c r="L129" s="13">
        <f>SUM('[1]08mayo'!$K$2:$K$3000)</f>
        <v>0</v>
      </c>
      <c r="M129" s="13">
        <f>SUM('[1]08mayo'!$J$2:$J$3000)</f>
        <v>0</v>
      </c>
      <c r="N129" s="13">
        <f>'[1]08mayo'!$BD$6</f>
        <v>0</v>
      </c>
      <c r="O129" s="13">
        <f>'[1]08mayo'!$BE$6</f>
        <v>0</v>
      </c>
      <c r="P129" s="27">
        <f t="shared" si="6"/>
        <v>0</v>
      </c>
      <c r="Q129" s="27">
        <f>SUM('[1]08mayo'!$AW$6+'[1]08mayo'!$AX$6)</f>
        <v>0</v>
      </c>
      <c r="R129" s="27">
        <f>'[1]08mayo'!$AU$6+'[1]08mayo'!$AV$6</f>
        <v>0</v>
      </c>
      <c r="S129" s="28">
        <f t="shared" si="7"/>
        <v>0</v>
      </c>
    </row>
    <row r="130" spans="1:19" ht="18.75">
      <c r="A130" s="4" t="s">
        <v>20</v>
      </c>
      <c r="B130" s="10">
        <v>46151</v>
      </c>
      <c r="C130" s="13">
        <f>'[1]09mayo'!$T$6</f>
        <v>0</v>
      </c>
      <c r="D130" s="13">
        <f>'[1]09mayo'!$W$6</f>
        <v>0</v>
      </c>
      <c r="E130" s="13">
        <v>0</v>
      </c>
      <c r="F130" s="13">
        <f>'[1]09mayo'!$Z$6</f>
        <v>0</v>
      </c>
      <c r="G130" s="13">
        <f>'[1]09mayo'!$AC$6</f>
        <v>0</v>
      </c>
      <c r="H130" s="13">
        <f>'[1]09mayo'!$AF$6</f>
        <v>0</v>
      </c>
      <c r="I130" s="13">
        <f>'[1]09mayo'!$AI$6</f>
        <v>0</v>
      </c>
      <c r="J130" s="13">
        <v>0</v>
      </c>
      <c r="K130" s="13">
        <f>'[1]09mayo'!$AP$6</f>
        <v>0</v>
      </c>
      <c r="L130" s="13">
        <f>SUM('[1]09mayo'!$K$2:$K$3000)</f>
        <v>0</v>
      </c>
      <c r="M130" s="13">
        <f>SUM('[1]09mayo'!$J$2:$J$3000)</f>
        <v>0</v>
      </c>
      <c r="N130" s="13">
        <f>'[1]09mayo'!$BD$6</f>
        <v>0</v>
      </c>
      <c r="O130" s="13">
        <f>'[1]09mayo'!$BE$6</f>
        <v>0</v>
      </c>
      <c r="P130" s="27">
        <f t="shared" si="6"/>
        <v>0</v>
      </c>
      <c r="Q130" s="27">
        <f>SUM('[1]09mayo'!$AW$6+'[1]09mayo'!$AX$6)</f>
        <v>0</v>
      </c>
      <c r="R130" s="27">
        <f>'[1]09mayo'!$AU$6+'[1]09mayo'!$AV$6</f>
        <v>0</v>
      </c>
      <c r="S130" s="28">
        <f t="shared" si="7"/>
        <v>0</v>
      </c>
    </row>
  </sheetData>
  <conditionalFormatting sqref="S2:S130">
    <cfRule type="cellIs" dxfId="1" priority="44" operator="lessThan">
      <formula>0</formula>
    </cfRule>
  </conditionalFormatting>
  <conditionalFormatting sqref="S1:S1048576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DBA2D8-8FF6-4DE0-965A-87CDBACA818F}">
  <dimension ref="A1:T366"/>
  <sheetViews>
    <sheetView topLeftCell="A107" workbookViewId="0">
      <selection activeCell="A110" sqref="A110:XFD110"/>
    </sheetView>
  </sheetViews>
  <sheetFormatPr defaultRowHeight="15"/>
  <cols>
    <col min="4" max="4" width="13.5703125" bestFit="1" customWidth="1"/>
  </cols>
  <sheetData>
    <row r="1" spans="1:20" ht="18.75">
      <c r="A1" s="1"/>
      <c r="B1" s="9" t="s">
        <v>0</v>
      </c>
      <c r="C1" s="25" t="s">
        <v>39</v>
      </c>
      <c r="D1" s="25" t="s">
        <v>31</v>
      </c>
      <c r="E1" s="25" t="s">
        <v>40</v>
      </c>
      <c r="F1" s="25" t="s">
        <v>41</v>
      </c>
      <c r="G1" s="25" t="s">
        <v>26</v>
      </c>
      <c r="H1" s="25" t="s">
        <v>4</v>
      </c>
      <c r="I1" s="25" t="s">
        <v>45</v>
      </c>
      <c r="J1" s="25" t="s">
        <v>57</v>
      </c>
      <c r="K1" s="25" t="s">
        <v>10</v>
      </c>
      <c r="L1" s="25" t="s">
        <v>46</v>
      </c>
      <c r="M1" s="12" t="s">
        <v>47</v>
      </c>
      <c r="N1" s="12" t="s">
        <v>53</v>
      </c>
      <c r="O1" s="12" t="s">
        <v>54</v>
      </c>
      <c r="P1" s="24" t="s">
        <v>12</v>
      </c>
      <c r="Q1" s="26" t="s">
        <v>13</v>
      </c>
      <c r="R1" s="26" t="s">
        <v>51</v>
      </c>
      <c r="S1" s="26" t="s">
        <v>15</v>
      </c>
      <c r="T1" s="14"/>
    </row>
    <row r="2" spans="1:20" ht="18.75">
      <c r="A2" s="4" t="s">
        <v>21</v>
      </c>
      <c r="B2" s="10">
        <v>46023</v>
      </c>
      <c r="C2" s="13">
        <v>0</v>
      </c>
      <c r="D2" s="13">
        <v>0</v>
      </c>
      <c r="E2" s="13">
        <v>0</v>
      </c>
      <c r="F2" s="13">
        <v>0</v>
      </c>
      <c r="G2" s="13">
        <v>0</v>
      </c>
      <c r="H2" s="13">
        <v>0</v>
      </c>
      <c r="I2" s="13">
        <v>0</v>
      </c>
      <c r="J2" s="13">
        <v>0</v>
      </c>
      <c r="K2" s="13">
        <v>0</v>
      </c>
      <c r="L2" s="13">
        <v>0</v>
      </c>
      <c r="M2" s="13">
        <v>0</v>
      </c>
      <c r="N2" s="13">
        <v>0</v>
      </c>
      <c r="O2" s="13">
        <v>0</v>
      </c>
      <c r="P2" s="27">
        <v>0</v>
      </c>
      <c r="Q2" s="27">
        <v>0</v>
      </c>
      <c r="R2" s="27">
        <v>0</v>
      </c>
      <c r="S2" s="28">
        <v>0</v>
      </c>
      <c r="T2" s="14"/>
    </row>
    <row r="3" spans="1:20" ht="18.75">
      <c r="A3" s="4" t="s">
        <v>22</v>
      </c>
      <c r="B3" s="10">
        <v>46024</v>
      </c>
      <c r="C3" s="13">
        <v>2405</v>
      </c>
      <c r="D3" s="13">
        <v>4103</v>
      </c>
      <c r="E3" s="13">
        <v>0</v>
      </c>
      <c r="F3" s="13">
        <v>10421</v>
      </c>
      <c r="G3" s="13">
        <v>2991</v>
      </c>
      <c r="H3" s="13">
        <v>2172</v>
      </c>
      <c r="I3" s="13">
        <v>2430</v>
      </c>
      <c r="J3" s="13">
        <v>1271</v>
      </c>
      <c r="K3" s="13">
        <v>25834</v>
      </c>
      <c r="L3" s="13">
        <v>19088</v>
      </c>
      <c r="M3" s="13">
        <v>584</v>
      </c>
      <c r="N3" s="13">
        <v>0</v>
      </c>
      <c r="O3" s="13">
        <v>445</v>
      </c>
      <c r="P3" s="27">
        <v>71744</v>
      </c>
      <c r="Q3" s="27">
        <v>11300</v>
      </c>
      <c r="R3" s="27">
        <v>36463.5</v>
      </c>
      <c r="S3" s="28">
        <f t="shared" ref="S3:S44" si="0">P3-Q3-R3</f>
        <v>23980.5</v>
      </c>
      <c r="T3" s="14"/>
    </row>
    <row r="4" spans="1:20" ht="18.75">
      <c r="A4" s="4" t="s">
        <v>23</v>
      </c>
      <c r="B4" s="10">
        <v>46025</v>
      </c>
      <c r="C4" s="13">
        <v>2301</v>
      </c>
      <c r="D4" s="13">
        <v>2614</v>
      </c>
      <c r="E4" s="13">
        <v>0</v>
      </c>
      <c r="F4" s="13">
        <v>12225</v>
      </c>
      <c r="G4" s="13">
        <v>1536</v>
      </c>
      <c r="H4" s="13">
        <v>1205</v>
      </c>
      <c r="I4" s="13">
        <v>2806</v>
      </c>
      <c r="J4" s="13">
        <v>0</v>
      </c>
      <c r="K4" s="13">
        <v>25644</v>
      </c>
      <c r="L4" s="13">
        <v>21939</v>
      </c>
      <c r="M4" s="13">
        <v>380</v>
      </c>
      <c r="N4" s="13">
        <v>180</v>
      </c>
      <c r="O4" s="13">
        <v>206</v>
      </c>
      <c r="P4" s="27">
        <v>71036</v>
      </c>
      <c r="Q4" s="27">
        <v>15230</v>
      </c>
      <c r="R4" s="27">
        <v>29519.5</v>
      </c>
      <c r="S4" s="28">
        <f t="shared" si="0"/>
        <v>26286.5</v>
      </c>
      <c r="T4" s="14"/>
    </row>
    <row r="5" spans="1:20" ht="18.75">
      <c r="A5" s="4" t="s">
        <v>17</v>
      </c>
      <c r="B5" s="10">
        <v>46026</v>
      </c>
      <c r="C5" s="13">
        <v>1396</v>
      </c>
      <c r="D5" s="13">
        <v>3963</v>
      </c>
      <c r="E5" s="13">
        <v>0</v>
      </c>
      <c r="F5" s="13">
        <v>11039</v>
      </c>
      <c r="G5" s="13">
        <v>1822</v>
      </c>
      <c r="H5" s="13">
        <v>862</v>
      </c>
      <c r="I5" s="13">
        <v>926</v>
      </c>
      <c r="J5" s="13">
        <v>0</v>
      </c>
      <c r="K5" s="13">
        <v>25750</v>
      </c>
      <c r="L5" s="13">
        <v>21695.7</v>
      </c>
      <c r="M5" s="13">
        <v>835</v>
      </c>
      <c r="N5" s="13">
        <v>691</v>
      </c>
      <c r="O5" s="13">
        <v>1173</v>
      </c>
      <c r="P5" s="27">
        <v>70152.7</v>
      </c>
      <c r="Q5" s="27">
        <v>18795</v>
      </c>
      <c r="R5" s="27">
        <v>24461</v>
      </c>
      <c r="S5" s="28">
        <f t="shared" si="0"/>
        <v>26896.699999999997</v>
      </c>
      <c r="T5" s="14"/>
    </row>
    <row r="6" spans="1:20" ht="18.75">
      <c r="A6" s="4" t="s">
        <v>18</v>
      </c>
      <c r="B6" s="10">
        <v>46027</v>
      </c>
      <c r="C6" s="13">
        <v>2076</v>
      </c>
      <c r="D6" s="13">
        <v>2274</v>
      </c>
      <c r="E6" s="13">
        <v>0</v>
      </c>
      <c r="F6" s="13">
        <v>8750</v>
      </c>
      <c r="G6" s="13">
        <v>2429</v>
      </c>
      <c r="H6" s="13">
        <v>863</v>
      </c>
      <c r="I6" s="13">
        <v>1600</v>
      </c>
      <c r="J6" s="13">
        <v>358</v>
      </c>
      <c r="K6" s="13">
        <v>22522</v>
      </c>
      <c r="L6" s="13">
        <v>12546.5</v>
      </c>
      <c r="M6" s="13">
        <v>1003</v>
      </c>
      <c r="N6" s="13">
        <v>303</v>
      </c>
      <c r="O6" s="13">
        <v>250</v>
      </c>
      <c r="P6" s="27">
        <v>54974.5</v>
      </c>
      <c r="Q6" s="27">
        <v>15132</v>
      </c>
      <c r="R6" s="27">
        <v>21908</v>
      </c>
      <c r="S6" s="28">
        <f t="shared" si="0"/>
        <v>17934.5</v>
      </c>
      <c r="T6" s="14"/>
    </row>
    <row r="7" spans="1:20" ht="18.75">
      <c r="A7" s="4" t="s">
        <v>19</v>
      </c>
      <c r="B7" s="10">
        <v>46028</v>
      </c>
      <c r="C7" s="13">
        <v>1258</v>
      </c>
      <c r="D7" s="13">
        <v>1360</v>
      </c>
      <c r="E7" s="13">
        <v>0</v>
      </c>
      <c r="F7" s="13">
        <v>3568</v>
      </c>
      <c r="G7" s="13">
        <v>2439</v>
      </c>
      <c r="H7" s="13">
        <v>439</v>
      </c>
      <c r="I7" s="13">
        <v>1554</v>
      </c>
      <c r="J7" s="13">
        <v>699</v>
      </c>
      <c r="K7" s="13">
        <v>18672</v>
      </c>
      <c r="L7" s="13">
        <v>8029</v>
      </c>
      <c r="M7" s="13">
        <v>867</v>
      </c>
      <c r="N7" s="13">
        <v>310</v>
      </c>
      <c r="O7" s="13">
        <v>1324</v>
      </c>
      <c r="P7" s="27">
        <v>40519</v>
      </c>
      <c r="Q7" s="27">
        <v>11805</v>
      </c>
      <c r="R7" s="27">
        <v>12870</v>
      </c>
      <c r="S7" s="28">
        <f t="shared" si="0"/>
        <v>15844</v>
      </c>
      <c r="T7" s="14"/>
    </row>
    <row r="8" spans="1:20" ht="18.75">
      <c r="A8" s="4" t="s">
        <v>20</v>
      </c>
      <c r="B8" s="10">
        <v>46029</v>
      </c>
      <c r="C8" s="13">
        <v>2406</v>
      </c>
      <c r="D8" s="13">
        <v>1233</v>
      </c>
      <c r="E8" s="13">
        <v>0</v>
      </c>
      <c r="F8" s="13">
        <v>3552</v>
      </c>
      <c r="G8" s="13">
        <v>2271</v>
      </c>
      <c r="H8" s="13">
        <v>853</v>
      </c>
      <c r="I8" s="13">
        <v>1755</v>
      </c>
      <c r="J8" s="13">
        <v>0</v>
      </c>
      <c r="K8" s="13">
        <v>20662</v>
      </c>
      <c r="L8" s="13">
        <v>7981.6</v>
      </c>
      <c r="M8" s="13">
        <v>618</v>
      </c>
      <c r="N8" s="13">
        <v>477</v>
      </c>
      <c r="O8" s="13">
        <v>1580.75</v>
      </c>
      <c r="P8" s="27">
        <v>43389.35</v>
      </c>
      <c r="Q8" s="27">
        <v>9570</v>
      </c>
      <c r="R8" s="27">
        <v>14889</v>
      </c>
      <c r="S8" s="28">
        <f t="shared" si="0"/>
        <v>18930.349999999999</v>
      </c>
      <c r="T8" s="14"/>
    </row>
    <row r="9" spans="1:20" ht="18.75">
      <c r="A9" s="4" t="s">
        <v>21</v>
      </c>
      <c r="B9" s="10">
        <v>46030</v>
      </c>
      <c r="C9" s="13">
        <v>1842</v>
      </c>
      <c r="D9" s="13">
        <v>1925</v>
      </c>
      <c r="E9" s="13">
        <v>0</v>
      </c>
      <c r="F9" s="13">
        <v>6993</v>
      </c>
      <c r="G9" s="13">
        <v>2428</v>
      </c>
      <c r="H9" s="13">
        <v>1620</v>
      </c>
      <c r="I9" s="13">
        <v>2372</v>
      </c>
      <c r="J9" s="13">
        <v>530</v>
      </c>
      <c r="K9" s="13">
        <v>18420</v>
      </c>
      <c r="L9" s="13">
        <v>8810.9</v>
      </c>
      <c r="M9" s="13">
        <v>2083</v>
      </c>
      <c r="N9" s="13">
        <v>1171</v>
      </c>
      <c r="O9" s="13">
        <v>476</v>
      </c>
      <c r="P9" s="27">
        <v>48670.9</v>
      </c>
      <c r="Q9" s="27">
        <v>8847</v>
      </c>
      <c r="R9" s="27">
        <v>22149.9</v>
      </c>
      <c r="S9" s="28">
        <f t="shared" si="0"/>
        <v>17674</v>
      </c>
      <c r="T9" s="14"/>
    </row>
    <row r="10" spans="1:20" ht="18.75">
      <c r="A10" s="4" t="s">
        <v>22</v>
      </c>
      <c r="B10" s="10">
        <v>46031</v>
      </c>
      <c r="C10" s="13">
        <v>2713</v>
      </c>
      <c r="D10" s="13">
        <v>1779</v>
      </c>
      <c r="E10" s="13">
        <v>0</v>
      </c>
      <c r="F10" s="13">
        <v>3647</v>
      </c>
      <c r="G10" s="13">
        <v>2007</v>
      </c>
      <c r="H10" s="13">
        <v>1796</v>
      </c>
      <c r="I10" s="13">
        <v>3895</v>
      </c>
      <c r="J10" s="13">
        <v>735</v>
      </c>
      <c r="K10" s="13">
        <v>19653</v>
      </c>
      <c r="L10" s="13">
        <v>12585</v>
      </c>
      <c r="M10" s="13">
        <v>749</v>
      </c>
      <c r="N10" s="13">
        <v>220</v>
      </c>
      <c r="O10" s="13">
        <v>614</v>
      </c>
      <c r="P10" s="27">
        <v>50393</v>
      </c>
      <c r="Q10" s="27">
        <v>10085</v>
      </c>
      <c r="R10" s="27">
        <v>29254.5</v>
      </c>
      <c r="S10" s="28">
        <f t="shared" si="0"/>
        <v>11053.5</v>
      </c>
      <c r="T10" s="14"/>
    </row>
    <row r="11" spans="1:20" ht="18.75">
      <c r="A11" s="4" t="s">
        <v>23</v>
      </c>
      <c r="B11" s="10">
        <v>46032</v>
      </c>
      <c r="C11" s="13">
        <v>2901</v>
      </c>
      <c r="D11" s="13">
        <v>889</v>
      </c>
      <c r="E11" s="13">
        <v>0</v>
      </c>
      <c r="F11" s="13">
        <v>3497</v>
      </c>
      <c r="G11" s="13">
        <v>1510</v>
      </c>
      <c r="H11" s="13">
        <v>1158</v>
      </c>
      <c r="I11" s="13">
        <v>1668</v>
      </c>
      <c r="J11" s="13">
        <v>353</v>
      </c>
      <c r="K11" s="13">
        <v>13977.5</v>
      </c>
      <c r="L11" s="13">
        <v>18968.400000000001</v>
      </c>
      <c r="M11" s="13">
        <v>629</v>
      </c>
      <c r="N11" s="13">
        <v>545</v>
      </c>
      <c r="O11" s="13">
        <v>1018</v>
      </c>
      <c r="P11" s="27">
        <v>47113.9</v>
      </c>
      <c r="Q11" s="27">
        <v>11890</v>
      </c>
      <c r="R11" s="27">
        <v>23911</v>
      </c>
      <c r="S11" s="28">
        <f t="shared" si="0"/>
        <v>11312.900000000001</v>
      </c>
      <c r="T11" s="14"/>
    </row>
    <row r="12" spans="1:20" ht="18.75">
      <c r="A12" s="4" t="s">
        <v>17</v>
      </c>
      <c r="B12" s="10">
        <v>46033</v>
      </c>
      <c r="C12" s="13">
        <v>1442</v>
      </c>
      <c r="D12" s="13">
        <v>338</v>
      </c>
      <c r="E12" s="13">
        <v>0</v>
      </c>
      <c r="F12" s="13">
        <v>1832</v>
      </c>
      <c r="G12" s="13">
        <v>2324</v>
      </c>
      <c r="H12" s="13">
        <v>195</v>
      </c>
      <c r="I12" s="13">
        <v>723</v>
      </c>
      <c r="J12" s="13">
        <v>0</v>
      </c>
      <c r="K12" s="13">
        <v>21831</v>
      </c>
      <c r="L12" s="13">
        <v>10310</v>
      </c>
      <c r="M12" s="13">
        <v>2008</v>
      </c>
      <c r="N12" s="13">
        <v>663</v>
      </c>
      <c r="O12" s="13">
        <v>1843</v>
      </c>
      <c r="P12" s="27">
        <v>43509</v>
      </c>
      <c r="Q12" s="27">
        <v>19000</v>
      </c>
      <c r="R12" s="27">
        <v>9406</v>
      </c>
      <c r="S12" s="28">
        <f t="shared" si="0"/>
        <v>15103</v>
      </c>
      <c r="T12" s="14"/>
    </row>
    <row r="13" spans="1:20" ht="18.75">
      <c r="A13" s="4" t="s">
        <v>18</v>
      </c>
      <c r="B13" s="10">
        <v>46034</v>
      </c>
      <c r="C13" s="13">
        <v>1492</v>
      </c>
      <c r="D13" s="13">
        <v>1125</v>
      </c>
      <c r="E13" s="13">
        <v>0</v>
      </c>
      <c r="F13" s="13">
        <v>3428</v>
      </c>
      <c r="G13" s="13">
        <v>1046</v>
      </c>
      <c r="H13" s="13">
        <v>332</v>
      </c>
      <c r="I13" s="13">
        <v>1295</v>
      </c>
      <c r="J13" s="13">
        <v>361</v>
      </c>
      <c r="K13" s="13">
        <v>9277</v>
      </c>
      <c r="L13" s="13">
        <v>6141</v>
      </c>
      <c r="M13" s="13">
        <v>1310</v>
      </c>
      <c r="N13" s="13">
        <v>463</v>
      </c>
      <c r="O13" s="13">
        <v>1049</v>
      </c>
      <c r="P13" s="27">
        <v>27319</v>
      </c>
      <c r="Q13" s="27">
        <v>11370</v>
      </c>
      <c r="R13" s="27">
        <v>11824</v>
      </c>
      <c r="S13" s="28">
        <f t="shared" si="0"/>
        <v>4125</v>
      </c>
      <c r="T13" s="14"/>
    </row>
    <row r="14" spans="1:20" ht="18.75">
      <c r="A14" s="4" t="s">
        <v>19</v>
      </c>
      <c r="B14" s="10">
        <v>46035</v>
      </c>
      <c r="C14" s="13">
        <v>1240</v>
      </c>
      <c r="D14" s="13">
        <v>1356</v>
      </c>
      <c r="E14" s="13">
        <v>0</v>
      </c>
      <c r="F14" s="13">
        <v>3966</v>
      </c>
      <c r="G14" s="13">
        <v>2090</v>
      </c>
      <c r="H14" s="13">
        <v>671</v>
      </c>
      <c r="I14" s="13">
        <v>1368</v>
      </c>
      <c r="J14" s="13">
        <v>265</v>
      </c>
      <c r="K14" s="13">
        <v>11417</v>
      </c>
      <c r="L14" s="13">
        <v>6131.5</v>
      </c>
      <c r="M14" s="13">
        <v>758</v>
      </c>
      <c r="N14" s="13">
        <v>0</v>
      </c>
      <c r="O14" s="13">
        <v>375</v>
      </c>
      <c r="P14" s="27">
        <v>29637.5</v>
      </c>
      <c r="Q14" s="27">
        <v>10180</v>
      </c>
      <c r="R14" s="27">
        <v>9710.5</v>
      </c>
      <c r="S14" s="28">
        <f t="shared" si="0"/>
        <v>9747</v>
      </c>
      <c r="T14" s="14"/>
    </row>
    <row r="15" spans="1:20" ht="18.75">
      <c r="A15" s="4" t="s">
        <v>20</v>
      </c>
      <c r="B15" s="10">
        <v>46036</v>
      </c>
      <c r="C15" s="13">
        <v>1934</v>
      </c>
      <c r="D15" s="13">
        <v>1092</v>
      </c>
      <c r="E15" s="13">
        <v>0</v>
      </c>
      <c r="F15" s="13">
        <v>3633</v>
      </c>
      <c r="G15" s="13">
        <v>1291</v>
      </c>
      <c r="H15" s="13">
        <v>574</v>
      </c>
      <c r="I15" s="13">
        <v>2267</v>
      </c>
      <c r="J15" s="13">
        <v>0</v>
      </c>
      <c r="K15" s="13">
        <v>9200</v>
      </c>
      <c r="L15" s="13">
        <v>7296.4</v>
      </c>
      <c r="M15" s="13">
        <v>1221</v>
      </c>
      <c r="N15" s="13">
        <v>455</v>
      </c>
      <c r="O15" s="13">
        <v>150</v>
      </c>
      <c r="P15" s="27">
        <v>29113.4</v>
      </c>
      <c r="Q15" s="27">
        <v>9399</v>
      </c>
      <c r="R15" s="27">
        <v>11944.5</v>
      </c>
      <c r="S15" s="28">
        <f t="shared" si="0"/>
        <v>7769.9000000000015</v>
      </c>
      <c r="T15" s="14"/>
    </row>
    <row r="16" spans="1:20" ht="18.75">
      <c r="A16" s="4" t="s">
        <v>21</v>
      </c>
      <c r="B16" s="10">
        <v>46037</v>
      </c>
      <c r="C16" s="13">
        <v>2146</v>
      </c>
      <c r="D16" s="13">
        <v>1217</v>
      </c>
      <c r="E16" s="13">
        <v>870</v>
      </c>
      <c r="F16" s="13">
        <v>2001</v>
      </c>
      <c r="G16" s="13">
        <v>2041</v>
      </c>
      <c r="H16" s="13">
        <v>1086</v>
      </c>
      <c r="I16" s="13">
        <v>1510</v>
      </c>
      <c r="J16" s="13">
        <v>0</v>
      </c>
      <c r="K16" s="13">
        <v>13332</v>
      </c>
      <c r="L16" s="13">
        <v>8359</v>
      </c>
      <c r="M16" s="13">
        <v>818</v>
      </c>
      <c r="N16" s="13">
        <v>631</v>
      </c>
      <c r="O16" s="13">
        <v>929.5</v>
      </c>
      <c r="P16" s="27">
        <v>34940.5</v>
      </c>
      <c r="Q16" s="27">
        <v>12177</v>
      </c>
      <c r="R16" s="27">
        <v>13869</v>
      </c>
      <c r="S16" s="28">
        <f t="shared" si="0"/>
        <v>8894.5</v>
      </c>
      <c r="T16" s="14"/>
    </row>
    <row r="17" spans="1:20" ht="18.75">
      <c r="A17" s="4" t="s">
        <v>22</v>
      </c>
      <c r="B17" s="10">
        <v>46038</v>
      </c>
      <c r="C17" s="13">
        <v>2075</v>
      </c>
      <c r="D17" s="13">
        <v>1195</v>
      </c>
      <c r="E17" s="13">
        <v>736</v>
      </c>
      <c r="F17" s="13">
        <v>3259</v>
      </c>
      <c r="G17" s="13">
        <v>2084</v>
      </c>
      <c r="H17" s="13">
        <v>516</v>
      </c>
      <c r="I17" s="13">
        <v>2419</v>
      </c>
      <c r="J17" s="13">
        <v>0</v>
      </c>
      <c r="K17" s="13">
        <v>11610.5</v>
      </c>
      <c r="L17" s="13">
        <v>6979</v>
      </c>
      <c r="M17" s="13">
        <v>619.5</v>
      </c>
      <c r="N17" s="13">
        <v>1345</v>
      </c>
      <c r="O17" s="13">
        <v>95</v>
      </c>
      <c r="P17" s="27">
        <v>32933</v>
      </c>
      <c r="Q17" s="27">
        <v>14538</v>
      </c>
      <c r="R17" s="27">
        <v>17268</v>
      </c>
      <c r="S17" s="28">
        <f t="shared" si="0"/>
        <v>1127</v>
      </c>
      <c r="T17" s="14"/>
    </row>
    <row r="18" spans="1:20" ht="18.75">
      <c r="A18" s="4" t="s">
        <v>23</v>
      </c>
      <c r="B18" s="10">
        <v>46039</v>
      </c>
      <c r="C18" s="13">
        <v>1828</v>
      </c>
      <c r="D18" s="13">
        <v>1242</v>
      </c>
      <c r="E18" s="13">
        <v>0</v>
      </c>
      <c r="F18" s="13">
        <v>3303</v>
      </c>
      <c r="G18" s="13">
        <v>2334</v>
      </c>
      <c r="H18" s="13">
        <v>616</v>
      </c>
      <c r="I18" s="13">
        <v>1280</v>
      </c>
      <c r="J18" s="13">
        <v>1166</v>
      </c>
      <c r="K18" s="13">
        <v>16800</v>
      </c>
      <c r="L18" s="13">
        <v>10168</v>
      </c>
      <c r="M18" s="13">
        <v>928</v>
      </c>
      <c r="N18" s="13">
        <v>135</v>
      </c>
      <c r="O18" s="13">
        <v>680</v>
      </c>
      <c r="P18" s="27">
        <v>40480</v>
      </c>
      <c r="Q18" s="27">
        <v>15283</v>
      </c>
      <c r="R18" s="27">
        <v>24016</v>
      </c>
      <c r="S18" s="28">
        <f t="shared" si="0"/>
        <v>1181</v>
      </c>
      <c r="T18" s="14"/>
    </row>
    <row r="19" spans="1:20" ht="18.75">
      <c r="A19" s="4" t="s">
        <v>17</v>
      </c>
      <c r="B19" s="10">
        <v>46040</v>
      </c>
      <c r="C19" s="13">
        <v>2294</v>
      </c>
      <c r="D19" s="13">
        <v>851</v>
      </c>
      <c r="E19" s="13">
        <v>0</v>
      </c>
      <c r="F19" s="13">
        <v>1511</v>
      </c>
      <c r="G19" s="13">
        <v>1615</v>
      </c>
      <c r="H19" s="13">
        <v>188</v>
      </c>
      <c r="I19" s="13">
        <v>2028</v>
      </c>
      <c r="J19" s="13">
        <v>0</v>
      </c>
      <c r="K19" s="13">
        <v>15282.5</v>
      </c>
      <c r="L19" s="13">
        <v>14071</v>
      </c>
      <c r="M19" s="13">
        <v>150</v>
      </c>
      <c r="N19" s="13">
        <v>1350</v>
      </c>
      <c r="O19" s="13">
        <v>1143</v>
      </c>
      <c r="P19" s="27">
        <v>40483.5</v>
      </c>
      <c r="Q19" s="27">
        <v>14540</v>
      </c>
      <c r="R19" s="27">
        <v>8577.5</v>
      </c>
      <c r="S19" s="28">
        <f t="shared" si="0"/>
        <v>17366</v>
      </c>
      <c r="T19" s="14"/>
    </row>
    <row r="20" spans="1:20" ht="18.75">
      <c r="A20" s="4" t="s">
        <v>18</v>
      </c>
      <c r="B20" s="10">
        <v>46041</v>
      </c>
      <c r="C20" s="13">
        <v>2368</v>
      </c>
      <c r="D20" s="13">
        <v>1348</v>
      </c>
      <c r="E20" s="13">
        <v>0</v>
      </c>
      <c r="F20" s="13">
        <v>2919</v>
      </c>
      <c r="G20" s="13">
        <v>2021</v>
      </c>
      <c r="H20" s="13">
        <v>173</v>
      </c>
      <c r="I20" s="13">
        <v>2287</v>
      </c>
      <c r="J20" s="13">
        <v>316</v>
      </c>
      <c r="K20" s="13">
        <v>9045.5</v>
      </c>
      <c r="L20" s="13">
        <v>5545</v>
      </c>
      <c r="M20" s="13">
        <v>913.5</v>
      </c>
      <c r="N20" s="13">
        <v>115</v>
      </c>
      <c r="O20" s="13">
        <v>565</v>
      </c>
      <c r="P20" s="27">
        <v>27616</v>
      </c>
      <c r="Q20" s="27">
        <v>8683</v>
      </c>
      <c r="R20" s="27">
        <v>18072</v>
      </c>
      <c r="S20" s="28">
        <f t="shared" si="0"/>
        <v>861</v>
      </c>
      <c r="T20" s="14"/>
    </row>
    <row r="21" spans="1:20" ht="18.75">
      <c r="A21" s="4" t="s">
        <v>19</v>
      </c>
      <c r="B21" s="10">
        <v>46042</v>
      </c>
      <c r="C21" s="13">
        <v>1032</v>
      </c>
      <c r="D21" s="13">
        <v>994</v>
      </c>
      <c r="E21" s="13">
        <v>0</v>
      </c>
      <c r="F21" s="13">
        <v>3875</v>
      </c>
      <c r="G21" s="13">
        <v>1020</v>
      </c>
      <c r="H21" s="13">
        <v>823</v>
      </c>
      <c r="I21" s="13">
        <v>1494</v>
      </c>
      <c r="J21" s="13">
        <v>304</v>
      </c>
      <c r="K21" s="13">
        <v>9317</v>
      </c>
      <c r="L21" s="13">
        <v>9306.9500000000007</v>
      </c>
      <c r="M21" s="13">
        <v>1305</v>
      </c>
      <c r="N21" s="13">
        <v>0</v>
      </c>
      <c r="O21" s="13">
        <v>0</v>
      </c>
      <c r="P21" s="27">
        <v>29470.95</v>
      </c>
      <c r="Q21" s="27">
        <v>10785</v>
      </c>
      <c r="R21" s="27">
        <v>13736.5</v>
      </c>
      <c r="S21" s="28">
        <f t="shared" si="0"/>
        <v>4949.4500000000007</v>
      </c>
      <c r="T21" s="14"/>
    </row>
    <row r="22" spans="1:20" ht="18.75">
      <c r="A22" s="4" t="s">
        <v>20</v>
      </c>
      <c r="B22" s="10">
        <v>46043</v>
      </c>
      <c r="C22" s="13">
        <v>802</v>
      </c>
      <c r="D22" s="13">
        <v>1004</v>
      </c>
      <c r="E22" s="13">
        <v>0</v>
      </c>
      <c r="F22" s="13">
        <v>2926</v>
      </c>
      <c r="G22" s="13">
        <v>1121</v>
      </c>
      <c r="H22" s="13">
        <v>741</v>
      </c>
      <c r="I22" s="13">
        <v>1645</v>
      </c>
      <c r="J22" s="13">
        <v>339</v>
      </c>
      <c r="K22" s="13">
        <v>11650.5</v>
      </c>
      <c r="L22" s="13">
        <v>5671.4</v>
      </c>
      <c r="M22" s="13">
        <v>1505</v>
      </c>
      <c r="N22" s="13">
        <v>258.75</v>
      </c>
      <c r="O22" s="13">
        <v>705</v>
      </c>
      <c r="P22" s="27">
        <v>28368.65</v>
      </c>
      <c r="Q22" s="27">
        <v>12495</v>
      </c>
      <c r="R22" s="27">
        <v>7341.5</v>
      </c>
      <c r="S22" s="28">
        <f t="shared" si="0"/>
        <v>8532.1500000000015</v>
      </c>
      <c r="T22" s="14"/>
    </row>
    <row r="23" spans="1:20" ht="18.75">
      <c r="A23" s="4" t="s">
        <v>21</v>
      </c>
      <c r="B23" s="10">
        <v>46044</v>
      </c>
      <c r="C23" s="13">
        <v>1535</v>
      </c>
      <c r="D23" s="13">
        <v>1471</v>
      </c>
      <c r="E23" s="13">
        <v>1930</v>
      </c>
      <c r="F23" s="13">
        <v>1710</v>
      </c>
      <c r="G23" s="13">
        <v>830</v>
      </c>
      <c r="H23" s="13">
        <v>1996</v>
      </c>
      <c r="I23" s="13">
        <v>1996</v>
      </c>
      <c r="J23" s="13">
        <v>0</v>
      </c>
      <c r="K23" s="13">
        <v>9766.5</v>
      </c>
      <c r="L23" s="13">
        <v>7361.3</v>
      </c>
      <c r="M23" s="13">
        <v>2499</v>
      </c>
      <c r="N23" s="13">
        <v>173</v>
      </c>
      <c r="O23" s="13">
        <v>160.5</v>
      </c>
      <c r="P23" s="27">
        <v>31428.3</v>
      </c>
      <c r="Q23" s="27">
        <v>8325</v>
      </c>
      <c r="R23" s="27">
        <v>16518.5</v>
      </c>
      <c r="S23" s="28">
        <f t="shared" si="0"/>
        <v>6584.7999999999993</v>
      </c>
      <c r="T23" s="14"/>
    </row>
    <row r="24" spans="1:20" ht="18.75">
      <c r="A24" s="4" t="s">
        <v>22</v>
      </c>
      <c r="B24" s="10">
        <v>46045</v>
      </c>
      <c r="C24" s="13">
        <v>2011</v>
      </c>
      <c r="D24" s="13">
        <v>1770.5</v>
      </c>
      <c r="E24" s="13">
        <v>2876</v>
      </c>
      <c r="F24" s="13">
        <v>2171</v>
      </c>
      <c r="G24" s="13">
        <v>1513</v>
      </c>
      <c r="H24" s="13">
        <v>2390</v>
      </c>
      <c r="I24" s="13">
        <v>2390</v>
      </c>
      <c r="J24" s="13">
        <v>0</v>
      </c>
      <c r="K24" s="13">
        <v>8794</v>
      </c>
      <c r="L24" s="13">
        <v>6282.9</v>
      </c>
      <c r="M24" s="13">
        <v>740</v>
      </c>
      <c r="N24" s="13">
        <v>766.25</v>
      </c>
      <c r="O24" s="13">
        <v>230</v>
      </c>
      <c r="P24" s="27">
        <v>31934.65</v>
      </c>
      <c r="Q24" s="27">
        <v>14541</v>
      </c>
      <c r="R24" s="27">
        <v>8706.5</v>
      </c>
      <c r="S24" s="28">
        <f t="shared" si="0"/>
        <v>8687.1500000000015</v>
      </c>
      <c r="T24" s="14"/>
    </row>
    <row r="25" spans="1:20" ht="18.75">
      <c r="A25" s="4" t="s">
        <v>23</v>
      </c>
      <c r="B25" s="10">
        <v>46046</v>
      </c>
      <c r="C25" s="13">
        <v>2558</v>
      </c>
      <c r="D25" s="13">
        <v>2321</v>
      </c>
      <c r="E25" s="13">
        <v>3675</v>
      </c>
      <c r="F25" s="13">
        <v>2096</v>
      </c>
      <c r="G25" s="13">
        <v>1065</v>
      </c>
      <c r="H25" s="13">
        <v>2320</v>
      </c>
      <c r="I25" s="13">
        <v>2320</v>
      </c>
      <c r="J25" s="13">
        <v>0</v>
      </c>
      <c r="K25" s="13">
        <v>11822</v>
      </c>
      <c r="L25" s="13">
        <v>12499.6</v>
      </c>
      <c r="M25" s="13">
        <v>910</v>
      </c>
      <c r="N25" s="13">
        <v>237.5</v>
      </c>
      <c r="O25" s="13">
        <v>1362.5</v>
      </c>
      <c r="P25" s="27">
        <v>43186.6</v>
      </c>
      <c r="Q25" s="27">
        <v>10260</v>
      </c>
      <c r="R25" s="27">
        <v>14204</v>
      </c>
      <c r="S25" s="28">
        <f t="shared" si="0"/>
        <v>18722.599999999999</v>
      </c>
      <c r="T25" s="14"/>
    </row>
    <row r="26" spans="1:20" ht="18.75">
      <c r="A26" s="4" t="s">
        <v>17</v>
      </c>
      <c r="B26" s="10">
        <v>46047</v>
      </c>
      <c r="C26" s="13">
        <v>1864</v>
      </c>
      <c r="D26" s="13">
        <v>578</v>
      </c>
      <c r="E26" s="13">
        <v>0</v>
      </c>
      <c r="F26" s="13">
        <v>1747</v>
      </c>
      <c r="G26" s="13">
        <v>2453</v>
      </c>
      <c r="H26" s="13">
        <v>332</v>
      </c>
      <c r="I26" s="13">
        <v>639</v>
      </c>
      <c r="J26" s="13">
        <v>0</v>
      </c>
      <c r="K26" s="13">
        <v>16194.5</v>
      </c>
      <c r="L26" s="13">
        <v>11574.5</v>
      </c>
      <c r="M26" s="13">
        <v>1969</v>
      </c>
      <c r="N26" s="13">
        <v>686</v>
      </c>
      <c r="O26" s="13">
        <v>1111.8</v>
      </c>
      <c r="P26" s="27">
        <v>39148.800000000003</v>
      </c>
      <c r="Q26" s="27">
        <v>10355</v>
      </c>
      <c r="R26" s="27">
        <v>6865.4</v>
      </c>
      <c r="S26" s="28">
        <f t="shared" si="0"/>
        <v>21928.400000000001</v>
      </c>
      <c r="T26" s="14"/>
    </row>
    <row r="27" spans="1:20" ht="18.75">
      <c r="A27" s="4" t="s">
        <v>18</v>
      </c>
      <c r="B27" s="10">
        <v>46048</v>
      </c>
      <c r="C27" s="13">
        <v>3011</v>
      </c>
      <c r="D27" s="13">
        <v>956</v>
      </c>
      <c r="E27" s="13">
        <v>0</v>
      </c>
      <c r="F27" s="13">
        <v>3155</v>
      </c>
      <c r="G27" s="13">
        <v>3782</v>
      </c>
      <c r="H27" s="13">
        <v>0</v>
      </c>
      <c r="I27" s="13">
        <v>2183</v>
      </c>
      <c r="J27" s="13">
        <v>0</v>
      </c>
      <c r="K27" s="13">
        <v>8964</v>
      </c>
      <c r="L27" s="13">
        <v>7241.6</v>
      </c>
      <c r="M27" s="13">
        <v>1280</v>
      </c>
      <c r="N27" s="13">
        <v>705</v>
      </c>
      <c r="O27" s="13">
        <v>335</v>
      </c>
      <c r="P27" s="27">
        <v>31612.6</v>
      </c>
      <c r="Q27" s="27">
        <v>10110</v>
      </c>
      <c r="R27" s="27">
        <v>18021.5</v>
      </c>
      <c r="S27" s="28">
        <f t="shared" si="0"/>
        <v>3481.0999999999985</v>
      </c>
      <c r="T27" s="14"/>
    </row>
    <row r="28" spans="1:20" ht="18.75">
      <c r="A28" s="4" t="s">
        <v>19</v>
      </c>
      <c r="B28" s="10">
        <v>46049</v>
      </c>
      <c r="C28" s="13">
        <v>1059</v>
      </c>
      <c r="D28" s="13">
        <v>1451</v>
      </c>
      <c r="E28" s="13">
        <v>0</v>
      </c>
      <c r="F28" s="13">
        <v>3202</v>
      </c>
      <c r="G28" s="13">
        <v>2653</v>
      </c>
      <c r="H28" s="13">
        <v>732</v>
      </c>
      <c r="I28" s="13">
        <v>1292</v>
      </c>
      <c r="J28" s="13">
        <v>0</v>
      </c>
      <c r="K28" s="13">
        <v>8303</v>
      </c>
      <c r="L28" s="13">
        <v>3879.4</v>
      </c>
      <c r="M28" s="13">
        <v>330</v>
      </c>
      <c r="N28" s="13">
        <v>0</v>
      </c>
      <c r="O28" s="13">
        <v>456</v>
      </c>
      <c r="P28" s="27">
        <v>23357.4</v>
      </c>
      <c r="Q28" s="27">
        <v>11580</v>
      </c>
      <c r="R28" s="27">
        <v>11001.5</v>
      </c>
      <c r="S28" s="28">
        <f t="shared" si="0"/>
        <v>775.90000000000146</v>
      </c>
      <c r="T28" s="14"/>
    </row>
    <row r="29" spans="1:20" ht="18.75">
      <c r="A29" s="4" t="s">
        <v>20</v>
      </c>
      <c r="B29" s="10">
        <v>46050</v>
      </c>
      <c r="C29" s="13">
        <v>1773</v>
      </c>
      <c r="D29" s="13">
        <v>1627</v>
      </c>
      <c r="E29" s="13">
        <v>0</v>
      </c>
      <c r="F29" s="13">
        <v>2731</v>
      </c>
      <c r="G29" s="13">
        <v>1840</v>
      </c>
      <c r="H29" s="13">
        <v>782</v>
      </c>
      <c r="I29" s="13">
        <v>2379</v>
      </c>
      <c r="J29" s="13">
        <v>0</v>
      </c>
      <c r="K29" s="13">
        <v>7941.25</v>
      </c>
      <c r="L29" s="13">
        <v>7452.3</v>
      </c>
      <c r="M29" s="13">
        <v>888.5</v>
      </c>
      <c r="N29" s="13">
        <v>475</v>
      </c>
      <c r="O29" s="13">
        <v>446</v>
      </c>
      <c r="P29" s="27">
        <v>28335.05</v>
      </c>
      <c r="Q29" s="27">
        <v>7685</v>
      </c>
      <c r="R29" s="27">
        <v>14571.5</v>
      </c>
      <c r="S29" s="28">
        <f t="shared" si="0"/>
        <v>6078.5499999999993</v>
      </c>
      <c r="T29" s="14"/>
    </row>
    <row r="30" spans="1:20" ht="18.75">
      <c r="A30" s="4" t="s">
        <v>21</v>
      </c>
      <c r="B30" s="10">
        <v>46051</v>
      </c>
      <c r="C30" s="13">
        <v>1817</v>
      </c>
      <c r="D30" s="13">
        <v>1919</v>
      </c>
      <c r="E30" s="13">
        <v>0</v>
      </c>
      <c r="F30" s="13">
        <v>2989</v>
      </c>
      <c r="G30" s="13">
        <v>2263</v>
      </c>
      <c r="H30" s="13">
        <v>1433</v>
      </c>
      <c r="I30" s="13">
        <v>1501</v>
      </c>
      <c r="J30" s="13">
        <v>0</v>
      </c>
      <c r="K30" s="13">
        <v>4721.5</v>
      </c>
      <c r="L30" s="13">
        <v>9694.25</v>
      </c>
      <c r="M30" s="13">
        <v>1090</v>
      </c>
      <c r="N30" s="13">
        <v>1294.5</v>
      </c>
      <c r="O30" s="13">
        <v>851</v>
      </c>
      <c r="P30" s="27">
        <v>29573.25</v>
      </c>
      <c r="Q30" s="27">
        <v>8265</v>
      </c>
      <c r="R30" s="27">
        <v>15497.5</v>
      </c>
      <c r="S30" s="28">
        <f t="shared" si="0"/>
        <v>5810.75</v>
      </c>
      <c r="T30" s="14"/>
    </row>
    <row r="31" spans="1:20" ht="18.75">
      <c r="A31" s="4" t="s">
        <v>22</v>
      </c>
      <c r="B31" s="10">
        <v>46052</v>
      </c>
      <c r="C31" s="13">
        <v>2198</v>
      </c>
      <c r="D31" s="13">
        <v>1374</v>
      </c>
      <c r="E31" s="13">
        <v>0</v>
      </c>
      <c r="F31" s="13">
        <v>4027</v>
      </c>
      <c r="G31" s="13">
        <v>1479</v>
      </c>
      <c r="H31" s="13">
        <v>0</v>
      </c>
      <c r="I31" s="13">
        <v>3027</v>
      </c>
      <c r="J31" s="13">
        <v>0</v>
      </c>
      <c r="K31" s="13">
        <v>8878</v>
      </c>
      <c r="L31" s="13">
        <v>7470.1</v>
      </c>
      <c r="M31" s="13">
        <v>810</v>
      </c>
      <c r="N31" s="13">
        <v>646</v>
      </c>
      <c r="O31" s="13">
        <v>0</v>
      </c>
      <c r="P31" s="27">
        <v>29909.1</v>
      </c>
      <c r="Q31" s="27">
        <v>8053</v>
      </c>
      <c r="R31" s="27">
        <v>19466</v>
      </c>
      <c r="S31" s="28">
        <f t="shared" si="0"/>
        <v>2390.0999999999985</v>
      </c>
      <c r="T31" s="14"/>
    </row>
    <row r="32" spans="1:20" ht="18.75">
      <c r="A32" s="4" t="s">
        <v>23</v>
      </c>
      <c r="B32" s="10">
        <v>46053</v>
      </c>
      <c r="C32" s="13">
        <v>1633</v>
      </c>
      <c r="D32" s="13">
        <v>856</v>
      </c>
      <c r="E32" s="13">
        <v>0</v>
      </c>
      <c r="F32" s="13">
        <v>3034</v>
      </c>
      <c r="G32" s="13">
        <v>1841</v>
      </c>
      <c r="H32" s="13">
        <v>562</v>
      </c>
      <c r="I32" s="13">
        <v>3261</v>
      </c>
      <c r="J32" s="13">
        <v>0</v>
      </c>
      <c r="K32" s="13">
        <v>14276</v>
      </c>
      <c r="L32" s="13">
        <v>15413.1</v>
      </c>
      <c r="M32" s="13">
        <v>829</v>
      </c>
      <c r="N32" s="13">
        <v>324</v>
      </c>
      <c r="O32" s="13">
        <v>847.5</v>
      </c>
      <c r="P32" s="27">
        <v>42876.6</v>
      </c>
      <c r="Q32" s="27">
        <v>10355</v>
      </c>
      <c r="R32" s="27">
        <v>6865.4</v>
      </c>
      <c r="S32" s="28">
        <f t="shared" si="0"/>
        <v>25656.199999999997</v>
      </c>
      <c r="T32" s="14"/>
    </row>
    <row r="33" spans="1:20" ht="18.75">
      <c r="A33" s="4" t="s">
        <v>17</v>
      </c>
      <c r="B33" s="10">
        <v>46054</v>
      </c>
      <c r="C33" s="13">
        <v>704</v>
      </c>
      <c r="D33" s="13">
        <v>770</v>
      </c>
      <c r="E33" s="13">
        <v>0</v>
      </c>
      <c r="F33" s="13">
        <v>2523</v>
      </c>
      <c r="G33" s="13">
        <v>1594</v>
      </c>
      <c r="H33" s="13">
        <v>620</v>
      </c>
      <c r="I33" s="13">
        <v>1467</v>
      </c>
      <c r="J33" s="13">
        <v>0</v>
      </c>
      <c r="K33" s="13">
        <v>23158</v>
      </c>
      <c r="L33" s="13">
        <v>18511.75</v>
      </c>
      <c r="M33" s="13">
        <v>1570</v>
      </c>
      <c r="N33" s="13">
        <v>135</v>
      </c>
      <c r="O33" s="13">
        <v>611.20000000000005</v>
      </c>
      <c r="P33" s="27">
        <v>51663.95</v>
      </c>
      <c r="Q33" s="27">
        <v>20237</v>
      </c>
      <c r="R33" s="27">
        <v>14182</v>
      </c>
      <c r="S33" s="28">
        <f t="shared" si="0"/>
        <v>17244.949999999997</v>
      </c>
      <c r="T33" s="14"/>
    </row>
    <row r="34" spans="1:20" ht="18.75">
      <c r="A34" s="4" t="s">
        <v>18</v>
      </c>
      <c r="B34" s="10">
        <v>46055</v>
      </c>
      <c r="C34" s="13">
        <v>1207</v>
      </c>
      <c r="D34" s="13">
        <v>1108</v>
      </c>
      <c r="E34" s="13">
        <v>0</v>
      </c>
      <c r="F34" s="13">
        <v>4381</v>
      </c>
      <c r="G34" s="13">
        <v>1903</v>
      </c>
      <c r="H34" s="13">
        <v>647</v>
      </c>
      <c r="I34" s="13">
        <v>2090</v>
      </c>
      <c r="J34" s="13">
        <v>0</v>
      </c>
      <c r="K34" s="13">
        <v>15373</v>
      </c>
      <c r="L34" s="13">
        <v>18010.8</v>
      </c>
      <c r="M34" s="13">
        <v>475</v>
      </c>
      <c r="N34" s="13">
        <v>420</v>
      </c>
      <c r="O34" s="13">
        <v>972.3</v>
      </c>
      <c r="P34" s="27">
        <v>46587.100000000013</v>
      </c>
      <c r="Q34" s="27">
        <v>10365</v>
      </c>
      <c r="R34" s="27">
        <v>29194</v>
      </c>
      <c r="S34" s="28">
        <f t="shared" si="0"/>
        <v>7028.1000000000131</v>
      </c>
      <c r="T34" s="14"/>
    </row>
    <row r="35" spans="1:20" ht="18.75">
      <c r="A35" s="4" t="s">
        <v>19</v>
      </c>
      <c r="B35" s="10">
        <v>46056</v>
      </c>
      <c r="C35" s="13">
        <v>1711</v>
      </c>
      <c r="D35" s="13">
        <v>994</v>
      </c>
      <c r="E35" s="13">
        <v>0</v>
      </c>
      <c r="F35" s="13">
        <v>2690</v>
      </c>
      <c r="G35" s="13">
        <v>2097</v>
      </c>
      <c r="H35" s="13">
        <v>872</v>
      </c>
      <c r="I35" s="13">
        <v>1611</v>
      </c>
      <c r="J35" s="13">
        <v>0</v>
      </c>
      <c r="K35" s="13">
        <v>5085</v>
      </c>
      <c r="L35" s="13">
        <v>3278.2</v>
      </c>
      <c r="M35" s="13">
        <v>478</v>
      </c>
      <c r="N35" s="13">
        <v>314.25</v>
      </c>
      <c r="O35" s="13">
        <v>602</v>
      </c>
      <c r="P35" s="27">
        <v>19732.45</v>
      </c>
      <c r="Q35" s="27">
        <v>9167</v>
      </c>
      <c r="R35" s="27">
        <v>12088</v>
      </c>
      <c r="S35" s="28">
        <f t="shared" si="0"/>
        <v>-1522.5499999999993</v>
      </c>
      <c r="T35" s="14"/>
    </row>
    <row r="36" spans="1:20" ht="18.75">
      <c r="A36" s="4" t="s">
        <v>20</v>
      </c>
      <c r="B36" s="10">
        <v>46057</v>
      </c>
      <c r="C36" s="13">
        <v>883</v>
      </c>
      <c r="D36" s="13">
        <v>554</v>
      </c>
      <c r="E36" s="13">
        <v>0</v>
      </c>
      <c r="F36" s="13">
        <v>3296</v>
      </c>
      <c r="G36" s="13">
        <v>1582</v>
      </c>
      <c r="H36" s="13">
        <v>431</v>
      </c>
      <c r="I36" s="13">
        <v>2312</v>
      </c>
      <c r="J36" s="13">
        <v>0</v>
      </c>
      <c r="K36" s="13">
        <v>6186</v>
      </c>
      <c r="L36" s="13">
        <v>7726.5</v>
      </c>
      <c r="M36" s="13">
        <v>1223</v>
      </c>
      <c r="N36" s="13">
        <v>155</v>
      </c>
      <c r="O36" s="13">
        <v>824</v>
      </c>
      <c r="P36" s="27">
        <v>25172.5</v>
      </c>
      <c r="Q36" s="27">
        <v>7705</v>
      </c>
      <c r="R36" s="27">
        <v>11688</v>
      </c>
      <c r="S36" s="28">
        <f t="shared" si="0"/>
        <v>5779.5</v>
      </c>
      <c r="T36" s="14"/>
    </row>
    <row r="37" spans="1:20" ht="18.75">
      <c r="A37" s="4" t="s">
        <v>21</v>
      </c>
      <c r="B37" s="10">
        <v>46058</v>
      </c>
      <c r="C37" s="13">
        <v>1295</v>
      </c>
      <c r="D37" s="13">
        <v>1379</v>
      </c>
      <c r="E37" s="13">
        <v>0</v>
      </c>
      <c r="F37" s="13">
        <v>2589</v>
      </c>
      <c r="G37" s="13">
        <v>2289</v>
      </c>
      <c r="H37" s="13">
        <v>353</v>
      </c>
      <c r="I37" s="13">
        <v>1170</v>
      </c>
      <c r="J37" s="13">
        <v>0</v>
      </c>
      <c r="K37" s="13">
        <v>8845</v>
      </c>
      <c r="L37" s="13">
        <v>9085.4000000000015</v>
      </c>
      <c r="M37" s="13">
        <v>858</v>
      </c>
      <c r="N37" s="13">
        <v>103.5</v>
      </c>
      <c r="O37" s="13">
        <v>348.66</v>
      </c>
      <c r="P37" s="27">
        <v>28315.56</v>
      </c>
      <c r="Q37" s="27">
        <v>8941</v>
      </c>
      <c r="R37" s="27">
        <v>16174.5</v>
      </c>
      <c r="S37" s="28">
        <f t="shared" si="0"/>
        <v>3200.0600000000013</v>
      </c>
      <c r="T37" s="14"/>
    </row>
    <row r="38" spans="1:20" ht="18.75">
      <c r="A38" s="4" t="s">
        <v>22</v>
      </c>
      <c r="B38" s="10">
        <v>46059</v>
      </c>
      <c r="C38" s="13">
        <v>1588</v>
      </c>
      <c r="D38" s="13">
        <v>803</v>
      </c>
      <c r="E38" s="13">
        <v>0</v>
      </c>
      <c r="F38" s="13">
        <v>2897</v>
      </c>
      <c r="G38" s="13">
        <v>1898</v>
      </c>
      <c r="H38" s="13">
        <v>894</v>
      </c>
      <c r="I38" s="13">
        <v>2079</v>
      </c>
      <c r="J38" s="13">
        <v>0</v>
      </c>
      <c r="K38" s="13">
        <v>10767.5</v>
      </c>
      <c r="L38" s="13">
        <v>10078.4</v>
      </c>
      <c r="M38" s="13">
        <v>102</v>
      </c>
      <c r="N38" s="13">
        <v>155.25</v>
      </c>
      <c r="O38" s="13">
        <v>737.43000000000006</v>
      </c>
      <c r="P38" s="27">
        <v>31999.58</v>
      </c>
      <c r="Q38" s="27">
        <v>9225</v>
      </c>
      <c r="R38" s="27">
        <v>21055.5</v>
      </c>
      <c r="S38" s="28">
        <f t="shared" si="0"/>
        <v>1719.0800000000017</v>
      </c>
      <c r="T38" s="14"/>
    </row>
    <row r="39" spans="1:20" ht="18.75">
      <c r="A39" s="4" t="s">
        <v>23</v>
      </c>
      <c r="B39" s="10">
        <v>46060</v>
      </c>
      <c r="C39" s="13">
        <v>3342</v>
      </c>
      <c r="D39" s="13">
        <v>1595</v>
      </c>
      <c r="E39" s="13">
        <v>0</v>
      </c>
      <c r="F39" s="13">
        <v>2734</v>
      </c>
      <c r="G39" s="13">
        <v>1747</v>
      </c>
      <c r="H39" s="13">
        <v>1193</v>
      </c>
      <c r="I39" s="13">
        <v>1448</v>
      </c>
      <c r="J39" s="13">
        <v>0</v>
      </c>
      <c r="K39" s="13">
        <v>12486.5</v>
      </c>
      <c r="L39" s="13">
        <v>11231.3</v>
      </c>
      <c r="M39" s="13">
        <v>274</v>
      </c>
      <c r="N39" s="13">
        <v>0</v>
      </c>
      <c r="O39" s="13">
        <v>105.32</v>
      </c>
      <c r="P39" s="27">
        <v>36156.120000000003</v>
      </c>
      <c r="Q39" s="27">
        <v>14845</v>
      </c>
      <c r="R39" s="27">
        <v>14171.5</v>
      </c>
      <c r="S39" s="28">
        <f t="shared" si="0"/>
        <v>7139.6200000000026</v>
      </c>
      <c r="T39" s="14"/>
    </row>
    <row r="40" spans="1:20" ht="18.75">
      <c r="A40" s="4" t="s">
        <v>17</v>
      </c>
      <c r="B40" s="10">
        <v>46061</v>
      </c>
      <c r="C40" s="13">
        <v>1123</v>
      </c>
      <c r="D40" s="13">
        <v>570</v>
      </c>
      <c r="E40" s="13">
        <v>0</v>
      </c>
      <c r="F40" s="13">
        <v>2773</v>
      </c>
      <c r="G40" s="13">
        <v>2434</v>
      </c>
      <c r="H40" s="13">
        <v>463</v>
      </c>
      <c r="I40" s="13">
        <v>1105</v>
      </c>
      <c r="J40" s="13">
        <v>0</v>
      </c>
      <c r="K40" s="13">
        <v>17458.5</v>
      </c>
      <c r="L40" s="13">
        <v>12608.55</v>
      </c>
      <c r="M40" s="13">
        <v>318</v>
      </c>
      <c r="N40" s="13">
        <v>390</v>
      </c>
      <c r="O40" s="13">
        <v>792.75</v>
      </c>
      <c r="P40" s="27">
        <v>40035.800000000003</v>
      </c>
      <c r="Q40" s="27">
        <v>16615</v>
      </c>
      <c r="R40" s="27">
        <v>11283</v>
      </c>
      <c r="S40" s="28">
        <f t="shared" si="0"/>
        <v>12137.800000000003</v>
      </c>
      <c r="T40" s="14"/>
    </row>
    <row r="41" spans="1:20" ht="18.75">
      <c r="A41" s="4" t="s">
        <v>18</v>
      </c>
      <c r="B41" s="10">
        <v>46062</v>
      </c>
      <c r="C41" s="13">
        <v>1059</v>
      </c>
      <c r="D41" s="13">
        <v>936</v>
      </c>
      <c r="E41" s="13">
        <v>0</v>
      </c>
      <c r="F41" s="13">
        <v>5067</v>
      </c>
      <c r="G41" s="13">
        <v>2044</v>
      </c>
      <c r="H41" s="13">
        <v>423</v>
      </c>
      <c r="I41" s="13">
        <v>1580</v>
      </c>
      <c r="J41" s="13">
        <v>0</v>
      </c>
      <c r="K41" s="13">
        <v>7915.5</v>
      </c>
      <c r="L41" s="13">
        <v>8330.4</v>
      </c>
      <c r="M41" s="13">
        <v>1521</v>
      </c>
      <c r="N41" s="13">
        <v>766.25</v>
      </c>
      <c r="O41" s="13">
        <v>955</v>
      </c>
      <c r="P41" s="27">
        <v>30597.15</v>
      </c>
      <c r="Q41" s="27">
        <v>9123</v>
      </c>
      <c r="R41" s="27">
        <v>19067</v>
      </c>
      <c r="S41" s="28">
        <f t="shared" si="0"/>
        <v>2407.1500000000015</v>
      </c>
      <c r="T41" s="14"/>
    </row>
    <row r="42" spans="1:20" ht="18.75">
      <c r="A42" s="4" t="s">
        <v>19</v>
      </c>
      <c r="B42" s="10">
        <v>46063</v>
      </c>
      <c r="C42" s="13">
        <v>1217</v>
      </c>
      <c r="D42" s="13">
        <v>1309</v>
      </c>
      <c r="E42" s="13">
        <v>0</v>
      </c>
      <c r="F42" s="13">
        <v>2428</v>
      </c>
      <c r="G42" s="13">
        <v>1709</v>
      </c>
      <c r="H42" s="13">
        <v>318</v>
      </c>
      <c r="I42" s="13">
        <v>1669</v>
      </c>
      <c r="J42" s="13">
        <v>0</v>
      </c>
      <c r="K42" s="13">
        <v>6971</v>
      </c>
      <c r="L42" s="13">
        <v>5183.5</v>
      </c>
      <c r="M42" s="13">
        <v>376</v>
      </c>
      <c r="N42" s="13">
        <v>0</v>
      </c>
      <c r="O42" s="13">
        <v>881.82999999999993</v>
      </c>
      <c r="P42" s="27">
        <v>22062.33</v>
      </c>
      <c r="Q42" s="27">
        <v>9796</v>
      </c>
      <c r="R42" s="27">
        <v>10837.5</v>
      </c>
      <c r="S42" s="28">
        <f t="shared" si="0"/>
        <v>1428.8300000000017</v>
      </c>
      <c r="T42" s="14"/>
    </row>
    <row r="43" spans="1:20" ht="18.75">
      <c r="A43" s="4" t="s">
        <v>20</v>
      </c>
      <c r="B43" s="10">
        <v>46064</v>
      </c>
      <c r="C43" s="13">
        <v>2267</v>
      </c>
      <c r="D43" s="13">
        <v>1295</v>
      </c>
      <c r="E43" s="13">
        <v>0</v>
      </c>
      <c r="F43" s="13">
        <v>4034</v>
      </c>
      <c r="G43" s="13">
        <v>922</v>
      </c>
      <c r="H43" s="13">
        <v>1045</v>
      </c>
      <c r="I43" s="13">
        <v>1320</v>
      </c>
      <c r="J43" s="13">
        <v>0</v>
      </c>
      <c r="K43" s="13">
        <v>11372</v>
      </c>
      <c r="L43" s="13">
        <v>6335</v>
      </c>
      <c r="M43" s="13">
        <v>1947</v>
      </c>
      <c r="N43" s="13">
        <v>0</v>
      </c>
      <c r="O43" s="13">
        <v>578</v>
      </c>
      <c r="P43" s="27">
        <v>31115</v>
      </c>
      <c r="Q43" s="27">
        <v>12204</v>
      </c>
      <c r="R43" s="27">
        <v>15347.7</v>
      </c>
      <c r="S43" s="28">
        <f t="shared" si="0"/>
        <v>3563.2999999999993</v>
      </c>
      <c r="T43" s="14"/>
    </row>
    <row r="44" spans="1:20" ht="18.75">
      <c r="A44" s="4" t="s">
        <v>21</v>
      </c>
      <c r="B44" s="10">
        <v>46065</v>
      </c>
      <c r="C44" s="13">
        <v>996</v>
      </c>
      <c r="D44" s="13">
        <v>1702</v>
      </c>
      <c r="E44" s="13">
        <v>0</v>
      </c>
      <c r="F44" s="13">
        <v>4427</v>
      </c>
      <c r="G44" s="13">
        <v>1648</v>
      </c>
      <c r="H44" s="13">
        <v>781</v>
      </c>
      <c r="I44" s="13">
        <v>1943</v>
      </c>
      <c r="J44" s="13">
        <v>0</v>
      </c>
      <c r="K44" s="13">
        <v>8155.5</v>
      </c>
      <c r="L44" s="13">
        <v>7552.1</v>
      </c>
      <c r="M44" s="13">
        <v>919</v>
      </c>
      <c r="N44" s="13">
        <v>0</v>
      </c>
      <c r="O44" s="13">
        <v>138</v>
      </c>
      <c r="P44" s="27">
        <v>28261.599999999999</v>
      </c>
      <c r="Q44" s="27">
        <v>7799</v>
      </c>
      <c r="R44" s="27">
        <v>20081</v>
      </c>
      <c r="S44" s="28">
        <f t="shared" si="0"/>
        <v>381.59999999999854</v>
      </c>
      <c r="T44" s="14"/>
    </row>
    <row r="45" spans="1:20" ht="18.75">
      <c r="A45" s="4" t="s">
        <v>22</v>
      </c>
      <c r="B45" s="10">
        <v>46066</v>
      </c>
      <c r="C45" s="13">
        <v>1989</v>
      </c>
      <c r="D45" s="13">
        <v>1004</v>
      </c>
      <c r="E45" s="13">
        <v>0</v>
      </c>
      <c r="F45" s="13">
        <v>3189</v>
      </c>
      <c r="G45" s="13">
        <v>1625</v>
      </c>
      <c r="H45" s="13">
        <v>700</v>
      </c>
      <c r="I45" s="13">
        <v>3052</v>
      </c>
      <c r="J45" s="13">
        <v>0</v>
      </c>
      <c r="K45" s="13">
        <v>11384</v>
      </c>
      <c r="L45" s="13">
        <v>9629.6</v>
      </c>
      <c r="M45" s="13">
        <v>457</v>
      </c>
      <c r="N45" s="13">
        <v>238.5</v>
      </c>
      <c r="O45" s="13">
        <v>547</v>
      </c>
      <c r="P45" s="27">
        <v>33815.1</v>
      </c>
      <c r="Q45" s="27">
        <v>9445</v>
      </c>
      <c r="R45" s="27">
        <v>10695.5</v>
      </c>
      <c r="S45" s="28">
        <v>13674.6</v>
      </c>
      <c r="T45" s="14"/>
    </row>
    <row r="46" spans="1:20" ht="18.75">
      <c r="A46" s="4" t="s">
        <v>23</v>
      </c>
      <c r="B46" s="10">
        <v>46067</v>
      </c>
      <c r="C46" s="13">
        <v>2013</v>
      </c>
      <c r="D46" s="13">
        <v>1102</v>
      </c>
      <c r="E46" s="13">
        <v>0</v>
      </c>
      <c r="F46" s="13">
        <v>4050</v>
      </c>
      <c r="G46" s="13">
        <v>1215</v>
      </c>
      <c r="H46" s="13">
        <v>592</v>
      </c>
      <c r="I46" s="13">
        <v>2077</v>
      </c>
      <c r="J46" s="13">
        <v>0</v>
      </c>
      <c r="K46" s="13">
        <v>14343</v>
      </c>
      <c r="L46" s="13">
        <v>22718.15</v>
      </c>
      <c r="M46" s="13">
        <v>3025</v>
      </c>
      <c r="N46" s="13">
        <v>390</v>
      </c>
      <c r="O46" s="13">
        <v>1091.33</v>
      </c>
      <c r="P46" s="27">
        <v>52616.480000000003</v>
      </c>
      <c r="Q46" s="27">
        <v>18760</v>
      </c>
      <c r="R46" s="27">
        <v>28704.5</v>
      </c>
      <c r="S46" s="28">
        <v>5151.9799999999959</v>
      </c>
      <c r="T46" s="14"/>
    </row>
    <row r="47" spans="1:20" ht="18.75">
      <c r="A47" s="4" t="s">
        <v>17</v>
      </c>
      <c r="B47" s="10">
        <v>46068</v>
      </c>
      <c r="C47" s="13">
        <v>1585</v>
      </c>
      <c r="D47" s="13">
        <v>995</v>
      </c>
      <c r="E47" s="13">
        <v>0</v>
      </c>
      <c r="F47" s="13">
        <v>1929</v>
      </c>
      <c r="G47" s="13">
        <v>2488</v>
      </c>
      <c r="H47" s="13">
        <v>735</v>
      </c>
      <c r="I47" s="13">
        <v>1105</v>
      </c>
      <c r="J47" s="13">
        <v>0</v>
      </c>
      <c r="K47" s="13">
        <v>18758</v>
      </c>
      <c r="L47" s="13">
        <v>12549.2</v>
      </c>
      <c r="M47" s="13">
        <v>1224</v>
      </c>
      <c r="N47" s="13">
        <v>105</v>
      </c>
      <c r="O47" s="13">
        <v>900</v>
      </c>
      <c r="P47" s="27">
        <v>42373.2</v>
      </c>
      <c r="Q47" s="27">
        <v>18178</v>
      </c>
      <c r="R47" s="27">
        <v>11808.5</v>
      </c>
      <c r="S47" s="28">
        <v>24079.200000000001</v>
      </c>
      <c r="T47" s="14"/>
    </row>
    <row r="48" spans="1:20" ht="18.75">
      <c r="A48" s="4" t="s">
        <v>18</v>
      </c>
      <c r="B48" s="10">
        <v>46069</v>
      </c>
      <c r="C48" s="13">
        <v>1761</v>
      </c>
      <c r="D48" s="13">
        <v>857</v>
      </c>
      <c r="E48" s="13">
        <v>0</v>
      </c>
      <c r="F48" s="13">
        <v>3347</v>
      </c>
      <c r="G48" s="13">
        <v>2261</v>
      </c>
      <c r="H48" s="13">
        <v>1007</v>
      </c>
      <c r="I48" s="13">
        <v>1892</v>
      </c>
      <c r="J48" s="13">
        <v>0</v>
      </c>
      <c r="K48" s="13">
        <v>8589</v>
      </c>
      <c r="L48" s="13">
        <v>5197.5</v>
      </c>
      <c r="M48" s="13">
        <v>521</v>
      </c>
      <c r="N48" s="13">
        <v>390</v>
      </c>
      <c r="O48" s="13">
        <v>1911.09</v>
      </c>
      <c r="P48" s="27">
        <f t="shared" ref="P48:P110" si="1">SUM(C48:O48)</f>
        <v>27733.59</v>
      </c>
      <c r="Q48" s="27">
        <v>8776</v>
      </c>
      <c r="R48" s="27">
        <v>14335.5</v>
      </c>
      <c r="S48" s="28">
        <f t="shared" ref="S48:S110" si="2">P48-Q48-R48</f>
        <v>4622.09</v>
      </c>
      <c r="T48" s="14"/>
    </row>
    <row r="49" spans="1:20" ht="18.75">
      <c r="A49" s="4" t="s">
        <v>19</v>
      </c>
      <c r="B49" s="10">
        <v>46070</v>
      </c>
      <c r="C49" s="13">
        <v>1811</v>
      </c>
      <c r="D49" s="13">
        <v>1124</v>
      </c>
      <c r="E49" s="13">
        <v>0</v>
      </c>
      <c r="F49" s="13">
        <v>3580</v>
      </c>
      <c r="G49" s="13">
        <v>2023</v>
      </c>
      <c r="H49" s="13">
        <v>616</v>
      </c>
      <c r="I49" s="13">
        <v>1797</v>
      </c>
      <c r="J49" s="13">
        <v>0</v>
      </c>
      <c r="K49" s="13">
        <v>9550</v>
      </c>
      <c r="L49" s="13">
        <v>8287.9</v>
      </c>
      <c r="M49" s="13">
        <v>642</v>
      </c>
      <c r="N49" s="13">
        <v>0</v>
      </c>
      <c r="O49" s="13">
        <v>316</v>
      </c>
      <c r="P49" s="27">
        <f t="shared" si="1"/>
        <v>29746.9</v>
      </c>
      <c r="Q49" s="27">
        <v>9505</v>
      </c>
      <c r="R49" s="27">
        <v>18902</v>
      </c>
      <c r="S49" s="28">
        <f t="shared" si="2"/>
        <v>1339.9000000000015</v>
      </c>
      <c r="T49" s="14"/>
    </row>
    <row r="50" spans="1:20" ht="18.75">
      <c r="A50" s="4" t="s">
        <v>20</v>
      </c>
      <c r="B50" s="10">
        <v>46071</v>
      </c>
      <c r="C50" s="13">
        <v>1326</v>
      </c>
      <c r="D50" s="13">
        <v>1091</v>
      </c>
      <c r="E50" s="13">
        <v>0</v>
      </c>
      <c r="F50" s="13">
        <v>4054</v>
      </c>
      <c r="G50" s="13">
        <v>1427</v>
      </c>
      <c r="H50" s="13">
        <v>797</v>
      </c>
      <c r="I50" s="13">
        <v>1790</v>
      </c>
      <c r="J50" s="13">
        <v>0</v>
      </c>
      <c r="K50" s="13">
        <v>7605</v>
      </c>
      <c r="L50" s="13">
        <v>6808.5</v>
      </c>
      <c r="M50" s="13">
        <v>1080</v>
      </c>
      <c r="N50" s="13">
        <v>219</v>
      </c>
      <c r="O50" s="13">
        <v>0</v>
      </c>
      <c r="P50" s="27">
        <f t="shared" si="1"/>
        <v>26197.5</v>
      </c>
      <c r="Q50" s="27">
        <v>13830</v>
      </c>
      <c r="R50" s="27">
        <v>11686.5</v>
      </c>
      <c r="S50" s="28">
        <f t="shared" si="2"/>
        <v>681</v>
      </c>
      <c r="T50" s="14"/>
    </row>
    <row r="51" spans="1:20" ht="18.75">
      <c r="A51" s="4" t="s">
        <v>21</v>
      </c>
      <c r="B51" s="10">
        <v>46072</v>
      </c>
      <c r="C51" s="13">
        <v>701</v>
      </c>
      <c r="D51" s="13">
        <v>1814</v>
      </c>
      <c r="E51" s="13">
        <v>0</v>
      </c>
      <c r="F51" s="13">
        <v>3776</v>
      </c>
      <c r="G51" s="13">
        <v>1688</v>
      </c>
      <c r="H51" s="13">
        <v>678</v>
      </c>
      <c r="I51" s="13">
        <v>1413</v>
      </c>
      <c r="J51" s="13">
        <v>0</v>
      </c>
      <c r="K51" s="13">
        <v>7086.5</v>
      </c>
      <c r="L51" s="13">
        <v>10791.8</v>
      </c>
      <c r="M51" s="13">
        <v>1507</v>
      </c>
      <c r="N51" s="13">
        <v>0</v>
      </c>
      <c r="O51" s="13">
        <v>661</v>
      </c>
      <c r="P51" s="27">
        <f t="shared" si="1"/>
        <v>30116.3</v>
      </c>
      <c r="Q51" s="27">
        <v>9820</v>
      </c>
      <c r="R51" s="27">
        <v>10791</v>
      </c>
      <c r="S51" s="28">
        <f t="shared" si="2"/>
        <v>9505.2999999999993</v>
      </c>
      <c r="T51" s="14"/>
    </row>
    <row r="52" spans="1:20" ht="18.75">
      <c r="A52" s="4" t="s">
        <v>22</v>
      </c>
      <c r="B52" s="10">
        <v>46073</v>
      </c>
      <c r="C52" s="13">
        <v>1652</v>
      </c>
      <c r="D52" s="13">
        <v>1217</v>
      </c>
      <c r="E52" s="13">
        <v>0</v>
      </c>
      <c r="F52" s="13">
        <v>3490</v>
      </c>
      <c r="G52" s="13">
        <v>1282</v>
      </c>
      <c r="H52" s="13">
        <v>1134</v>
      </c>
      <c r="I52" s="13">
        <v>3498</v>
      </c>
      <c r="J52" s="13">
        <v>0</v>
      </c>
      <c r="K52" s="13">
        <v>8694</v>
      </c>
      <c r="L52" s="13">
        <v>13364.7</v>
      </c>
      <c r="M52" s="13">
        <v>1082</v>
      </c>
      <c r="N52" s="13">
        <v>0</v>
      </c>
      <c r="O52" s="13">
        <v>560</v>
      </c>
      <c r="P52" s="27">
        <f t="shared" si="1"/>
        <v>35973.699999999997</v>
      </c>
      <c r="Q52" s="27">
        <v>9087</v>
      </c>
      <c r="R52" s="27">
        <v>20229.5</v>
      </c>
      <c r="S52" s="28">
        <f t="shared" si="2"/>
        <v>6657.1999999999971</v>
      </c>
      <c r="T52" s="14"/>
    </row>
    <row r="53" spans="1:20" ht="18.75">
      <c r="A53" s="4" t="s">
        <v>23</v>
      </c>
      <c r="B53" s="10">
        <v>46074</v>
      </c>
      <c r="C53" s="13">
        <v>1867</v>
      </c>
      <c r="D53" s="13">
        <v>1312</v>
      </c>
      <c r="E53" s="13">
        <v>0</v>
      </c>
      <c r="F53" s="13">
        <v>4743</v>
      </c>
      <c r="G53" s="13">
        <v>1465</v>
      </c>
      <c r="H53" s="13">
        <v>1660</v>
      </c>
      <c r="I53" s="13">
        <v>2908</v>
      </c>
      <c r="J53" s="13">
        <v>0</v>
      </c>
      <c r="K53" s="13">
        <v>18050</v>
      </c>
      <c r="L53" s="13">
        <v>15295.1</v>
      </c>
      <c r="M53" s="13">
        <v>551</v>
      </c>
      <c r="N53" s="13">
        <v>195</v>
      </c>
      <c r="O53" s="13">
        <v>455</v>
      </c>
      <c r="P53" s="27">
        <f t="shared" si="1"/>
        <v>48501.1</v>
      </c>
      <c r="Q53" s="27">
        <v>17770</v>
      </c>
      <c r="R53" s="27">
        <v>20711.5</v>
      </c>
      <c r="S53" s="28">
        <f t="shared" si="2"/>
        <v>10019.599999999999</v>
      </c>
      <c r="T53" s="14"/>
    </row>
    <row r="54" spans="1:20" ht="18.75">
      <c r="A54" s="4" t="s">
        <v>17</v>
      </c>
      <c r="B54" s="10">
        <v>46075</v>
      </c>
      <c r="C54" s="13">
        <v>2569</v>
      </c>
      <c r="D54" s="13">
        <v>258</v>
      </c>
      <c r="E54" s="13">
        <v>0</v>
      </c>
      <c r="F54" s="13">
        <v>2365</v>
      </c>
      <c r="G54" s="13">
        <v>1595</v>
      </c>
      <c r="H54" s="13">
        <v>123</v>
      </c>
      <c r="I54" s="13">
        <v>1216</v>
      </c>
      <c r="J54" s="13">
        <v>0</v>
      </c>
      <c r="K54" s="13">
        <v>18156</v>
      </c>
      <c r="L54" s="13">
        <v>9334.4</v>
      </c>
      <c r="M54" s="13">
        <v>2203</v>
      </c>
      <c r="N54" s="13">
        <v>801</v>
      </c>
      <c r="O54" s="13">
        <v>713</v>
      </c>
      <c r="P54" s="27">
        <f t="shared" si="1"/>
        <v>39333.4</v>
      </c>
      <c r="Q54" s="27">
        <v>10826</v>
      </c>
      <c r="R54" s="27">
        <v>13439.5</v>
      </c>
      <c r="S54" s="28">
        <f t="shared" si="2"/>
        <v>15067.900000000001</v>
      </c>
      <c r="T54" s="14"/>
    </row>
    <row r="55" spans="1:20" ht="18.75">
      <c r="A55" s="4" t="s">
        <v>18</v>
      </c>
      <c r="B55" s="10">
        <v>46076</v>
      </c>
      <c r="C55" s="13">
        <v>1882</v>
      </c>
      <c r="D55" s="13">
        <v>1984</v>
      </c>
      <c r="E55" s="13">
        <v>0</v>
      </c>
      <c r="F55" s="13">
        <v>3720</v>
      </c>
      <c r="G55" s="13">
        <v>1458</v>
      </c>
      <c r="H55" s="13">
        <v>575</v>
      </c>
      <c r="I55" s="13">
        <v>2135</v>
      </c>
      <c r="J55" s="13">
        <v>0</v>
      </c>
      <c r="K55" s="13">
        <v>9580</v>
      </c>
      <c r="L55" s="13">
        <v>3513.2</v>
      </c>
      <c r="M55" s="13">
        <v>662</v>
      </c>
      <c r="N55" s="13">
        <v>596.5</v>
      </c>
      <c r="O55" s="13">
        <v>1696</v>
      </c>
      <c r="P55" s="27">
        <f t="shared" si="1"/>
        <v>27801.7</v>
      </c>
      <c r="Q55" s="27">
        <v>10601</v>
      </c>
      <c r="R55" s="27">
        <v>13755.5</v>
      </c>
      <c r="S55" s="28">
        <f t="shared" si="2"/>
        <v>3445.2000000000007</v>
      </c>
      <c r="T55" s="14"/>
    </row>
    <row r="56" spans="1:20" ht="18.75">
      <c r="A56" s="4" t="s">
        <v>19</v>
      </c>
      <c r="B56" s="10">
        <v>46077</v>
      </c>
      <c r="C56" s="13">
        <v>2084</v>
      </c>
      <c r="D56" s="13">
        <v>1245</v>
      </c>
      <c r="E56" s="13">
        <v>0</v>
      </c>
      <c r="F56" s="13">
        <v>3733</v>
      </c>
      <c r="G56" s="13">
        <v>2361</v>
      </c>
      <c r="H56" s="13">
        <v>508</v>
      </c>
      <c r="I56" s="13">
        <v>1799</v>
      </c>
      <c r="J56" s="13">
        <v>0</v>
      </c>
      <c r="K56" s="13">
        <v>9211.5</v>
      </c>
      <c r="L56" s="13">
        <v>9378.5</v>
      </c>
      <c r="M56" s="13">
        <v>1823</v>
      </c>
      <c r="N56" s="13">
        <v>428.75</v>
      </c>
      <c r="O56" s="13">
        <v>380</v>
      </c>
      <c r="P56" s="27">
        <f t="shared" si="1"/>
        <v>32951.75</v>
      </c>
      <c r="Q56" s="27">
        <v>10520</v>
      </c>
      <c r="R56" s="27">
        <v>12689</v>
      </c>
      <c r="S56" s="28">
        <f t="shared" si="2"/>
        <v>9742.75</v>
      </c>
      <c r="T56" s="14"/>
    </row>
    <row r="57" spans="1:20" ht="18.75">
      <c r="A57" s="4" t="s">
        <v>20</v>
      </c>
      <c r="B57" s="10">
        <v>46078</v>
      </c>
      <c r="C57" s="13">
        <v>1534</v>
      </c>
      <c r="D57" s="13">
        <v>1070</v>
      </c>
      <c r="E57" s="13">
        <v>0</v>
      </c>
      <c r="F57" s="13">
        <v>3859</v>
      </c>
      <c r="G57" s="13">
        <v>1306</v>
      </c>
      <c r="H57" s="13">
        <v>776</v>
      </c>
      <c r="I57" s="13">
        <v>1846</v>
      </c>
      <c r="J57" s="13">
        <v>0</v>
      </c>
      <c r="K57" s="13">
        <v>8128.5</v>
      </c>
      <c r="L57" s="13">
        <v>7296</v>
      </c>
      <c r="M57" s="13">
        <v>1362</v>
      </c>
      <c r="N57" s="13">
        <v>0</v>
      </c>
      <c r="O57" s="13">
        <v>832</v>
      </c>
      <c r="P57" s="27">
        <f t="shared" si="1"/>
        <v>28009.5</v>
      </c>
      <c r="Q57" s="27">
        <v>13400</v>
      </c>
      <c r="R57" s="27">
        <v>11218.5</v>
      </c>
      <c r="S57" s="28">
        <f t="shared" si="2"/>
        <v>3391</v>
      </c>
      <c r="T57" s="14"/>
    </row>
    <row r="58" spans="1:20" ht="18.75">
      <c r="A58" s="4" t="s">
        <v>21</v>
      </c>
      <c r="B58" s="10">
        <v>46079</v>
      </c>
      <c r="C58" s="13">
        <v>743</v>
      </c>
      <c r="D58" s="13">
        <v>1103</v>
      </c>
      <c r="E58" s="13">
        <v>0</v>
      </c>
      <c r="F58" s="13">
        <v>4376</v>
      </c>
      <c r="G58" s="13">
        <v>2180</v>
      </c>
      <c r="H58" s="13">
        <v>547</v>
      </c>
      <c r="I58" s="13">
        <v>3235</v>
      </c>
      <c r="J58" s="13">
        <v>0</v>
      </c>
      <c r="K58" s="13">
        <v>8362</v>
      </c>
      <c r="L58" s="13">
        <v>8095.8</v>
      </c>
      <c r="M58" s="13">
        <v>1032</v>
      </c>
      <c r="N58" s="13">
        <v>357</v>
      </c>
      <c r="O58" s="13">
        <v>917</v>
      </c>
      <c r="P58" s="27">
        <f t="shared" si="1"/>
        <v>30947.8</v>
      </c>
      <c r="Q58" s="27">
        <v>9689</v>
      </c>
      <c r="R58" s="27">
        <v>14714</v>
      </c>
      <c r="S58" s="28">
        <f t="shared" si="2"/>
        <v>6544.7999999999993</v>
      </c>
      <c r="T58" s="14"/>
    </row>
    <row r="59" spans="1:20" ht="18.75">
      <c r="A59" s="4" t="s">
        <v>22</v>
      </c>
      <c r="B59" s="10">
        <v>46080</v>
      </c>
      <c r="C59" s="13">
        <v>2442</v>
      </c>
      <c r="D59" s="13">
        <v>1893</v>
      </c>
      <c r="E59" s="13">
        <v>0</v>
      </c>
      <c r="F59" s="13">
        <v>4404</v>
      </c>
      <c r="G59" s="13">
        <v>3278</v>
      </c>
      <c r="H59" s="13">
        <v>800</v>
      </c>
      <c r="I59" s="13">
        <v>3152</v>
      </c>
      <c r="J59" s="13">
        <v>0</v>
      </c>
      <c r="K59" s="13">
        <v>10258</v>
      </c>
      <c r="L59" s="13">
        <v>8215.2999999999993</v>
      </c>
      <c r="M59" s="13">
        <v>427</v>
      </c>
      <c r="N59" s="13">
        <v>0</v>
      </c>
      <c r="O59" s="13">
        <v>84</v>
      </c>
      <c r="P59" s="27">
        <f t="shared" si="1"/>
        <v>34953.300000000003</v>
      </c>
      <c r="Q59" s="27">
        <v>8280</v>
      </c>
      <c r="R59" s="27">
        <v>25559.5</v>
      </c>
      <c r="S59" s="28">
        <f t="shared" si="2"/>
        <v>1113.8000000000029</v>
      </c>
      <c r="T59" s="14"/>
    </row>
    <row r="60" spans="1:20" ht="18.75">
      <c r="A60" s="4" t="s">
        <v>23</v>
      </c>
      <c r="B60" s="10">
        <v>46081</v>
      </c>
      <c r="C60" s="13">
        <v>2760</v>
      </c>
      <c r="D60" s="13">
        <v>1662</v>
      </c>
      <c r="E60" s="13">
        <v>0</v>
      </c>
      <c r="F60" s="13">
        <v>4071</v>
      </c>
      <c r="G60" s="13">
        <v>2782</v>
      </c>
      <c r="H60" s="13">
        <v>559</v>
      </c>
      <c r="I60" s="13">
        <v>2828</v>
      </c>
      <c r="J60" s="13">
        <v>0</v>
      </c>
      <c r="K60" s="13">
        <v>17467</v>
      </c>
      <c r="L60" s="13">
        <v>11336</v>
      </c>
      <c r="M60" s="13">
        <v>1369</v>
      </c>
      <c r="N60" s="13">
        <v>103.5</v>
      </c>
      <c r="O60" s="13">
        <v>1620</v>
      </c>
      <c r="P60" s="27">
        <f t="shared" si="1"/>
        <v>46557.5</v>
      </c>
      <c r="Q60" s="27">
        <v>17890</v>
      </c>
      <c r="R60" s="27">
        <v>27835</v>
      </c>
      <c r="S60" s="28">
        <f t="shared" si="2"/>
        <v>832.5</v>
      </c>
      <c r="T60" s="14"/>
    </row>
    <row r="61" spans="1:20" ht="18.75">
      <c r="A61" s="4" t="s">
        <v>17</v>
      </c>
      <c r="B61" s="10">
        <v>46082</v>
      </c>
      <c r="C61" s="13">
        <v>2156</v>
      </c>
      <c r="D61" s="13">
        <v>1766</v>
      </c>
      <c r="E61" s="13">
        <v>0</v>
      </c>
      <c r="F61" s="13">
        <v>3203</v>
      </c>
      <c r="G61" s="13">
        <v>2366</v>
      </c>
      <c r="H61" s="13">
        <v>339</v>
      </c>
      <c r="I61" s="13">
        <v>1164</v>
      </c>
      <c r="J61" s="13">
        <v>0</v>
      </c>
      <c r="K61" s="13">
        <v>27429.5</v>
      </c>
      <c r="L61" s="13">
        <v>14062.8</v>
      </c>
      <c r="M61" s="13">
        <v>727.5</v>
      </c>
      <c r="N61" s="13">
        <v>609</v>
      </c>
      <c r="O61" s="13">
        <v>2735</v>
      </c>
      <c r="P61" s="27">
        <f t="shared" si="1"/>
        <v>56557.8</v>
      </c>
      <c r="Q61" s="27">
        <v>12325</v>
      </c>
      <c r="R61" s="27">
        <v>21909</v>
      </c>
      <c r="S61" s="28">
        <f t="shared" si="2"/>
        <v>22323.800000000003</v>
      </c>
      <c r="T61" s="14"/>
    </row>
    <row r="62" spans="1:20" ht="18.75">
      <c r="A62" s="4" t="s">
        <v>18</v>
      </c>
      <c r="B62" s="10">
        <v>46083</v>
      </c>
      <c r="C62" s="13">
        <v>1230</v>
      </c>
      <c r="D62" s="13">
        <v>1233</v>
      </c>
      <c r="E62" s="13">
        <v>0</v>
      </c>
      <c r="F62" s="13">
        <v>3842</v>
      </c>
      <c r="G62" s="13">
        <v>2475</v>
      </c>
      <c r="H62" s="13">
        <v>1289</v>
      </c>
      <c r="I62" s="13">
        <v>1794</v>
      </c>
      <c r="J62" s="13">
        <v>0</v>
      </c>
      <c r="K62" s="13">
        <v>9038</v>
      </c>
      <c r="L62" s="13">
        <v>6554.5</v>
      </c>
      <c r="M62" s="13">
        <v>1015</v>
      </c>
      <c r="N62" s="13">
        <v>0</v>
      </c>
      <c r="O62" s="13">
        <v>155</v>
      </c>
      <c r="P62" s="27">
        <f t="shared" si="1"/>
        <v>28625.5</v>
      </c>
      <c r="Q62" s="27">
        <v>8531</v>
      </c>
      <c r="R62" s="27">
        <v>19279.5</v>
      </c>
      <c r="S62" s="28">
        <f t="shared" si="2"/>
        <v>815</v>
      </c>
      <c r="T62" s="14"/>
    </row>
    <row r="63" spans="1:20" ht="18.75">
      <c r="A63" s="4" t="s">
        <v>19</v>
      </c>
      <c r="B63" s="10">
        <v>46084</v>
      </c>
      <c r="C63" s="13">
        <v>2182</v>
      </c>
      <c r="D63" s="13">
        <v>1039</v>
      </c>
      <c r="E63" s="13">
        <v>0</v>
      </c>
      <c r="F63" s="13">
        <v>3573</v>
      </c>
      <c r="G63" s="13">
        <v>1539</v>
      </c>
      <c r="H63" s="13">
        <v>303</v>
      </c>
      <c r="I63" s="13">
        <v>2312</v>
      </c>
      <c r="J63" s="13">
        <v>0</v>
      </c>
      <c r="K63" s="13">
        <v>10927</v>
      </c>
      <c r="L63" s="13">
        <v>8242.35</v>
      </c>
      <c r="M63" s="13">
        <v>724.5</v>
      </c>
      <c r="N63" s="13">
        <v>0</v>
      </c>
      <c r="O63" s="13">
        <v>830</v>
      </c>
      <c r="P63" s="27">
        <f t="shared" si="1"/>
        <v>31671.85</v>
      </c>
      <c r="Q63" s="27">
        <v>9810</v>
      </c>
      <c r="R63" s="27">
        <v>19748</v>
      </c>
      <c r="S63" s="28">
        <f t="shared" si="2"/>
        <v>2113.8499999999985</v>
      </c>
      <c r="T63" s="14"/>
    </row>
    <row r="64" spans="1:20" ht="18.75">
      <c r="A64" s="4" t="s">
        <v>20</v>
      </c>
      <c r="B64" s="10">
        <v>46085</v>
      </c>
      <c r="C64" s="13">
        <v>1771</v>
      </c>
      <c r="D64" s="13">
        <v>1158</v>
      </c>
      <c r="E64" s="13">
        <v>0</v>
      </c>
      <c r="F64" s="13">
        <v>3955</v>
      </c>
      <c r="G64" s="13">
        <v>2596</v>
      </c>
      <c r="H64" s="13">
        <v>1250</v>
      </c>
      <c r="I64" s="13">
        <v>1540</v>
      </c>
      <c r="J64" s="13">
        <v>0</v>
      </c>
      <c r="K64" s="13">
        <v>6050.5</v>
      </c>
      <c r="L64" s="13">
        <v>9745.7000000000007</v>
      </c>
      <c r="M64" s="13">
        <v>883</v>
      </c>
      <c r="N64" s="13">
        <v>86.25</v>
      </c>
      <c r="O64" s="13">
        <v>208</v>
      </c>
      <c r="P64" s="27">
        <f t="shared" si="1"/>
        <v>29243.45</v>
      </c>
      <c r="Q64" s="27">
        <v>13064</v>
      </c>
      <c r="R64" s="27">
        <v>13737.5</v>
      </c>
      <c r="S64" s="28">
        <f t="shared" si="2"/>
        <v>2441.9500000000007</v>
      </c>
      <c r="T64" s="14"/>
    </row>
    <row r="65" spans="1:20" ht="18.75">
      <c r="A65" s="4" t="s">
        <v>21</v>
      </c>
      <c r="B65" s="10">
        <v>46086</v>
      </c>
      <c r="C65" s="13">
        <v>1780</v>
      </c>
      <c r="D65" s="13">
        <v>1108</v>
      </c>
      <c r="E65" s="13">
        <v>0</v>
      </c>
      <c r="F65" s="13">
        <v>4514</v>
      </c>
      <c r="G65" s="13">
        <v>1245</v>
      </c>
      <c r="H65" s="13">
        <v>682</v>
      </c>
      <c r="I65" s="13">
        <v>2244</v>
      </c>
      <c r="J65" s="13">
        <v>0</v>
      </c>
      <c r="K65" s="13">
        <v>7650.5</v>
      </c>
      <c r="L65" s="13">
        <v>10019.299999999999</v>
      </c>
      <c r="M65" s="13">
        <v>327</v>
      </c>
      <c r="N65" s="13">
        <v>105</v>
      </c>
      <c r="O65" s="13">
        <v>636</v>
      </c>
      <c r="P65" s="27">
        <f t="shared" si="1"/>
        <v>30310.799999999999</v>
      </c>
      <c r="Q65" s="27">
        <v>9872</v>
      </c>
      <c r="R65" s="27">
        <v>15892.5</v>
      </c>
      <c r="S65" s="28">
        <f t="shared" si="2"/>
        <v>4546.2999999999993</v>
      </c>
      <c r="T65" s="14"/>
    </row>
    <row r="66" spans="1:20" ht="18.75">
      <c r="A66" s="4" t="s">
        <v>22</v>
      </c>
      <c r="B66" s="10">
        <v>46087</v>
      </c>
      <c r="C66" s="13">
        <v>1557</v>
      </c>
      <c r="D66" s="13">
        <v>1819</v>
      </c>
      <c r="E66" s="13">
        <v>0</v>
      </c>
      <c r="F66" s="13">
        <v>5708</v>
      </c>
      <c r="G66" s="13">
        <v>2026</v>
      </c>
      <c r="H66" s="13">
        <v>592</v>
      </c>
      <c r="I66" s="13">
        <v>2561</v>
      </c>
      <c r="J66" s="13">
        <v>0</v>
      </c>
      <c r="K66" s="13">
        <v>11929</v>
      </c>
      <c r="L66" s="13">
        <v>11300.3</v>
      </c>
      <c r="M66" s="13">
        <v>1314.5</v>
      </c>
      <c r="N66" s="13">
        <v>333</v>
      </c>
      <c r="O66" s="13">
        <v>1116</v>
      </c>
      <c r="P66" s="27">
        <f t="shared" si="1"/>
        <v>40255.800000000003</v>
      </c>
      <c r="Q66" s="27">
        <v>16150</v>
      </c>
      <c r="R66" s="27">
        <v>16255</v>
      </c>
      <c r="S66" s="28">
        <f t="shared" si="2"/>
        <v>7850.8000000000029</v>
      </c>
      <c r="T66" s="14"/>
    </row>
    <row r="67" spans="1:20" ht="18.75">
      <c r="A67" s="4" t="s">
        <v>23</v>
      </c>
      <c r="B67" s="10">
        <v>46088</v>
      </c>
      <c r="C67" s="13">
        <v>2116</v>
      </c>
      <c r="D67" s="13">
        <v>2028</v>
      </c>
      <c r="E67" s="13">
        <v>0</v>
      </c>
      <c r="F67" s="13">
        <v>5808</v>
      </c>
      <c r="G67" s="13">
        <v>1798</v>
      </c>
      <c r="H67" s="13">
        <v>1211</v>
      </c>
      <c r="I67" s="13">
        <v>2301</v>
      </c>
      <c r="J67" s="13">
        <v>0</v>
      </c>
      <c r="K67" s="13">
        <v>13513</v>
      </c>
      <c r="L67" s="13">
        <v>11087.9</v>
      </c>
      <c r="M67" s="13">
        <v>1177</v>
      </c>
      <c r="N67" s="13">
        <v>222</v>
      </c>
      <c r="O67" s="13">
        <v>1185</v>
      </c>
      <c r="P67" s="27">
        <f t="shared" si="1"/>
        <v>42446.9</v>
      </c>
      <c r="Q67" s="27">
        <v>19573</v>
      </c>
      <c r="R67" s="27">
        <v>19975</v>
      </c>
      <c r="S67" s="28">
        <f t="shared" si="2"/>
        <v>2898.9000000000015</v>
      </c>
      <c r="T67" s="14"/>
    </row>
    <row r="68" spans="1:20" ht="18.75">
      <c r="A68" s="4" t="s">
        <v>17</v>
      </c>
      <c r="B68" s="10">
        <v>46089</v>
      </c>
      <c r="C68" s="13">
        <v>1878</v>
      </c>
      <c r="D68" s="13">
        <v>977</v>
      </c>
      <c r="E68" s="13">
        <v>0</v>
      </c>
      <c r="F68" s="13">
        <v>2984</v>
      </c>
      <c r="G68" s="13">
        <v>2253</v>
      </c>
      <c r="H68" s="13">
        <v>777</v>
      </c>
      <c r="I68" s="13">
        <v>3433</v>
      </c>
      <c r="J68" s="13">
        <v>0</v>
      </c>
      <c r="K68" s="13">
        <v>17198.5</v>
      </c>
      <c r="L68" s="13">
        <v>21180.349999999991</v>
      </c>
      <c r="M68" s="13">
        <v>1021</v>
      </c>
      <c r="N68" s="13">
        <v>863.25</v>
      </c>
      <c r="O68" s="13">
        <v>1747</v>
      </c>
      <c r="P68" s="27">
        <f t="shared" si="1"/>
        <v>54312.099999999991</v>
      </c>
      <c r="Q68" s="27">
        <v>16342</v>
      </c>
      <c r="R68" s="27">
        <v>19254</v>
      </c>
      <c r="S68" s="28">
        <f t="shared" si="2"/>
        <v>18716.099999999991</v>
      </c>
      <c r="T68" s="14"/>
    </row>
    <row r="69" spans="1:20" ht="18.75">
      <c r="A69" s="4" t="s">
        <v>18</v>
      </c>
      <c r="B69" s="10">
        <v>46090</v>
      </c>
      <c r="C69" s="13">
        <v>1385</v>
      </c>
      <c r="D69" s="13">
        <v>1975</v>
      </c>
      <c r="E69" s="13">
        <v>0</v>
      </c>
      <c r="F69" s="13">
        <v>5782</v>
      </c>
      <c r="G69" s="13">
        <v>1849</v>
      </c>
      <c r="H69" s="13">
        <v>997</v>
      </c>
      <c r="I69" s="13">
        <v>2189</v>
      </c>
      <c r="J69" s="13">
        <v>0</v>
      </c>
      <c r="K69" s="13">
        <v>10470.5</v>
      </c>
      <c r="L69" s="13">
        <v>9034.2999999999993</v>
      </c>
      <c r="M69" s="13">
        <v>1232</v>
      </c>
      <c r="N69" s="13">
        <v>720</v>
      </c>
      <c r="O69" s="13">
        <v>375.75</v>
      </c>
      <c r="P69" s="27">
        <f t="shared" si="1"/>
        <v>36009.550000000003</v>
      </c>
      <c r="Q69" s="27">
        <v>9606</v>
      </c>
      <c r="R69" s="27">
        <v>22389</v>
      </c>
      <c r="S69" s="28">
        <f t="shared" si="2"/>
        <v>4014.5500000000029</v>
      </c>
      <c r="T69" s="14"/>
    </row>
    <row r="70" spans="1:20" ht="18.75">
      <c r="A70" s="4" t="s">
        <v>19</v>
      </c>
      <c r="B70" s="10">
        <v>46091</v>
      </c>
      <c r="C70" s="13">
        <v>1680</v>
      </c>
      <c r="D70" s="13">
        <v>1281</v>
      </c>
      <c r="E70" s="13">
        <v>0</v>
      </c>
      <c r="F70" s="13">
        <v>3359</v>
      </c>
      <c r="G70" s="13">
        <v>2083</v>
      </c>
      <c r="H70" s="13">
        <v>323</v>
      </c>
      <c r="I70" s="13">
        <v>2564</v>
      </c>
      <c r="J70" s="13">
        <v>0</v>
      </c>
      <c r="K70" s="13">
        <v>11210</v>
      </c>
      <c r="L70" s="13">
        <v>8701</v>
      </c>
      <c r="M70" s="13">
        <v>1629.5</v>
      </c>
      <c r="N70" s="13">
        <v>210</v>
      </c>
      <c r="O70" s="13">
        <v>816</v>
      </c>
      <c r="P70" s="27">
        <f t="shared" si="1"/>
        <v>33856.5</v>
      </c>
      <c r="Q70" s="27">
        <v>14937</v>
      </c>
      <c r="R70" s="27">
        <v>14696.5</v>
      </c>
      <c r="S70" s="28">
        <f t="shared" si="2"/>
        <v>4223</v>
      </c>
      <c r="T70" s="14"/>
    </row>
    <row r="71" spans="1:20" ht="18.75">
      <c r="A71" s="4" t="s">
        <v>20</v>
      </c>
      <c r="B71" s="10">
        <v>46092</v>
      </c>
      <c r="C71" s="13">
        <v>1938</v>
      </c>
      <c r="D71" s="13">
        <v>1892</v>
      </c>
      <c r="E71" s="13">
        <v>0</v>
      </c>
      <c r="F71" s="13">
        <v>3989</v>
      </c>
      <c r="G71" s="13">
        <v>1449</v>
      </c>
      <c r="H71" s="13">
        <v>670</v>
      </c>
      <c r="I71" s="13">
        <v>2005</v>
      </c>
      <c r="J71" s="13">
        <v>0</v>
      </c>
      <c r="K71" s="13">
        <v>9370.5</v>
      </c>
      <c r="L71" s="13">
        <v>10532.9</v>
      </c>
      <c r="M71" s="13">
        <v>908</v>
      </c>
      <c r="N71" s="13">
        <v>463.5</v>
      </c>
      <c r="O71" s="13">
        <v>0</v>
      </c>
      <c r="P71" s="27">
        <f t="shared" si="1"/>
        <v>33217.9</v>
      </c>
      <c r="Q71" s="27">
        <v>13922</v>
      </c>
      <c r="R71" s="27">
        <v>13025</v>
      </c>
      <c r="S71" s="28">
        <f t="shared" si="2"/>
        <v>6270.9000000000015</v>
      </c>
      <c r="T71" s="14"/>
    </row>
    <row r="72" spans="1:20" ht="18.75">
      <c r="A72" s="4" t="s">
        <v>21</v>
      </c>
      <c r="B72" s="10">
        <v>46093</v>
      </c>
      <c r="C72" s="13">
        <v>1737</v>
      </c>
      <c r="D72" s="13">
        <v>689</v>
      </c>
      <c r="E72" s="13">
        <v>0</v>
      </c>
      <c r="F72" s="13">
        <v>4369</v>
      </c>
      <c r="G72" s="13">
        <v>2294</v>
      </c>
      <c r="H72" s="13">
        <v>1209</v>
      </c>
      <c r="I72" s="13">
        <v>1698</v>
      </c>
      <c r="J72" s="13">
        <v>0</v>
      </c>
      <c r="K72" s="13">
        <v>9240</v>
      </c>
      <c r="L72" s="13">
        <v>7258.1</v>
      </c>
      <c r="M72" s="13">
        <v>743</v>
      </c>
      <c r="N72" s="13">
        <v>305.25</v>
      </c>
      <c r="O72" s="13">
        <v>556</v>
      </c>
      <c r="P72" s="27">
        <f t="shared" si="1"/>
        <v>30098.35</v>
      </c>
      <c r="Q72" s="27">
        <v>9674</v>
      </c>
      <c r="R72" s="27">
        <v>17569.5</v>
      </c>
      <c r="S72" s="28">
        <f t="shared" si="2"/>
        <v>2854.8499999999985</v>
      </c>
      <c r="T72" s="14"/>
    </row>
    <row r="73" spans="1:20" ht="18.75">
      <c r="A73" s="4" t="s">
        <v>22</v>
      </c>
      <c r="B73" s="10">
        <v>46094</v>
      </c>
      <c r="C73" s="13">
        <v>1835</v>
      </c>
      <c r="D73" s="13">
        <v>2419</v>
      </c>
      <c r="E73" s="13">
        <v>0</v>
      </c>
      <c r="F73" s="13">
        <v>3343</v>
      </c>
      <c r="G73" s="13">
        <v>2629</v>
      </c>
      <c r="H73" s="13">
        <v>934</v>
      </c>
      <c r="I73" s="13">
        <v>3521</v>
      </c>
      <c r="J73" s="13">
        <v>0</v>
      </c>
      <c r="K73" s="13">
        <v>15808</v>
      </c>
      <c r="L73" s="13">
        <v>13230.7</v>
      </c>
      <c r="M73" s="13">
        <v>728</v>
      </c>
      <c r="N73" s="13">
        <v>103.5</v>
      </c>
      <c r="O73" s="13">
        <v>0</v>
      </c>
      <c r="P73" s="27">
        <f t="shared" si="1"/>
        <v>44551.199999999997</v>
      </c>
      <c r="Q73" s="27">
        <v>10597</v>
      </c>
      <c r="R73" s="27">
        <v>22769.5</v>
      </c>
      <c r="S73" s="28">
        <f t="shared" si="2"/>
        <v>11184.699999999997</v>
      </c>
      <c r="T73" s="14"/>
    </row>
    <row r="74" spans="1:20" ht="18.75">
      <c r="A74" s="4" t="s">
        <v>23</v>
      </c>
      <c r="B74" s="10">
        <v>46095</v>
      </c>
      <c r="C74" s="13">
        <v>3545</v>
      </c>
      <c r="D74" s="13">
        <v>3432</v>
      </c>
      <c r="E74" s="13">
        <v>0</v>
      </c>
      <c r="F74" s="13">
        <v>4525</v>
      </c>
      <c r="G74" s="13">
        <v>2636</v>
      </c>
      <c r="H74" s="13">
        <v>540</v>
      </c>
      <c r="I74" s="13">
        <v>2632</v>
      </c>
      <c r="J74" s="13">
        <v>0</v>
      </c>
      <c r="K74" s="13">
        <v>29682</v>
      </c>
      <c r="L74" s="13">
        <v>29746.5</v>
      </c>
      <c r="M74" s="13">
        <v>530</v>
      </c>
      <c r="N74" s="13">
        <v>276</v>
      </c>
      <c r="O74" s="13">
        <v>861</v>
      </c>
      <c r="P74" s="27">
        <f t="shared" si="1"/>
        <v>78405.5</v>
      </c>
      <c r="Q74" s="27">
        <v>22622</v>
      </c>
      <c r="R74" s="27">
        <v>34591.5</v>
      </c>
      <c r="S74" s="28">
        <f t="shared" si="2"/>
        <v>21192</v>
      </c>
      <c r="T74" s="14"/>
    </row>
    <row r="75" spans="1:20" ht="18.75">
      <c r="A75" s="4" t="s">
        <v>17</v>
      </c>
      <c r="B75" s="10">
        <v>46096</v>
      </c>
      <c r="C75" s="13">
        <v>2125</v>
      </c>
      <c r="D75" s="13">
        <v>1800</v>
      </c>
      <c r="E75" s="13">
        <v>0</v>
      </c>
      <c r="F75" s="13">
        <v>3371</v>
      </c>
      <c r="G75" s="13">
        <v>2913</v>
      </c>
      <c r="H75" s="13">
        <v>648</v>
      </c>
      <c r="I75" s="13">
        <v>1943</v>
      </c>
      <c r="J75" s="13">
        <v>0</v>
      </c>
      <c r="K75" s="13">
        <v>37416</v>
      </c>
      <c r="L75" s="13">
        <v>33489.300000000003</v>
      </c>
      <c r="M75" s="13">
        <v>2483</v>
      </c>
      <c r="N75" s="13">
        <v>502.25</v>
      </c>
      <c r="O75" s="13">
        <v>0</v>
      </c>
      <c r="P75" s="27">
        <f t="shared" si="1"/>
        <v>86690.55</v>
      </c>
      <c r="Q75" s="27">
        <v>16891</v>
      </c>
      <c r="R75" s="27">
        <v>36817</v>
      </c>
      <c r="S75" s="28">
        <f t="shared" si="2"/>
        <v>32982.550000000003</v>
      </c>
      <c r="T75" s="14"/>
    </row>
    <row r="76" spans="1:20" ht="18.75">
      <c r="A76" s="4" t="s">
        <v>18</v>
      </c>
      <c r="B76" s="10">
        <v>46097</v>
      </c>
      <c r="C76" s="13">
        <v>2187</v>
      </c>
      <c r="D76" s="13">
        <v>0</v>
      </c>
      <c r="E76" s="13">
        <v>0</v>
      </c>
      <c r="F76" s="13">
        <v>7886</v>
      </c>
      <c r="G76" s="13">
        <v>2340</v>
      </c>
      <c r="H76" s="13">
        <v>0</v>
      </c>
      <c r="I76" s="13">
        <v>0</v>
      </c>
      <c r="J76" s="13">
        <v>0</v>
      </c>
      <c r="K76" s="13">
        <v>29719.5</v>
      </c>
      <c r="L76" s="13">
        <v>30047.4</v>
      </c>
      <c r="M76" s="13">
        <v>1392</v>
      </c>
      <c r="N76" s="13">
        <v>848</v>
      </c>
      <c r="O76" s="13">
        <v>1740</v>
      </c>
      <c r="P76" s="27">
        <f t="shared" si="1"/>
        <v>76159.899999999994</v>
      </c>
      <c r="Q76" s="27">
        <v>14527</v>
      </c>
      <c r="R76" s="27">
        <v>39925.5</v>
      </c>
      <c r="S76" s="28">
        <f t="shared" si="2"/>
        <v>21707.399999999994</v>
      </c>
      <c r="T76" s="14"/>
    </row>
    <row r="77" spans="1:20" ht="18.75">
      <c r="A77" s="4" t="s">
        <v>19</v>
      </c>
      <c r="B77" s="10">
        <v>46098</v>
      </c>
      <c r="C77" s="13">
        <v>2323</v>
      </c>
      <c r="D77" s="13">
        <v>3997</v>
      </c>
      <c r="E77" s="13">
        <v>0</v>
      </c>
      <c r="F77" s="13">
        <v>1128</v>
      </c>
      <c r="G77" s="13">
        <v>3311</v>
      </c>
      <c r="H77" s="13">
        <v>739</v>
      </c>
      <c r="I77" s="13">
        <v>2225</v>
      </c>
      <c r="J77" s="13">
        <v>0</v>
      </c>
      <c r="K77" s="13">
        <v>8417</v>
      </c>
      <c r="L77" s="13">
        <v>10863</v>
      </c>
      <c r="M77" s="13">
        <v>821</v>
      </c>
      <c r="N77" s="13">
        <v>147</v>
      </c>
      <c r="O77" s="13">
        <v>877</v>
      </c>
      <c r="P77" s="27">
        <f t="shared" si="1"/>
        <v>34848</v>
      </c>
      <c r="Q77" s="27">
        <v>8952</v>
      </c>
      <c r="R77" s="27">
        <v>22279</v>
      </c>
      <c r="S77" s="28">
        <f t="shared" si="2"/>
        <v>3617</v>
      </c>
      <c r="T77" s="14"/>
    </row>
    <row r="78" spans="1:20" ht="18.75">
      <c r="A78" s="4" t="s">
        <v>20</v>
      </c>
      <c r="B78" s="10">
        <v>46099</v>
      </c>
      <c r="C78" s="13">
        <v>1485</v>
      </c>
      <c r="D78" s="13">
        <v>1849</v>
      </c>
      <c r="E78" s="13">
        <v>0</v>
      </c>
      <c r="F78" s="13">
        <v>5005</v>
      </c>
      <c r="G78" s="13">
        <v>1884</v>
      </c>
      <c r="H78" s="13">
        <v>801</v>
      </c>
      <c r="I78" s="13">
        <v>1415</v>
      </c>
      <c r="J78" s="13">
        <v>0</v>
      </c>
      <c r="K78" s="13">
        <v>9177.5</v>
      </c>
      <c r="L78" s="13">
        <v>5894.6</v>
      </c>
      <c r="M78" s="13">
        <v>1340</v>
      </c>
      <c r="N78" s="13">
        <v>461.5</v>
      </c>
      <c r="O78" s="13">
        <v>698</v>
      </c>
      <c r="P78" s="27">
        <f t="shared" si="1"/>
        <v>30010.6</v>
      </c>
      <c r="Q78" s="27">
        <v>13386</v>
      </c>
      <c r="R78" s="27">
        <v>15824.7</v>
      </c>
      <c r="S78" s="28">
        <f t="shared" si="2"/>
        <v>799.89999999999782</v>
      </c>
      <c r="T78" s="14"/>
    </row>
    <row r="79" spans="1:20" ht="18.75">
      <c r="A79" s="4" t="s">
        <v>21</v>
      </c>
      <c r="B79" s="10">
        <v>46100</v>
      </c>
      <c r="C79" s="13">
        <v>2222</v>
      </c>
      <c r="D79" s="13">
        <v>1121</v>
      </c>
      <c r="E79" s="13">
        <v>0</v>
      </c>
      <c r="F79" s="13">
        <v>3034</v>
      </c>
      <c r="G79" s="13">
        <v>2811</v>
      </c>
      <c r="H79" s="13">
        <v>863</v>
      </c>
      <c r="I79" s="13">
        <v>2058</v>
      </c>
      <c r="J79" s="13">
        <v>0</v>
      </c>
      <c r="K79" s="13">
        <v>11369</v>
      </c>
      <c r="L79" s="13">
        <v>8021.1</v>
      </c>
      <c r="M79" s="13">
        <v>1487</v>
      </c>
      <c r="N79" s="13">
        <v>0</v>
      </c>
      <c r="O79" s="13">
        <v>525</v>
      </c>
      <c r="P79" s="27">
        <f t="shared" si="1"/>
        <v>33511.1</v>
      </c>
      <c r="Q79" s="27">
        <v>9155</v>
      </c>
      <c r="R79" s="27">
        <v>20217</v>
      </c>
      <c r="S79" s="28">
        <f t="shared" si="2"/>
        <v>4139.0999999999985</v>
      </c>
      <c r="T79" s="14"/>
    </row>
    <row r="80" spans="1:20" ht="18.75">
      <c r="A80" s="4" t="s">
        <v>22</v>
      </c>
      <c r="B80" s="10">
        <v>46101</v>
      </c>
      <c r="C80" s="13">
        <v>1974</v>
      </c>
      <c r="D80" s="13">
        <v>1735</v>
      </c>
      <c r="E80" s="13">
        <v>0</v>
      </c>
      <c r="F80" s="13">
        <v>2548</v>
      </c>
      <c r="G80" s="13">
        <v>1878</v>
      </c>
      <c r="H80" s="13">
        <v>950</v>
      </c>
      <c r="I80" s="13">
        <v>3938</v>
      </c>
      <c r="J80" s="13">
        <v>0</v>
      </c>
      <c r="K80" s="13">
        <v>9543.5</v>
      </c>
      <c r="L80" s="13">
        <v>15005.25</v>
      </c>
      <c r="M80" s="13">
        <v>1301</v>
      </c>
      <c r="N80" s="13">
        <v>0</v>
      </c>
      <c r="O80" s="13">
        <v>882</v>
      </c>
      <c r="P80" s="27">
        <f t="shared" si="1"/>
        <v>39754.75</v>
      </c>
      <c r="Q80" s="27">
        <v>14936</v>
      </c>
      <c r="R80" s="27">
        <v>13708</v>
      </c>
      <c r="S80" s="28">
        <f t="shared" si="2"/>
        <v>11110.75</v>
      </c>
      <c r="T80" s="14"/>
    </row>
    <row r="81" spans="1:20" ht="18.75">
      <c r="A81" s="4" t="s">
        <v>23</v>
      </c>
      <c r="B81" s="10">
        <v>46102</v>
      </c>
      <c r="C81" s="13">
        <v>1879</v>
      </c>
      <c r="D81" s="13">
        <v>1269</v>
      </c>
      <c r="E81" s="13">
        <v>0</v>
      </c>
      <c r="F81" s="13">
        <v>3176</v>
      </c>
      <c r="G81" s="13">
        <v>2827</v>
      </c>
      <c r="H81" s="13">
        <v>865</v>
      </c>
      <c r="I81" s="13">
        <v>2382</v>
      </c>
      <c r="J81" s="13">
        <v>0</v>
      </c>
      <c r="K81" s="13">
        <v>17910</v>
      </c>
      <c r="L81" s="13">
        <v>16767.05</v>
      </c>
      <c r="M81" s="13">
        <v>1383</v>
      </c>
      <c r="N81" s="13">
        <v>0</v>
      </c>
      <c r="O81" s="13">
        <v>915</v>
      </c>
      <c r="P81" s="27">
        <f t="shared" si="1"/>
        <v>49373.05</v>
      </c>
      <c r="Q81" s="27">
        <v>14029</v>
      </c>
      <c r="R81" s="27">
        <v>21385.85</v>
      </c>
      <c r="S81" s="28">
        <f t="shared" si="2"/>
        <v>13958.200000000004</v>
      </c>
      <c r="T81" s="14"/>
    </row>
    <row r="82" spans="1:20" ht="18.75">
      <c r="A82" s="4" t="s">
        <v>17</v>
      </c>
      <c r="B82" s="10">
        <v>46103</v>
      </c>
      <c r="C82" s="13">
        <v>1611</v>
      </c>
      <c r="D82" s="13">
        <v>410</v>
      </c>
      <c r="E82" s="13">
        <v>0</v>
      </c>
      <c r="F82" s="13">
        <v>2208</v>
      </c>
      <c r="G82" s="13">
        <v>3007</v>
      </c>
      <c r="H82" s="13">
        <v>1104</v>
      </c>
      <c r="I82" s="13">
        <v>2419</v>
      </c>
      <c r="J82" s="13">
        <v>0</v>
      </c>
      <c r="K82" s="13">
        <v>22965</v>
      </c>
      <c r="L82" s="13">
        <v>21233.4</v>
      </c>
      <c r="M82" s="13">
        <v>1200.5</v>
      </c>
      <c r="N82" s="13">
        <v>850.25</v>
      </c>
      <c r="O82" s="13">
        <v>1068</v>
      </c>
      <c r="P82" s="27">
        <f t="shared" si="1"/>
        <v>58076.15</v>
      </c>
      <c r="Q82" s="27">
        <v>17920</v>
      </c>
      <c r="R82" s="27">
        <v>14956.5</v>
      </c>
      <c r="S82" s="28">
        <f t="shared" si="2"/>
        <v>25199.65</v>
      </c>
      <c r="T82" s="14"/>
    </row>
    <row r="83" spans="1:20" ht="18.75">
      <c r="A83" s="4" t="s">
        <v>18</v>
      </c>
      <c r="B83" s="10">
        <v>46104</v>
      </c>
      <c r="C83" s="13">
        <v>1692</v>
      </c>
      <c r="D83" s="13">
        <v>1845</v>
      </c>
      <c r="E83" s="13">
        <v>0</v>
      </c>
      <c r="F83" s="13">
        <v>4440</v>
      </c>
      <c r="G83" s="13">
        <v>864</v>
      </c>
      <c r="H83" s="13">
        <v>1132</v>
      </c>
      <c r="I83" s="13">
        <v>2941</v>
      </c>
      <c r="J83" s="13">
        <v>0</v>
      </c>
      <c r="K83" s="13">
        <v>17822.5</v>
      </c>
      <c r="L83" s="13">
        <v>9398.5</v>
      </c>
      <c r="M83" s="13">
        <v>1310</v>
      </c>
      <c r="N83" s="13">
        <v>393.5</v>
      </c>
      <c r="O83" s="13">
        <v>540</v>
      </c>
      <c r="P83" s="27">
        <f t="shared" si="1"/>
        <v>42378.5</v>
      </c>
      <c r="Q83" s="27">
        <v>12320</v>
      </c>
      <c r="R83" s="27">
        <v>20941.5</v>
      </c>
      <c r="S83" s="28">
        <f t="shared" si="2"/>
        <v>9117</v>
      </c>
      <c r="T83" s="14"/>
    </row>
    <row r="84" spans="1:20" ht="18.75">
      <c r="A84" s="4" t="s">
        <v>19</v>
      </c>
      <c r="B84" s="10">
        <v>46105</v>
      </c>
      <c r="C84" s="13">
        <v>2296</v>
      </c>
      <c r="D84" s="13">
        <v>1304</v>
      </c>
      <c r="E84" s="13">
        <v>0</v>
      </c>
      <c r="F84" s="13">
        <v>2950</v>
      </c>
      <c r="G84" s="13">
        <v>2077</v>
      </c>
      <c r="H84" s="13">
        <v>741</v>
      </c>
      <c r="I84" s="13">
        <v>1590</v>
      </c>
      <c r="J84" s="13">
        <v>0</v>
      </c>
      <c r="K84" s="13">
        <v>7953</v>
      </c>
      <c r="L84" s="13">
        <v>10899</v>
      </c>
      <c r="M84" s="13">
        <v>1121</v>
      </c>
      <c r="N84" s="13">
        <v>0</v>
      </c>
      <c r="O84" s="13">
        <v>366</v>
      </c>
      <c r="P84" s="27">
        <f t="shared" si="1"/>
        <v>31297</v>
      </c>
      <c r="Q84" s="27">
        <v>11193</v>
      </c>
      <c r="R84" s="27">
        <v>17173.599999999999</v>
      </c>
      <c r="S84" s="28">
        <f t="shared" si="2"/>
        <v>2930.4000000000015</v>
      </c>
      <c r="T84" s="14"/>
    </row>
    <row r="85" spans="1:20" ht="18.75">
      <c r="A85" s="4" t="s">
        <v>20</v>
      </c>
      <c r="B85" s="10">
        <v>46106</v>
      </c>
      <c r="C85" s="13">
        <v>1439</v>
      </c>
      <c r="D85" s="13">
        <v>1917</v>
      </c>
      <c r="E85" s="13">
        <v>0</v>
      </c>
      <c r="F85" s="13">
        <v>2927</v>
      </c>
      <c r="G85" s="13">
        <v>2025</v>
      </c>
      <c r="H85" s="13">
        <v>708</v>
      </c>
      <c r="I85" s="13">
        <v>2857</v>
      </c>
      <c r="J85" s="13">
        <v>0</v>
      </c>
      <c r="K85" s="13">
        <v>10855</v>
      </c>
      <c r="L85" s="13">
        <v>10478.5</v>
      </c>
      <c r="M85" s="13">
        <v>1259</v>
      </c>
      <c r="N85" s="13">
        <v>235</v>
      </c>
      <c r="O85" s="13">
        <v>139</v>
      </c>
      <c r="P85" s="27">
        <f t="shared" si="1"/>
        <v>34839.5</v>
      </c>
      <c r="Q85" s="27">
        <v>8940</v>
      </c>
      <c r="R85" s="27">
        <v>12226.98</v>
      </c>
      <c r="S85" s="28">
        <f t="shared" si="2"/>
        <v>13672.52</v>
      </c>
      <c r="T85" s="14"/>
    </row>
    <row r="86" spans="1:20" ht="18.75">
      <c r="A86" s="4" t="s">
        <v>21</v>
      </c>
      <c r="B86" s="10">
        <v>46107</v>
      </c>
      <c r="C86" s="13">
        <v>2096</v>
      </c>
      <c r="D86" s="13">
        <v>2449</v>
      </c>
      <c r="E86" s="13">
        <v>0</v>
      </c>
      <c r="F86" s="13">
        <v>6056</v>
      </c>
      <c r="G86" s="13">
        <v>1740</v>
      </c>
      <c r="H86" s="13">
        <v>1760</v>
      </c>
      <c r="I86" s="13">
        <v>3901</v>
      </c>
      <c r="J86" s="13">
        <v>0</v>
      </c>
      <c r="K86" s="13">
        <v>14399.5</v>
      </c>
      <c r="L86" s="13">
        <v>12683.6</v>
      </c>
      <c r="M86" s="13">
        <v>529.5</v>
      </c>
      <c r="N86" s="13">
        <v>135</v>
      </c>
      <c r="O86" s="13">
        <v>1248</v>
      </c>
      <c r="P86" s="27">
        <f t="shared" si="1"/>
        <v>46997.599999999999</v>
      </c>
      <c r="Q86" s="27">
        <v>14768</v>
      </c>
      <c r="R86" s="27">
        <v>33884.35</v>
      </c>
      <c r="S86" s="28">
        <f t="shared" si="2"/>
        <v>-1654.75</v>
      </c>
      <c r="T86" s="14"/>
    </row>
    <row r="87" spans="1:20" ht="18.75">
      <c r="A87" s="4" t="s">
        <v>22</v>
      </c>
      <c r="B87" s="10">
        <v>46108</v>
      </c>
      <c r="C87" s="13">
        <v>2569</v>
      </c>
      <c r="D87" s="13">
        <v>1880</v>
      </c>
      <c r="E87" s="13">
        <v>0</v>
      </c>
      <c r="F87" s="13">
        <v>4281</v>
      </c>
      <c r="G87" s="13">
        <v>2608</v>
      </c>
      <c r="H87" s="13">
        <v>989</v>
      </c>
      <c r="I87" s="13">
        <v>2529</v>
      </c>
      <c r="J87" s="13">
        <v>0</v>
      </c>
      <c r="K87" s="13">
        <v>11087.5</v>
      </c>
      <c r="L87" s="13">
        <v>9521.2000000000007</v>
      </c>
      <c r="M87" s="13">
        <v>1284</v>
      </c>
      <c r="N87" s="13">
        <v>103.5</v>
      </c>
      <c r="O87" s="13">
        <v>253</v>
      </c>
      <c r="P87" s="27">
        <f t="shared" si="1"/>
        <v>37105.199999999997</v>
      </c>
      <c r="Q87" s="27">
        <v>11946</v>
      </c>
      <c r="R87" s="27">
        <v>26681.15</v>
      </c>
      <c r="S87" s="28">
        <f t="shared" si="2"/>
        <v>-1521.9500000000044</v>
      </c>
      <c r="T87" s="14"/>
    </row>
    <row r="88" spans="1:20" ht="18.75">
      <c r="A88" s="4" t="s">
        <v>23</v>
      </c>
      <c r="B88" s="10">
        <v>46109</v>
      </c>
      <c r="C88" s="13">
        <v>2479</v>
      </c>
      <c r="D88" s="13">
        <v>2591</v>
      </c>
      <c r="E88" s="13">
        <v>0</v>
      </c>
      <c r="F88" s="13">
        <v>5029</v>
      </c>
      <c r="G88" s="13">
        <v>2822</v>
      </c>
      <c r="H88" s="13">
        <v>826</v>
      </c>
      <c r="I88" s="13">
        <v>2965</v>
      </c>
      <c r="J88" s="13">
        <v>0</v>
      </c>
      <c r="K88" s="13">
        <v>25826.5</v>
      </c>
      <c r="L88" s="13">
        <v>24573.75</v>
      </c>
      <c r="M88" s="13">
        <v>1355</v>
      </c>
      <c r="N88" s="13">
        <v>345</v>
      </c>
      <c r="O88" s="13">
        <v>2080</v>
      </c>
      <c r="P88" s="27">
        <f t="shared" si="1"/>
        <v>70892.25</v>
      </c>
      <c r="Q88" s="27">
        <v>15706</v>
      </c>
      <c r="R88" s="27">
        <v>39992.85</v>
      </c>
      <c r="S88" s="28">
        <f t="shared" si="2"/>
        <v>15193.400000000001</v>
      </c>
      <c r="T88" s="14"/>
    </row>
    <row r="89" spans="1:20" ht="18.75">
      <c r="A89" s="4" t="s">
        <v>17</v>
      </c>
      <c r="B89" s="10">
        <v>46110</v>
      </c>
      <c r="C89" s="13">
        <v>2106</v>
      </c>
      <c r="D89" s="13">
        <v>1366</v>
      </c>
      <c r="E89" s="13">
        <v>0</v>
      </c>
      <c r="F89" s="13">
        <v>6259</v>
      </c>
      <c r="G89" s="13">
        <v>1793</v>
      </c>
      <c r="H89" s="13">
        <v>404</v>
      </c>
      <c r="I89" s="13">
        <v>2867</v>
      </c>
      <c r="J89" s="13">
        <v>0</v>
      </c>
      <c r="K89" s="13">
        <v>33370</v>
      </c>
      <c r="L89" s="13">
        <v>38093.699999999997</v>
      </c>
      <c r="M89" s="13">
        <v>1550</v>
      </c>
      <c r="N89" s="13">
        <v>683.25</v>
      </c>
      <c r="O89" s="13">
        <v>1306</v>
      </c>
      <c r="P89" s="27">
        <f t="shared" si="1"/>
        <v>89797.95</v>
      </c>
      <c r="Q89" s="27">
        <v>24228</v>
      </c>
      <c r="R89" s="27">
        <v>38309.5</v>
      </c>
      <c r="S89" s="28">
        <f t="shared" si="2"/>
        <v>27260.449999999997</v>
      </c>
      <c r="T89" s="14"/>
    </row>
    <row r="90" spans="1:20" ht="18.75">
      <c r="A90" s="4" t="s">
        <v>18</v>
      </c>
      <c r="B90" s="10">
        <v>46111</v>
      </c>
      <c r="C90" s="13">
        <v>1694</v>
      </c>
      <c r="D90" s="13">
        <v>2202</v>
      </c>
      <c r="E90" s="13">
        <v>0</v>
      </c>
      <c r="F90" s="13">
        <v>4498</v>
      </c>
      <c r="G90" s="13">
        <v>1492</v>
      </c>
      <c r="H90" s="13">
        <v>1223</v>
      </c>
      <c r="I90" s="13">
        <v>2312</v>
      </c>
      <c r="J90" s="13">
        <v>0</v>
      </c>
      <c r="K90" s="13">
        <v>29660</v>
      </c>
      <c r="L90" s="13">
        <v>16299.1</v>
      </c>
      <c r="M90" s="13">
        <v>1127.5</v>
      </c>
      <c r="N90" s="13">
        <v>125</v>
      </c>
      <c r="O90" s="13">
        <v>555</v>
      </c>
      <c r="P90" s="27">
        <f t="shared" si="1"/>
        <v>61187.6</v>
      </c>
      <c r="Q90" s="27">
        <v>19497</v>
      </c>
      <c r="R90" s="27">
        <v>29420</v>
      </c>
      <c r="S90" s="28">
        <f t="shared" si="2"/>
        <v>12270.599999999999</v>
      </c>
      <c r="T90" s="14"/>
    </row>
    <row r="91" spans="1:20" ht="18.75">
      <c r="A91" s="4" t="s">
        <v>19</v>
      </c>
      <c r="B91" s="10">
        <v>46112</v>
      </c>
      <c r="C91" s="13">
        <v>2085</v>
      </c>
      <c r="D91" s="13">
        <v>1344</v>
      </c>
      <c r="E91" s="13">
        <v>0</v>
      </c>
      <c r="F91" s="13">
        <v>6454</v>
      </c>
      <c r="G91" s="13">
        <v>2130</v>
      </c>
      <c r="H91" s="13">
        <v>1421</v>
      </c>
      <c r="I91" s="13">
        <v>3427</v>
      </c>
      <c r="J91" s="13">
        <v>0</v>
      </c>
      <c r="K91" s="13">
        <v>21092</v>
      </c>
      <c r="L91" s="13">
        <v>25470.15</v>
      </c>
      <c r="M91" s="13">
        <v>1417</v>
      </c>
      <c r="N91" s="13">
        <v>0</v>
      </c>
      <c r="O91" s="13">
        <v>684</v>
      </c>
      <c r="P91" s="27">
        <f t="shared" si="1"/>
        <v>65524.15</v>
      </c>
      <c r="Q91" s="27">
        <v>17737</v>
      </c>
      <c r="R91" s="27">
        <v>19344</v>
      </c>
      <c r="S91" s="28">
        <f t="shared" si="2"/>
        <v>28443.15</v>
      </c>
      <c r="T91" s="14"/>
    </row>
    <row r="92" spans="1:20" ht="18.75">
      <c r="A92" s="4" t="s">
        <v>20</v>
      </c>
      <c r="B92" s="10">
        <v>46113</v>
      </c>
      <c r="C92" s="13">
        <v>1680</v>
      </c>
      <c r="D92" s="13">
        <v>1561</v>
      </c>
      <c r="E92" s="13">
        <v>0</v>
      </c>
      <c r="F92" s="13">
        <v>4821</v>
      </c>
      <c r="G92" s="13">
        <v>1924</v>
      </c>
      <c r="H92" s="13">
        <v>1196</v>
      </c>
      <c r="I92" s="13">
        <v>2466</v>
      </c>
      <c r="J92" s="13">
        <v>0</v>
      </c>
      <c r="K92" s="13">
        <v>30474</v>
      </c>
      <c r="L92" s="13">
        <v>27618.55</v>
      </c>
      <c r="M92" s="13">
        <v>769</v>
      </c>
      <c r="N92" s="13">
        <v>0</v>
      </c>
      <c r="O92" s="13">
        <v>806</v>
      </c>
      <c r="P92" s="27">
        <f t="shared" si="1"/>
        <v>73315.55</v>
      </c>
      <c r="Q92" s="27">
        <v>25674</v>
      </c>
      <c r="R92" s="27">
        <v>26318.5</v>
      </c>
      <c r="S92" s="28">
        <f t="shared" si="2"/>
        <v>21323.050000000003</v>
      </c>
      <c r="T92" s="14"/>
    </row>
    <row r="93" spans="1:20" ht="18.75">
      <c r="A93" s="4" t="s">
        <v>21</v>
      </c>
      <c r="B93" s="10">
        <v>46114</v>
      </c>
      <c r="C93" s="13">
        <v>2881</v>
      </c>
      <c r="D93" s="13">
        <v>3940</v>
      </c>
      <c r="E93" s="13">
        <v>0</v>
      </c>
      <c r="F93" s="13">
        <v>7878</v>
      </c>
      <c r="G93" s="13">
        <v>3565</v>
      </c>
      <c r="H93" s="13">
        <v>814</v>
      </c>
      <c r="I93" s="13">
        <v>2578</v>
      </c>
      <c r="J93" s="13">
        <v>0</v>
      </c>
      <c r="K93" s="13">
        <v>38475</v>
      </c>
      <c r="L93" s="13">
        <v>24786.6</v>
      </c>
      <c r="M93" s="13">
        <v>1965</v>
      </c>
      <c r="N93" s="13">
        <v>0</v>
      </c>
      <c r="O93" s="13">
        <v>345</v>
      </c>
      <c r="P93" s="27">
        <f t="shared" si="1"/>
        <v>87227.6</v>
      </c>
      <c r="Q93" s="27">
        <v>18029</v>
      </c>
      <c r="R93" s="27">
        <v>48032</v>
      </c>
      <c r="S93" s="28">
        <f t="shared" si="2"/>
        <v>21166.600000000006</v>
      </c>
      <c r="T93" s="14"/>
    </row>
    <row r="94" spans="1:20" ht="18.75">
      <c r="A94" s="4" t="s">
        <v>22</v>
      </c>
      <c r="B94" s="10">
        <v>46115</v>
      </c>
      <c r="C94" s="13">
        <v>2642</v>
      </c>
      <c r="D94" s="13">
        <v>3223</v>
      </c>
      <c r="E94" s="13">
        <v>0</v>
      </c>
      <c r="F94" s="13">
        <v>5184</v>
      </c>
      <c r="G94" s="13">
        <v>3241</v>
      </c>
      <c r="H94" s="13">
        <v>2527</v>
      </c>
      <c r="I94" s="13">
        <v>4044</v>
      </c>
      <c r="J94" s="13">
        <v>0</v>
      </c>
      <c r="K94" s="13">
        <v>54726</v>
      </c>
      <c r="L94" s="13">
        <v>33393.099999999991</v>
      </c>
      <c r="M94" s="13">
        <v>397</v>
      </c>
      <c r="N94" s="13">
        <v>270</v>
      </c>
      <c r="O94" s="13">
        <v>724</v>
      </c>
      <c r="P94" s="27">
        <f t="shared" si="1"/>
        <v>110371.09999999999</v>
      </c>
      <c r="Q94" s="27">
        <v>24278</v>
      </c>
      <c r="R94" s="27">
        <v>41713.5</v>
      </c>
      <c r="S94" s="28">
        <f t="shared" si="2"/>
        <v>44379.599999999991</v>
      </c>
      <c r="T94" s="14"/>
    </row>
    <row r="95" spans="1:20" ht="18.75">
      <c r="A95" s="4" t="s">
        <v>23</v>
      </c>
      <c r="B95" s="10">
        <v>46116</v>
      </c>
      <c r="C95" s="13">
        <v>4647</v>
      </c>
      <c r="D95" s="13">
        <v>2732</v>
      </c>
      <c r="E95" s="13">
        <v>0</v>
      </c>
      <c r="F95" s="13">
        <v>11040</v>
      </c>
      <c r="G95" s="13">
        <v>3310</v>
      </c>
      <c r="H95" s="13">
        <v>2536</v>
      </c>
      <c r="I95" s="13">
        <v>3504</v>
      </c>
      <c r="J95" s="13">
        <v>0</v>
      </c>
      <c r="K95" s="13">
        <v>65499.5</v>
      </c>
      <c r="L95" s="13">
        <v>48734.400000000001</v>
      </c>
      <c r="M95" s="13">
        <v>1962</v>
      </c>
      <c r="N95" s="13">
        <v>0</v>
      </c>
      <c r="O95" s="13">
        <v>390</v>
      </c>
      <c r="P95" s="27">
        <f t="shared" si="1"/>
        <v>144354.9</v>
      </c>
      <c r="Q95" s="27">
        <v>24020</v>
      </c>
      <c r="R95" s="27">
        <v>49083.5</v>
      </c>
      <c r="S95" s="28">
        <f t="shared" si="2"/>
        <v>71251.399999999994</v>
      </c>
      <c r="T95" s="14"/>
    </row>
    <row r="96" spans="1:20" ht="18.75">
      <c r="A96" s="4" t="s">
        <v>17</v>
      </c>
      <c r="B96" s="10">
        <v>46117</v>
      </c>
      <c r="C96" s="13">
        <v>2002</v>
      </c>
      <c r="D96" s="13">
        <v>2930</v>
      </c>
      <c r="E96" s="13">
        <v>0</v>
      </c>
      <c r="F96" s="13">
        <v>13100</v>
      </c>
      <c r="G96" s="13">
        <v>3113</v>
      </c>
      <c r="H96" s="13">
        <v>1867</v>
      </c>
      <c r="I96" s="13">
        <v>2286</v>
      </c>
      <c r="J96" s="13">
        <v>0</v>
      </c>
      <c r="K96" s="13">
        <v>49973</v>
      </c>
      <c r="L96" s="13">
        <v>40339.1</v>
      </c>
      <c r="M96" s="13">
        <v>1503</v>
      </c>
      <c r="N96" s="13">
        <v>0</v>
      </c>
      <c r="O96" s="13">
        <v>1171</v>
      </c>
      <c r="P96" s="27">
        <f t="shared" si="1"/>
        <v>118284.1</v>
      </c>
      <c r="Q96" s="27">
        <v>31500</v>
      </c>
      <c r="R96" s="27">
        <v>50385</v>
      </c>
      <c r="S96" s="28">
        <f t="shared" si="2"/>
        <v>36399.100000000006</v>
      </c>
      <c r="T96" s="14"/>
    </row>
    <row r="97" spans="1:20" ht="18.75">
      <c r="A97" s="4" t="s">
        <v>18</v>
      </c>
      <c r="B97" s="10">
        <v>46118</v>
      </c>
      <c r="C97" s="13">
        <v>2747</v>
      </c>
      <c r="D97" s="13">
        <v>2669</v>
      </c>
      <c r="E97" s="13">
        <v>0</v>
      </c>
      <c r="F97" s="13">
        <v>8526</v>
      </c>
      <c r="G97" s="13">
        <v>1729</v>
      </c>
      <c r="H97" s="13">
        <v>1243</v>
      </c>
      <c r="I97" s="13">
        <v>2706</v>
      </c>
      <c r="J97" s="13">
        <v>0</v>
      </c>
      <c r="K97" s="13">
        <v>38013.5</v>
      </c>
      <c r="L97" s="13">
        <v>27673.5</v>
      </c>
      <c r="M97" s="13">
        <v>692</v>
      </c>
      <c r="N97" s="13">
        <v>293</v>
      </c>
      <c r="O97" s="13">
        <v>388</v>
      </c>
      <c r="P97" s="27">
        <f t="shared" si="1"/>
        <v>86680</v>
      </c>
      <c r="Q97" s="27">
        <v>16650</v>
      </c>
      <c r="R97" s="27">
        <v>51857</v>
      </c>
      <c r="S97" s="28">
        <f t="shared" si="2"/>
        <v>18173</v>
      </c>
      <c r="T97" s="14"/>
    </row>
    <row r="98" spans="1:20" ht="18.75">
      <c r="A98" s="4" t="s">
        <v>19</v>
      </c>
      <c r="B98" s="10">
        <v>46119</v>
      </c>
      <c r="C98" s="13">
        <v>2375</v>
      </c>
      <c r="D98" s="13">
        <v>1461</v>
      </c>
      <c r="E98" s="13">
        <v>0</v>
      </c>
      <c r="F98" s="13">
        <v>5733</v>
      </c>
      <c r="G98" s="13">
        <v>852</v>
      </c>
      <c r="H98" s="13">
        <v>604</v>
      </c>
      <c r="I98" s="13">
        <v>2511</v>
      </c>
      <c r="J98" s="13">
        <v>0</v>
      </c>
      <c r="K98" s="13">
        <v>27431</v>
      </c>
      <c r="L98" s="13">
        <v>23150.6</v>
      </c>
      <c r="M98" s="13">
        <v>742</v>
      </c>
      <c r="N98" s="13">
        <v>313</v>
      </c>
      <c r="O98" s="13">
        <v>754</v>
      </c>
      <c r="P98" s="27">
        <f t="shared" si="1"/>
        <v>65926.600000000006</v>
      </c>
      <c r="Q98" s="27">
        <v>16417</v>
      </c>
      <c r="R98" s="27">
        <v>22516.59</v>
      </c>
      <c r="S98" s="28">
        <f t="shared" si="2"/>
        <v>26993.010000000006</v>
      </c>
      <c r="T98" s="14"/>
    </row>
    <row r="99" spans="1:20" ht="18.75">
      <c r="A99" s="4" t="s">
        <v>20</v>
      </c>
      <c r="B99" s="10">
        <v>46120</v>
      </c>
      <c r="C99" s="13">
        <v>1397</v>
      </c>
      <c r="D99" s="13">
        <v>2331</v>
      </c>
      <c r="E99" s="13">
        <v>0</v>
      </c>
      <c r="F99" s="13">
        <v>7788</v>
      </c>
      <c r="G99" s="13">
        <v>1131</v>
      </c>
      <c r="H99" s="13">
        <v>593</v>
      </c>
      <c r="I99" s="13">
        <v>1177</v>
      </c>
      <c r="J99" s="13">
        <v>0</v>
      </c>
      <c r="K99" s="13">
        <v>29064</v>
      </c>
      <c r="L99" s="13">
        <v>28720.3</v>
      </c>
      <c r="M99" s="13">
        <v>2954</v>
      </c>
      <c r="N99" s="13">
        <v>415</v>
      </c>
      <c r="O99" s="13">
        <v>85</v>
      </c>
      <c r="P99" s="27">
        <f t="shared" si="1"/>
        <v>75655.3</v>
      </c>
      <c r="Q99" s="27">
        <v>16195</v>
      </c>
      <c r="R99" s="27">
        <v>27677.17</v>
      </c>
      <c r="S99" s="28">
        <f t="shared" si="2"/>
        <v>31783.130000000005</v>
      </c>
      <c r="T99" s="14"/>
    </row>
    <row r="100" spans="1:20" ht="18.75">
      <c r="A100" s="4" t="s">
        <v>21</v>
      </c>
      <c r="B100" s="10">
        <v>46121</v>
      </c>
      <c r="C100" s="13">
        <v>2478</v>
      </c>
      <c r="D100" s="13">
        <v>1723</v>
      </c>
      <c r="E100" s="13">
        <v>0</v>
      </c>
      <c r="F100" s="13">
        <v>5125</v>
      </c>
      <c r="G100" s="13">
        <v>2583</v>
      </c>
      <c r="H100" s="13">
        <v>1334</v>
      </c>
      <c r="I100" s="13">
        <v>2361</v>
      </c>
      <c r="J100" s="13">
        <v>0</v>
      </c>
      <c r="K100" s="13">
        <v>31558</v>
      </c>
      <c r="L100" s="13">
        <v>26605.5</v>
      </c>
      <c r="M100" s="13">
        <v>1070</v>
      </c>
      <c r="N100" s="13">
        <v>0</v>
      </c>
      <c r="O100" s="13">
        <v>180</v>
      </c>
      <c r="P100" s="27">
        <f t="shared" si="1"/>
        <v>75017.5</v>
      </c>
      <c r="Q100" s="27">
        <v>20680</v>
      </c>
      <c r="R100" s="27">
        <v>23032.5</v>
      </c>
      <c r="S100" s="28">
        <f t="shared" si="2"/>
        <v>31305</v>
      </c>
      <c r="T100" s="14"/>
    </row>
    <row r="101" spans="1:20" ht="18.75">
      <c r="A101" s="4" t="s">
        <v>22</v>
      </c>
      <c r="B101" s="10">
        <v>46122</v>
      </c>
      <c r="C101" s="13">
        <v>1834</v>
      </c>
      <c r="D101" s="13">
        <v>2135</v>
      </c>
      <c r="E101" s="13">
        <v>0</v>
      </c>
      <c r="F101" s="13">
        <v>5567</v>
      </c>
      <c r="G101" s="13">
        <v>1849</v>
      </c>
      <c r="H101" s="13">
        <v>1115</v>
      </c>
      <c r="I101" s="13">
        <v>2943</v>
      </c>
      <c r="J101" s="13">
        <v>0</v>
      </c>
      <c r="K101" s="13">
        <v>27418</v>
      </c>
      <c r="L101" s="13">
        <v>28716.5</v>
      </c>
      <c r="M101" s="13">
        <v>1110</v>
      </c>
      <c r="N101" s="13">
        <v>135</v>
      </c>
      <c r="O101" s="13">
        <v>0</v>
      </c>
      <c r="P101" s="27">
        <f t="shared" si="1"/>
        <v>72822.5</v>
      </c>
      <c r="Q101" s="27">
        <v>15632</v>
      </c>
      <c r="R101" s="27">
        <v>28544</v>
      </c>
      <c r="S101" s="28">
        <f t="shared" si="2"/>
        <v>28646.5</v>
      </c>
      <c r="T101" s="14"/>
    </row>
    <row r="102" spans="1:20" ht="18.75">
      <c r="A102" s="4" t="s">
        <v>23</v>
      </c>
      <c r="B102" s="10">
        <v>46123</v>
      </c>
      <c r="C102" s="13">
        <v>2560</v>
      </c>
      <c r="D102" s="13">
        <v>3326</v>
      </c>
      <c r="E102" s="13">
        <v>0</v>
      </c>
      <c r="F102" s="13">
        <v>4266</v>
      </c>
      <c r="G102" s="13">
        <v>2196</v>
      </c>
      <c r="H102" s="13">
        <v>1429</v>
      </c>
      <c r="I102" s="13">
        <v>2772</v>
      </c>
      <c r="J102" s="13">
        <v>0</v>
      </c>
      <c r="K102" s="13">
        <v>38138</v>
      </c>
      <c r="L102" s="13">
        <v>36799.5</v>
      </c>
      <c r="M102" s="13">
        <v>1544</v>
      </c>
      <c r="N102" s="13">
        <v>538</v>
      </c>
      <c r="O102" s="13">
        <v>833</v>
      </c>
      <c r="P102" s="27">
        <f t="shared" si="1"/>
        <v>94401.5</v>
      </c>
      <c r="Q102" s="27">
        <v>22724</v>
      </c>
      <c r="R102" s="27">
        <v>31583.5</v>
      </c>
      <c r="S102" s="28">
        <f t="shared" si="2"/>
        <v>40094</v>
      </c>
      <c r="T102" s="14"/>
    </row>
    <row r="103" spans="1:20" ht="18.75">
      <c r="A103" s="4" t="s">
        <v>17</v>
      </c>
      <c r="B103" s="10">
        <v>46124</v>
      </c>
      <c r="C103" s="13">
        <v>1278</v>
      </c>
      <c r="D103" s="13">
        <v>1714</v>
      </c>
      <c r="E103" s="13">
        <v>0</v>
      </c>
      <c r="F103" s="13">
        <v>6842</v>
      </c>
      <c r="G103" s="13">
        <v>2708</v>
      </c>
      <c r="H103" s="13">
        <v>716</v>
      </c>
      <c r="I103" s="13">
        <v>2771</v>
      </c>
      <c r="J103" s="13">
        <v>0</v>
      </c>
      <c r="K103" s="13">
        <v>26691.5</v>
      </c>
      <c r="L103" s="13">
        <v>32717.300000000003</v>
      </c>
      <c r="M103" s="13">
        <v>985</v>
      </c>
      <c r="N103" s="13">
        <v>414</v>
      </c>
      <c r="O103" s="13">
        <v>1617</v>
      </c>
      <c r="P103" s="27">
        <f t="shared" si="1"/>
        <v>78453.8</v>
      </c>
      <c r="Q103" s="27">
        <v>24540</v>
      </c>
      <c r="R103" s="27">
        <v>21603.5</v>
      </c>
      <c r="S103" s="28">
        <f t="shared" si="2"/>
        <v>32310.300000000003</v>
      </c>
      <c r="T103" s="14"/>
    </row>
    <row r="104" spans="1:20" ht="18.75">
      <c r="A104" s="4" t="s">
        <v>18</v>
      </c>
      <c r="B104" s="10">
        <v>46125</v>
      </c>
      <c r="C104" s="13">
        <v>1816</v>
      </c>
      <c r="D104" s="13">
        <v>2531</v>
      </c>
      <c r="E104" s="13">
        <v>0</v>
      </c>
      <c r="F104" s="13">
        <v>4426</v>
      </c>
      <c r="G104" s="13">
        <v>1481</v>
      </c>
      <c r="H104" s="13">
        <v>1291</v>
      </c>
      <c r="I104" s="13">
        <v>1644</v>
      </c>
      <c r="J104" s="13">
        <v>0</v>
      </c>
      <c r="K104" s="13">
        <v>13334</v>
      </c>
      <c r="L104" s="13">
        <v>10093.4</v>
      </c>
      <c r="M104" s="13">
        <v>1397</v>
      </c>
      <c r="N104" s="13">
        <v>535.5</v>
      </c>
      <c r="O104" s="13">
        <v>706</v>
      </c>
      <c r="P104" s="27">
        <f t="shared" si="1"/>
        <v>39254.9</v>
      </c>
      <c r="Q104" s="27">
        <v>14065</v>
      </c>
      <c r="R104" s="27">
        <v>17672.5</v>
      </c>
      <c r="S104" s="28">
        <f t="shared" si="2"/>
        <v>7517.4000000000015</v>
      </c>
      <c r="T104" s="14"/>
    </row>
    <row r="105" spans="1:20" ht="18.75">
      <c r="A105" s="4" t="s">
        <v>19</v>
      </c>
      <c r="B105" s="10">
        <v>46126</v>
      </c>
      <c r="C105" s="13">
        <v>2243</v>
      </c>
      <c r="D105" s="13">
        <v>1957</v>
      </c>
      <c r="E105" s="13">
        <v>0</v>
      </c>
      <c r="F105" s="13">
        <v>3876</v>
      </c>
      <c r="G105" s="13">
        <v>1908</v>
      </c>
      <c r="H105" s="13">
        <v>549</v>
      </c>
      <c r="I105" s="13">
        <v>1716</v>
      </c>
      <c r="J105" s="13">
        <v>0</v>
      </c>
      <c r="K105" s="13">
        <v>8771.5</v>
      </c>
      <c r="L105" s="13">
        <v>10762.8</v>
      </c>
      <c r="M105" s="13">
        <v>2007</v>
      </c>
      <c r="N105" s="13">
        <v>134.75</v>
      </c>
      <c r="O105" s="13">
        <v>200</v>
      </c>
      <c r="P105" s="27">
        <f t="shared" si="1"/>
        <v>34125.050000000003</v>
      </c>
      <c r="Q105" s="27">
        <v>15385</v>
      </c>
      <c r="R105" s="27">
        <v>16131</v>
      </c>
      <c r="S105" s="28">
        <f t="shared" si="2"/>
        <v>2609.0500000000029</v>
      </c>
      <c r="T105" s="14"/>
    </row>
    <row r="106" spans="1:20" ht="18.75">
      <c r="A106" s="4" t="s">
        <v>20</v>
      </c>
      <c r="B106" s="10">
        <v>46127</v>
      </c>
      <c r="C106" s="13">
        <v>2138</v>
      </c>
      <c r="D106" s="13">
        <v>1645</v>
      </c>
      <c r="E106" s="13">
        <v>0</v>
      </c>
      <c r="F106" s="13">
        <v>3916</v>
      </c>
      <c r="G106" s="13">
        <v>1274</v>
      </c>
      <c r="H106" s="13">
        <v>412</v>
      </c>
      <c r="I106" s="13">
        <v>1639</v>
      </c>
      <c r="J106" s="13">
        <v>0</v>
      </c>
      <c r="K106" s="13">
        <v>12353</v>
      </c>
      <c r="L106" s="13">
        <v>8408.7999999999993</v>
      </c>
      <c r="M106" s="13">
        <v>1685</v>
      </c>
      <c r="N106" s="13">
        <v>112.5</v>
      </c>
      <c r="O106" s="13">
        <v>130</v>
      </c>
      <c r="P106" s="27">
        <f t="shared" si="1"/>
        <v>33713.300000000003</v>
      </c>
      <c r="Q106" s="27">
        <v>10415</v>
      </c>
      <c r="R106" s="27">
        <v>19610</v>
      </c>
      <c r="S106" s="28">
        <f t="shared" si="2"/>
        <v>3688.3000000000029</v>
      </c>
      <c r="T106" s="14"/>
    </row>
    <row r="107" spans="1:20" ht="18.75">
      <c r="A107" s="4" t="s">
        <v>21</v>
      </c>
      <c r="B107" s="10">
        <v>46128</v>
      </c>
      <c r="C107" s="13">
        <f>'[1]16abril'!$T$6</f>
        <v>1751</v>
      </c>
      <c r="D107" s="13">
        <f>'[1]16abril'!$W$6</f>
        <v>1368</v>
      </c>
      <c r="E107" s="13">
        <v>0</v>
      </c>
      <c r="F107" s="13">
        <f>'[1]16abril'!$Z$6</f>
        <v>3134</v>
      </c>
      <c r="G107" s="13">
        <f>'[1]16abril'!$AC$6</f>
        <v>1643</v>
      </c>
      <c r="H107" s="13">
        <f>'[1]16abril'!$AF$6</f>
        <v>846</v>
      </c>
      <c r="I107" s="13">
        <f>'[1]16abril'!$AI$6</f>
        <v>2384</v>
      </c>
      <c r="J107" s="13">
        <f>'[1]16abril'!$AL$6</f>
        <v>0</v>
      </c>
      <c r="K107" s="13">
        <f>'[1]16abril'!$AP$6</f>
        <v>10965.5</v>
      </c>
      <c r="L107" s="13">
        <f>SUM('[1]16abril'!$K$2:$K$3000)</f>
        <v>9517.6</v>
      </c>
      <c r="M107" s="13">
        <f>SUM('[1]16abril'!$J$2:$J$3000)</f>
        <v>1605</v>
      </c>
      <c r="N107" s="13">
        <f>'[1]16abril'!$BD$6</f>
        <v>84</v>
      </c>
      <c r="O107" s="13">
        <f>'[1]16abril'!$BE$6</f>
        <v>258</v>
      </c>
      <c r="P107" s="27">
        <f>SUM(C107:O107)</f>
        <v>33556.1</v>
      </c>
      <c r="Q107" s="27">
        <f>SUM('[1]16abril'!$AW$6+'[1]16abril'!$AX$6)</f>
        <v>15690</v>
      </c>
      <c r="R107" s="27">
        <f>SUM('[1]16abril'!$AU$6+'[1]16abril'!$AV$6)</f>
        <v>13633.5</v>
      </c>
      <c r="S107" s="28">
        <f t="shared" si="2"/>
        <v>4232.5999999999985</v>
      </c>
      <c r="T107" s="14"/>
    </row>
    <row r="108" spans="1:20" ht="18.75">
      <c r="A108" s="4" t="s">
        <v>22</v>
      </c>
      <c r="B108" s="10">
        <v>46129</v>
      </c>
      <c r="C108" s="13">
        <f>'[1]17abril'!$T$6</f>
        <v>1223</v>
      </c>
      <c r="D108" s="13">
        <f>'[1]17abril'!$W$6</f>
        <v>1165</v>
      </c>
      <c r="E108" s="13">
        <v>0</v>
      </c>
      <c r="F108" s="13">
        <f>'[1]17abril'!$Z$6</f>
        <v>2517</v>
      </c>
      <c r="G108" s="13">
        <f>'[1]17abril'!$AC$6</f>
        <v>2260</v>
      </c>
      <c r="H108" s="13">
        <f>'[1]17abril'!$AF$6</f>
        <v>1477</v>
      </c>
      <c r="I108" s="13">
        <f>'[1]17abril'!$AI$6</f>
        <v>3474</v>
      </c>
      <c r="J108" s="13">
        <v>0</v>
      </c>
      <c r="K108" s="13">
        <f>'[1]17abril'!$AP$6</f>
        <v>7670.5</v>
      </c>
      <c r="L108" s="13">
        <f>SUM('[1]17abril'!$K$2:$K$3000)</f>
        <v>11605.8</v>
      </c>
      <c r="M108" s="13">
        <f>SUM('[1]17abril'!$J$2:$J$3000)</f>
        <v>942</v>
      </c>
      <c r="N108" s="13">
        <f>'[1]17abril'!$BD$6</f>
        <v>0</v>
      </c>
      <c r="O108" s="13">
        <f>'[1]17abril'!$BE$6</f>
        <v>229</v>
      </c>
      <c r="P108" s="27">
        <f>SUM(C108:O108)</f>
        <v>32563.3</v>
      </c>
      <c r="Q108" s="27">
        <f>SUM('[1]17abril'!$AW$6+'[1]17abril'!$AX$6)</f>
        <v>10937</v>
      </c>
      <c r="R108" s="27">
        <f>'[1]17abril'!$AU$6+'[1]17abril'!$AV$6</f>
        <v>12536</v>
      </c>
      <c r="S108" s="28">
        <f t="shared" si="2"/>
        <v>9090.2999999999993</v>
      </c>
      <c r="T108" s="14"/>
    </row>
    <row r="109" spans="1:20" ht="18.75">
      <c r="A109" s="4" t="s">
        <v>23</v>
      </c>
      <c r="B109" s="10">
        <v>46130</v>
      </c>
      <c r="C109" s="13">
        <f>'[1]18abril'!$T$6</f>
        <v>1491</v>
      </c>
      <c r="D109" s="13">
        <f>'[1]18abril'!$W$6</f>
        <v>2077</v>
      </c>
      <c r="E109" s="13">
        <v>0</v>
      </c>
      <c r="F109" s="13">
        <f>'[1]18abril'!$Z$6</f>
        <v>4400</v>
      </c>
      <c r="G109" s="13">
        <f>'[1]18abril'!$AC$6</f>
        <v>1574</v>
      </c>
      <c r="H109" s="13">
        <f>'[1]18abril'!$AF$6</f>
        <v>868</v>
      </c>
      <c r="I109" s="13">
        <f>'[1]18abril'!$AI$6</f>
        <v>2444</v>
      </c>
      <c r="J109" s="13">
        <v>0</v>
      </c>
      <c r="K109" s="13">
        <f>'[1]18abril'!$AP$6</f>
        <v>20340</v>
      </c>
      <c r="L109" s="13">
        <f>SUM('[1]18abril'!$K$2:$K$3000)</f>
        <v>21324.600000000002</v>
      </c>
      <c r="M109" s="13">
        <f>SUM('[1]18abril'!$J$2:$J$3000)</f>
        <v>1684</v>
      </c>
      <c r="N109" s="13">
        <f>'[1]18abril'!$BD$6</f>
        <v>306.75</v>
      </c>
      <c r="O109" s="13">
        <f>'[1]18abril'!$BE$6</f>
        <v>370</v>
      </c>
      <c r="P109" s="27">
        <f>SUM(C109:O109)</f>
        <v>56879.350000000006</v>
      </c>
      <c r="Q109" s="27">
        <f>SUM('[1]18abril'!$AW$6+'[1]18abril'!$AX$6)</f>
        <v>20475</v>
      </c>
      <c r="R109" s="27">
        <f>'[1]18abril'!$AU$6+'[1]18abril'!$AV$6</f>
        <v>24199</v>
      </c>
      <c r="S109" s="28">
        <f t="shared" si="2"/>
        <v>12205.350000000006</v>
      </c>
      <c r="T109" s="14"/>
    </row>
    <row r="110" spans="1:20" ht="18.75">
      <c r="A110" s="4" t="s">
        <v>17</v>
      </c>
      <c r="B110" s="10">
        <v>46131</v>
      </c>
      <c r="C110" s="13">
        <f>'[1]19abril'!$T$6</f>
        <v>1851</v>
      </c>
      <c r="D110" s="13">
        <f>'[1]19abril'!$W$6</f>
        <v>1086</v>
      </c>
      <c r="E110" s="13">
        <v>0</v>
      </c>
      <c r="F110" s="13">
        <f>'[1]19abril'!$Z$6</f>
        <v>4109</v>
      </c>
      <c r="G110" s="13">
        <f>'[1]19abril'!$AC$6</f>
        <v>1980</v>
      </c>
      <c r="H110" s="13">
        <f>'[1]19abril'!$AF$6</f>
        <v>603</v>
      </c>
      <c r="I110" s="13">
        <f>'[1]19abril'!$AI$6</f>
        <v>1220</v>
      </c>
      <c r="J110" s="13">
        <v>0</v>
      </c>
      <c r="K110" s="13">
        <f>'[1]19abril'!$AP$6</f>
        <v>30029.5</v>
      </c>
      <c r="L110" s="13">
        <f>SUM('[1]19abril'!$K$2:$K$3000)</f>
        <v>15854.55</v>
      </c>
      <c r="M110" s="13">
        <f>SUM('[1]19abril'!$J$2:$J$3000)</f>
        <v>2029.5</v>
      </c>
      <c r="N110" s="13">
        <f>'[1]19abril'!$BD$6</f>
        <v>426.25</v>
      </c>
      <c r="O110" s="13">
        <f>'[1]19abril'!$BE$6</f>
        <v>1290.0999999999999</v>
      </c>
      <c r="P110" s="27">
        <f t="shared" si="1"/>
        <v>60478.9</v>
      </c>
      <c r="Q110" s="27">
        <f>SUM('[1]19abril'!$AW$6+'[1]19abril'!$AX$6)</f>
        <v>21901</v>
      </c>
      <c r="R110" s="27">
        <f>'[1]19abril'!$AU$6+'[1]19abril'!$AV$6</f>
        <v>21085.5</v>
      </c>
      <c r="S110" s="28">
        <f t="shared" si="2"/>
        <v>17492.400000000001</v>
      </c>
      <c r="T110" s="14"/>
    </row>
    <row r="111" spans="1:20" ht="18.75">
      <c r="A111" s="4" t="s">
        <v>18</v>
      </c>
      <c r="B111" s="10">
        <v>46132</v>
      </c>
      <c r="C111" s="13">
        <f>'[1]20abril'!$T$6</f>
        <v>2279</v>
      </c>
      <c r="D111" s="13">
        <f>'[1]20abril'!$W$6</f>
        <v>1574</v>
      </c>
      <c r="E111" s="13">
        <v>0</v>
      </c>
      <c r="F111" s="13">
        <f>'[1]20abril'!$Z$6</f>
        <v>4221</v>
      </c>
      <c r="G111" s="13">
        <f>'[1]20abril'!$AC$6</f>
        <v>1678</v>
      </c>
      <c r="H111" s="13">
        <f>'[1]20abril'!$AF$6</f>
        <v>622</v>
      </c>
      <c r="I111" s="13">
        <f>'[1]20abril'!$AI$6</f>
        <v>2198</v>
      </c>
      <c r="J111" s="13">
        <v>0</v>
      </c>
      <c r="K111" s="13">
        <f>'[1]20abril'!$AP$6</f>
        <v>16411</v>
      </c>
      <c r="L111" s="13">
        <f>SUM('[1]20abril'!$K$2:$K$3000)</f>
        <v>9369.9000000000015</v>
      </c>
      <c r="M111" s="13">
        <f>SUM('[1]20abril'!$J$2:$J$3000)</f>
        <v>897</v>
      </c>
      <c r="N111" s="13">
        <f>'[1]20abril'!$BD$6</f>
        <v>839</v>
      </c>
      <c r="O111" s="13">
        <f>'[1]20abril'!$BE$6</f>
        <v>795</v>
      </c>
      <c r="P111" s="27">
        <f t="shared" ref="P111:P152" si="3">SUM(C111:O111)</f>
        <v>40883.9</v>
      </c>
      <c r="Q111" s="27">
        <f>SUM('[1]20abril'!$AW$6+'[1]20abril'!$AX$6)</f>
        <v>12015</v>
      </c>
      <c r="R111" s="27">
        <f>'[1]20abril'!$AU$6+'[1]20abril'!$AV$6</f>
        <v>21714</v>
      </c>
      <c r="S111" s="28">
        <f t="shared" ref="S111:S152" si="4">P111-Q111-R111</f>
        <v>7154.9000000000015</v>
      </c>
      <c r="T111" s="14"/>
    </row>
    <row r="112" spans="1:20" ht="18.75">
      <c r="A112" s="4" t="s">
        <v>19</v>
      </c>
      <c r="B112" s="10">
        <v>46133</v>
      </c>
      <c r="C112" s="13">
        <f>'[1]21abril'!$T$6</f>
        <v>1184</v>
      </c>
      <c r="D112" s="13">
        <f>'[1]21abril'!$W$6</f>
        <v>1152</v>
      </c>
      <c r="E112" s="13">
        <v>0</v>
      </c>
      <c r="F112" s="13">
        <f>'[1]21abril'!$Z$6</f>
        <v>4164</v>
      </c>
      <c r="G112" s="13">
        <f>'[1]21abril'!$AC$6</f>
        <v>2447</v>
      </c>
      <c r="H112" s="13">
        <f>'[1]21abril'!$AF$6</f>
        <v>374</v>
      </c>
      <c r="I112" s="13">
        <f>'[1]21abril'!$AI$6</f>
        <v>1237</v>
      </c>
      <c r="J112" s="13">
        <v>0</v>
      </c>
      <c r="K112" s="13">
        <f>'[1]21abril'!$AP$6</f>
        <v>9851.5</v>
      </c>
      <c r="L112" s="13">
        <f>SUM('[1]21abril'!$K$2:$K$3000)</f>
        <v>11760.5</v>
      </c>
      <c r="M112" s="13">
        <f>SUM('[1]21abril'!$J$2:$J$3000)</f>
        <v>2600</v>
      </c>
      <c r="N112" s="13">
        <f>'[1]21abril'!$BD$6</f>
        <v>0</v>
      </c>
      <c r="O112" s="13">
        <f>'[1]21abril'!$BE$6</f>
        <v>115</v>
      </c>
      <c r="P112" s="27">
        <f t="shared" si="3"/>
        <v>34885</v>
      </c>
      <c r="Q112" s="27">
        <f>SUM('[1]21abril'!$AW$6+'[1]21abril'!$AX$6)</f>
        <v>13045</v>
      </c>
      <c r="R112" s="27">
        <f>'[1]21abril'!$AU$6+'[1]21abril'!$AV$6</f>
        <v>17922</v>
      </c>
      <c r="S112" s="28">
        <f t="shared" si="4"/>
        <v>3918</v>
      </c>
      <c r="T112" s="14"/>
    </row>
    <row r="113" spans="1:20" ht="18.75">
      <c r="A113" s="4" t="s">
        <v>20</v>
      </c>
      <c r="B113" s="10">
        <v>46134</v>
      </c>
      <c r="C113" s="13">
        <f>'[1]22abril'!$T$6</f>
        <v>1386</v>
      </c>
      <c r="D113" s="13">
        <f>'[1]22abril'!$W$6</f>
        <v>1817</v>
      </c>
      <c r="E113" s="13">
        <v>0</v>
      </c>
      <c r="F113" s="13">
        <f>'[1]22abril'!$Z$6</f>
        <v>3696</v>
      </c>
      <c r="G113" s="13">
        <f>'[1]22abril'!$AC$6</f>
        <v>2647</v>
      </c>
      <c r="H113" s="13">
        <f>'[1]22abril'!$AF$6</f>
        <v>1105</v>
      </c>
      <c r="I113" s="13">
        <f>'[1]22abril'!$AI$6</f>
        <v>3034</v>
      </c>
      <c r="J113" s="13">
        <v>0</v>
      </c>
      <c r="K113" s="13">
        <f>'[1]22abril'!$AP$6</f>
        <v>7897</v>
      </c>
      <c r="L113" s="13">
        <f>SUM('[1]22abril'!$K$2:$K$3000)</f>
        <v>11284.1</v>
      </c>
      <c r="M113" s="13">
        <f>SUM('[1]22abril'!$J$2:$J$3000)</f>
        <v>1075</v>
      </c>
      <c r="N113" s="13">
        <f>'[1]22abril'!$BD$6</f>
        <v>0</v>
      </c>
      <c r="O113" s="13">
        <f>'[1]22abril'!$BE$6</f>
        <v>288.5</v>
      </c>
      <c r="P113" s="27">
        <f t="shared" si="3"/>
        <v>34229.599999999999</v>
      </c>
      <c r="Q113" s="27">
        <f>SUM('[1]22abril'!$AW$6+'[1]22abril'!$AX$6)</f>
        <v>14573</v>
      </c>
      <c r="R113" s="27">
        <f>'[1]22abril'!$AU$6+'[1]22abril'!$AV$6</f>
        <v>9339.5</v>
      </c>
      <c r="S113" s="28">
        <f t="shared" si="4"/>
        <v>10317.099999999999</v>
      </c>
      <c r="T113" s="14"/>
    </row>
    <row r="114" spans="1:20" ht="18.75">
      <c r="A114" s="4" t="s">
        <v>21</v>
      </c>
      <c r="B114" s="10">
        <v>46135</v>
      </c>
      <c r="C114" s="13">
        <f>'[1]23abril'!$T$6</f>
        <v>1883</v>
      </c>
      <c r="D114" s="13">
        <f>'[1]23abril'!$W$6</f>
        <v>1438</v>
      </c>
      <c r="E114" s="13">
        <v>0</v>
      </c>
      <c r="F114" s="13">
        <f>'[1]23abril'!$Z$6</f>
        <v>3356</v>
      </c>
      <c r="G114" s="13">
        <f>'[1]23abril'!$AC$6</f>
        <v>2439</v>
      </c>
      <c r="H114" s="13">
        <f>'[1]23abril'!$AF$6</f>
        <v>750</v>
      </c>
      <c r="I114" s="13">
        <f>'[1]23abril'!$AI$6</f>
        <v>1741</v>
      </c>
      <c r="J114" s="13">
        <v>0</v>
      </c>
      <c r="K114" s="13">
        <f>'[1]23abril'!$AP$6</f>
        <v>13607.5</v>
      </c>
      <c r="L114" s="13">
        <f>SUM('[1]23abril'!$K$2:$K$3000)</f>
        <v>11765.7</v>
      </c>
      <c r="M114" s="13">
        <f>SUM('[1]23abril'!$J$2:$J$3000)</f>
        <v>734.5</v>
      </c>
      <c r="N114" s="13">
        <f>'[1]23abril'!$BD$6</f>
        <v>425</v>
      </c>
      <c r="O114" s="13">
        <f>'[1]23abril'!$BE$6</f>
        <v>1258</v>
      </c>
      <c r="P114" s="27">
        <f t="shared" si="3"/>
        <v>39397.699999999997</v>
      </c>
      <c r="Q114" s="27">
        <f>SUM('[1]23abril'!$AW$6+'[1]23abril'!$AX$6)</f>
        <v>10727</v>
      </c>
      <c r="R114" s="27">
        <f>'[1]23abril'!$AU$6+'[1]23abril'!$AV$6</f>
        <v>24473</v>
      </c>
      <c r="S114" s="28">
        <f t="shared" si="4"/>
        <v>4197.6999999999971</v>
      </c>
      <c r="T114" s="14"/>
    </row>
    <row r="115" spans="1:20" ht="18.75">
      <c r="A115" s="4" t="s">
        <v>22</v>
      </c>
      <c r="B115" s="10">
        <v>46136</v>
      </c>
      <c r="C115" s="13">
        <f>'[1]24abril'!$T$6</f>
        <v>2090</v>
      </c>
      <c r="D115" s="13">
        <f>'[1]24abril'!$W$6</f>
        <v>2178</v>
      </c>
      <c r="E115" s="13">
        <v>0</v>
      </c>
      <c r="F115" s="13">
        <f>'[1]24abril'!$Z$6</f>
        <v>4830</v>
      </c>
      <c r="G115" s="13">
        <f>'[1]24abril'!$AC$6</f>
        <v>2466</v>
      </c>
      <c r="H115" s="13">
        <f>'[1]24abril'!$AF$6</f>
        <v>998</v>
      </c>
      <c r="I115" s="13">
        <f>'[1]24abril'!$AI$6</f>
        <v>3866</v>
      </c>
      <c r="J115" s="13">
        <v>0</v>
      </c>
      <c r="K115" s="13">
        <f>'[1]24abril'!$AP$6</f>
        <v>16003</v>
      </c>
      <c r="L115" s="13">
        <f>SUM('[1]24abril'!$K$2:$K$3000)</f>
        <v>8973.5</v>
      </c>
      <c r="M115" s="13">
        <f>SUM('[1]24abril'!$J$2:$J$3000)</f>
        <v>717</v>
      </c>
      <c r="N115" s="13">
        <f>'[1]24abril'!$BD$6</f>
        <v>201.75</v>
      </c>
      <c r="O115" s="13">
        <f>'[1]24abril'!$BE$6</f>
        <v>600</v>
      </c>
      <c r="P115" s="27">
        <f t="shared" si="3"/>
        <v>42923.25</v>
      </c>
      <c r="Q115" s="27">
        <f>SUM('[1]24abril'!$AW$6+'[1]24abril'!$AX$6)</f>
        <v>11760</v>
      </c>
      <c r="R115" s="27">
        <f>'[1]24abril'!$AU$6+'[1]24abril'!$AV$6</f>
        <v>22995</v>
      </c>
      <c r="S115" s="28">
        <f t="shared" si="4"/>
        <v>8168.25</v>
      </c>
      <c r="T115" s="14"/>
    </row>
    <row r="116" spans="1:20" ht="18.75">
      <c r="A116" s="4" t="s">
        <v>23</v>
      </c>
      <c r="B116" s="10">
        <v>46137</v>
      </c>
      <c r="C116" s="13">
        <f>'[1]25abril'!$T$6</f>
        <v>2432</v>
      </c>
      <c r="D116" s="13">
        <f>'[1]25abril'!$W$6</f>
        <v>1129</v>
      </c>
      <c r="E116" s="13">
        <v>0</v>
      </c>
      <c r="F116" s="13">
        <f>'[1]25abril'!$Z$6</f>
        <v>3473</v>
      </c>
      <c r="G116" s="13">
        <f>'[1]25abril'!$AC$6</f>
        <v>2236</v>
      </c>
      <c r="H116" s="13">
        <f>'[1]25abril'!$AF$6</f>
        <v>524</v>
      </c>
      <c r="I116" s="13">
        <f>'[1]25abril'!$AI$6</f>
        <v>1682</v>
      </c>
      <c r="J116" s="13">
        <v>0</v>
      </c>
      <c r="K116" s="13">
        <f>'[1]25abril'!$AP$6</f>
        <v>14637.5</v>
      </c>
      <c r="L116" s="13">
        <f>SUM('[1]25abril'!$K$2:$K$3000)</f>
        <v>23562.799999999999</v>
      </c>
      <c r="M116" s="13">
        <f>SUM('[1]25abril'!$J$2:$J$3000)</f>
        <v>800</v>
      </c>
      <c r="N116" s="13">
        <f>'[1]25abril'!$BD$6</f>
        <v>580</v>
      </c>
      <c r="O116" s="13">
        <f>'[1]25abril'!$BE$6</f>
        <v>1149</v>
      </c>
      <c r="P116" s="27">
        <f t="shared" si="3"/>
        <v>52205.3</v>
      </c>
      <c r="Q116" s="27">
        <f>SUM('[1]25abril'!$AW$6+'[1]25abril'!$AX$6)</f>
        <v>19090</v>
      </c>
      <c r="R116" s="27">
        <f>'[1]25abril'!$AU$6+'[1]25abril'!$AV$6</f>
        <v>30586</v>
      </c>
      <c r="S116" s="28">
        <f t="shared" si="4"/>
        <v>2529.3000000000029</v>
      </c>
      <c r="T116" s="14"/>
    </row>
    <row r="117" spans="1:20" ht="18.75">
      <c r="A117" s="4" t="s">
        <v>17</v>
      </c>
      <c r="B117" s="10">
        <v>46138</v>
      </c>
      <c r="C117" s="13">
        <f>'[1]26abril'!$T$6</f>
        <v>2910</v>
      </c>
      <c r="D117" s="13">
        <f>'[1]26abril'!$W$6</f>
        <v>1153</v>
      </c>
      <c r="E117" s="13">
        <v>0</v>
      </c>
      <c r="F117" s="13">
        <f>'[1]26abril'!$Z$6</f>
        <v>3597</v>
      </c>
      <c r="G117" s="13">
        <f>'[1]26abril'!$AC$6</f>
        <v>1708</v>
      </c>
      <c r="H117" s="13">
        <f>'[1]26abril'!$AF$6</f>
        <v>1584</v>
      </c>
      <c r="I117" s="13">
        <f>'[1]26abril'!$AI$6</f>
        <v>800</v>
      </c>
      <c r="J117" s="13">
        <v>0</v>
      </c>
      <c r="K117" s="13">
        <f>'[1]26abril'!$AP$6</f>
        <v>24396</v>
      </c>
      <c r="L117" s="13">
        <f>SUM('[1]26abril'!$K$2:$K$3000)</f>
        <v>14333.099999999999</v>
      </c>
      <c r="M117" s="13">
        <f>SUM('[1]26abril'!$J$2:$J$3000)</f>
        <v>1684</v>
      </c>
      <c r="N117" s="13">
        <f>'[1]26abril'!$BD$6</f>
        <v>0</v>
      </c>
      <c r="O117" s="13">
        <f>'[1]26abril'!$BE$6</f>
        <v>1756</v>
      </c>
      <c r="P117" s="27">
        <f t="shared" si="3"/>
        <v>53921.1</v>
      </c>
      <c r="Q117" s="27">
        <f>SUM('[1]26abril'!$AW$6+'[1]26abril'!$AX$6)</f>
        <v>20441</v>
      </c>
      <c r="R117" s="27">
        <f>'[1]26abril'!$AU$6+'[1]26abril'!$AV$6</f>
        <v>15273.5</v>
      </c>
      <c r="S117" s="28">
        <f t="shared" si="4"/>
        <v>18206.599999999999</v>
      </c>
      <c r="T117" s="14"/>
    </row>
    <row r="118" spans="1:20" ht="18.75">
      <c r="A118" s="4" t="s">
        <v>18</v>
      </c>
      <c r="B118" s="10">
        <v>46139</v>
      </c>
      <c r="C118" s="13">
        <f>'[1]27abril'!$T$6</f>
        <v>3145</v>
      </c>
      <c r="D118" s="13">
        <f>'[1]27abril'!$W$6</f>
        <v>1714</v>
      </c>
      <c r="E118" s="13">
        <v>0</v>
      </c>
      <c r="F118" s="13">
        <f>'[1]27abril'!$Z$6</f>
        <v>4545</v>
      </c>
      <c r="G118" s="13">
        <f>'[1]27abril'!$AC$6</f>
        <v>1150</v>
      </c>
      <c r="H118" s="13">
        <f>'[1]27abril'!$AF$6</f>
        <v>966</v>
      </c>
      <c r="I118" s="13">
        <f>'[1]27abril'!$AI$6</f>
        <v>1678</v>
      </c>
      <c r="J118" s="13">
        <v>0</v>
      </c>
      <c r="K118" s="13">
        <f>'[1]27abril'!$AP$6</f>
        <v>15464</v>
      </c>
      <c r="L118" s="13">
        <f>SUM('[1]27abril'!$K$2:$K$3000)</f>
        <v>11644.7</v>
      </c>
      <c r="M118" s="13">
        <f>SUM('[1]27abril'!$J$2:$J$3000)</f>
        <v>1840</v>
      </c>
      <c r="N118" s="13">
        <f>'[1]27abril'!$BD$6</f>
        <v>279</v>
      </c>
      <c r="O118" s="13">
        <f>'[1]27abril'!$BE$6</f>
        <v>654</v>
      </c>
      <c r="P118" s="27">
        <f t="shared" si="3"/>
        <v>43079.7</v>
      </c>
      <c r="Q118" s="27">
        <f>SUM('[1]27abril'!$AW$6+'[1]27abril'!$AX$6)</f>
        <v>12459</v>
      </c>
      <c r="R118" s="27">
        <f>'[1]27abril'!$AU$6+'[1]27abril'!$AV$6</f>
        <v>23602</v>
      </c>
      <c r="S118" s="28">
        <f t="shared" si="4"/>
        <v>7018.6999999999971</v>
      </c>
      <c r="T118" s="14"/>
    </row>
    <row r="119" spans="1:20" ht="18.75">
      <c r="A119" s="4" t="s">
        <v>19</v>
      </c>
      <c r="B119" s="10">
        <v>46140</v>
      </c>
      <c r="C119" s="13">
        <f>'[1]28abril'!$T$6</f>
        <v>1267</v>
      </c>
      <c r="D119" s="13">
        <f>'[1]28abril'!$W$6</f>
        <v>958</v>
      </c>
      <c r="E119" s="13">
        <v>0</v>
      </c>
      <c r="F119" s="13">
        <f>'[1]28abril'!$Z$6</f>
        <v>3991</v>
      </c>
      <c r="G119" s="13">
        <f>'[1]28abril'!$AC$6</f>
        <v>2197</v>
      </c>
      <c r="H119" s="13">
        <f>'[1]28abril'!$AF$6</f>
        <v>696</v>
      </c>
      <c r="I119" s="13">
        <f>'[1]28abril'!$AI$6</f>
        <v>3373</v>
      </c>
      <c r="J119" s="13">
        <v>0</v>
      </c>
      <c r="K119" s="13">
        <f>'[1]28abril'!$AP$6</f>
        <v>10114.5</v>
      </c>
      <c r="L119" s="13">
        <f>SUM('[1]28abril'!$K$2:$K$3000)</f>
        <v>8490</v>
      </c>
      <c r="M119" s="13">
        <f>SUM('[1]28abril'!$J$2:$J$3000)</f>
        <v>2058</v>
      </c>
      <c r="N119" s="13">
        <f>'[1]28abril'!$BD$6</f>
        <v>0</v>
      </c>
      <c r="O119" s="13">
        <f>'[1]28abril'!$BE$6</f>
        <v>441</v>
      </c>
      <c r="P119" s="27">
        <f t="shared" si="3"/>
        <v>33585.5</v>
      </c>
      <c r="Q119" s="27">
        <f>SUM('[1]28abril'!$AW$6+'[1]28abril'!$AX$6)</f>
        <v>11050</v>
      </c>
      <c r="R119" s="27">
        <f>'[1]28abril'!$AU$6+'[1]28abril'!$AV$6</f>
        <v>19047.5</v>
      </c>
      <c r="S119" s="28">
        <f t="shared" si="4"/>
        <v>3488</v>
      </c>
      <c r="T119" s="14"/>
    </row>
    <row r="120" spans="1:20" ht="18.75">
      <c r="A120" s="4" t="s">
        <v>20</v>
      </c>
      <c r="B120" s="10">
        <v>46141</v>
      </c>
      <c r="C120" s="13">
        <f>'[1]29abril'!$T$6</f>
        <v>1855</v>
      </c>
      <c r="D120" s="13">
        <f>'[1]29abril'!$W$6</f>
        <v>2219</v>
      </c>
      <c r="E120" s="13">
        <v>0</v>
      </c>
      <c r="F120" s="13">
        <f>'[1]29abril'!$Z$6</f>
        <v>4913</v>
      </c>
      <c r="G120" s="13">
        <f>'[1]29abril'!$AC$6</f>
        <v>2299</v>
      </c>
      <c r="H120" s="13">
        <f>'[1]29abril'!$AF$6</f>
        <v>1059</v>
      </c>
      <c r="I120" s="13">
        <f>'[1]29abril'!$AI$6</f>
        <v>1544</v>
      </c>
      <c r="J120" s="13">
        <v>0</v>
      </c>
      <c r="K120" s="13">
        <f>'[1]29abril'!$AP$6</f>
        <v>11530.5</v>
      </c>
      <c r="L120" s="13">
        <f>SUM('[1]29abril'!$K$2:$K$3000)</f>
        <v>6557</v>
      </c>
      <c r="M120" s="13">
        <f>SUM('[1]29abril'!$J$2:$J$3000)</f>
        <v>975</v>
      </c>
      <c r="N120" s="13">
        <f>'[1]29abril'!$BD$6</f>
        <v>490</v>
      </c>
      <c r="O120" s="13">
        <f>'[1]29abril'!$BE$6</f>
        <v>184</v>
      </c>
      <c r="P120" s="27">
        <f t="shared" si="3"/>
        <v>33625.5</v>
      </c>
      <c r="Q120" s="27">
        <f>SUM('[1]29abril'!$AW$6+'[1]29abril'!$AX$6)</f>
        <v>15860</v>
      </c>
      <c r="R120" s="27">
        <f>'[1]29abril'!$AU$6+'[1]29abril'!$AV$6</f>
        <v>14989.35</v>
      </c>
      <c r="S120" s="28">
        <f t="shared" si="4"/>
        <v>2776.1499999999996</v>
      </c>
      <c r="T120" s="14"/>
    </row>
    <row r="121" spans="1:20" ht="18.75">
      <c r="A121" s="4" t="s">
        <v>21</v>
      </c>
      <c r="B121" s="10">
        <v>46142</v>
      </c>
      <c r="C121" s="13">
        <f>'[1]30abril'!$T$6</f>
        <v>1812</v>
      </c>
      <c r="D121" s="13">
        <f>'[1]30abril'!$W$6</f>
        <v>2108</v>
      </c>
      <c r="E121" s="13">
        <v>0</v>
      </c>
      <c r="F121" s="13">
        <f>'[1]30abril'!$Z$6</f>
        <v>4102</v>
      </c>
      <c r="G121" s="13">
        <f>'[1]30abril'!$AC$6</f>
        <v>1784</v>
      </c>
      <c r="H121" s="13">
        <f>'[1]30abril'!$AF$6</f>
        <v>731</v>
      </c>
      <c r="I121" s="13">
        <f>'[1]30abril'!$AI$6</f>
        <v>3435</v>
      </c>
      <c r="J121" s="13">
        <v>0</v>
      </c>
      <c r="K121" s="13">
        <f>'[1]30abril'!$AP$6</f>
        <v>15410</v>
      </c>
      <c r="L121" s="13">
        <f>SUM('[1]30abril'!$K$2:$K$3000)</f>
        <v>14976.300000000001</v>
      </c>
      <c r="M121" s="13">
        <f>SUM('[1]30abril'!$J$2:$J$3000)</f>
        <v>1068</v>
      </c>
      <c r="N121" s="13">
        <f>'[1]30abril'!$BD$6</f>
        <v>418</v>
      </c>
      <c r="O121" s="13">
        <f>'[1]30abril'!$BE$6</f>
        <v>948</v>
      </c>
      <c r="P121" s="27">
        <f t="shared" si="3"/>
        <v>46792.3</v>
      </c>
      <c r="Q121" s="27">
        <f>SUM('[1]30abril'!$AW$6+'[1]30abril'!$AX$6)</f>
        <v>11651</v>
      </c>
      <c r="R121" s="27">
        <f>'[1]30abril'!$AU$6+'[1]30abril'!$AV$6</f>
        <v>28110.5</v>
      </c>
      <c r="S121" s="28">
        <f t="shared" si="4"/>
        <v>7030.8000000000029</v>
      </c>
      <c r="T121" s="14"/>
    </row>
    <row r="122" spans="1:20" ht="18.75">
      <c r="A122" s="4" t="s">
        <v>22</v>
      </c>
      <c r="B122" s="10">
        <v>46143</v>
      </c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27">
        <f t="shared" si="3"/>
        <v>0</v>
      </c>
      <c r="Q122" s="27"/>
      <c r="R122" s="27"/>
      <c r="S122" s="28">
        <f t="shared" si="4"/>
        <v>0</v>
      </c>
      <c r="T122" s="14"/>
    </row>
    <row r="123" spans="1:20" ht="18.75">
      <c r="A123" s="4" t="s">
        <v>23</v>
      </c>
      <c r="B123" s="10">
        <v>46144</v>
      </c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27">
        <f t="shared" si="3"/>
        <v>0</v>
      </c>
      <c r="Q123" s="27"/>
      <c r="R123" s="27"/>
      <c r="S123" s="28">
        <f t="shared" si="4"/>
        <v>0</v>
      </c>
      <c r="T123" s="14"/>
    </row>
    <row r="124" spans="1:20" ht="18.75">
      <c r="A124" s="4" t="s">
        <v>17</v>
      </c>
      <c r="B124" s="10">
        <v>46145</v>
      </c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27">
        <f t="shared" si="3"/>
        <v>0</v>
      </c>
      <c r="Q124" s="27"/>
      <c r="R124" s="27"/>
      <c r="S124" s="28">
        <f t="shared" si="4"/>
        <v>0</v>
      </c>
      <c r="T124" s="14"/>
    </row>
    <row r="125" spans="1:20" ht="18.75">
      <c r="A125" s="4" t="s">
        <v>18</v>
      </c>
      <c r="B125" s="10">
        <v>46146</v>
      </c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27">
        <f t="shared" si="3"/>
        <v>0</v>
      </c>
      <c r="Q125" s="27"/>
      <c r="R125" s="27"/>
      <c r="S125" s="28">
        <f t="shared" si="4"/>
        <v>0</v>
      </c>
      <c r="T125" s="14"/>
    </row>
    <row r="126" spans="1:20" ht="18.75">
      <c r="A126" s="4" t="s">
        <v>19</v>
      </c>
      <c r="B126" s="10">
        <v>46147</v>
      </c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27">
        <f t="shared" si="3"/>
        <v>0</v>
      </c>
      <c r="Q126" s="27"/>
      <c r="R126" s="27"/>
      <c r="S126" s="28">
        <f t="shared" si="4"/>
        <v>0</v>
      </c>
      <c r="T126" s="14"/>
    </row>
    <row r="127" spans="1:20" ht="18.75">
      <c r="A127" s="4" t="s">
        <v>20</v>
      </c>
      <c r="B127" s="10">
        <v>46148</v>
      </c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27">
        <f t="shared" si="3"/>
        <v>0</v>
      </c>
      <c r="Q127" s="27"/>
      <c r="R127" s="27"/>
      <c r="S127" s="28">
        <f t="shared" si="4"/>
        <v>0</v>
      </c>
      <c r="T127" s="14"/>
    </row>
    <row r="128" spans="1:20" ht="18.75">
      <c r="A128" s="4" t="s">
        <v>21</v>
      </c>
      <c r="B128" s="10">
        <v>46149</v>
      </c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27">
        <f t="shared" si="3"/>
        <v>0</v>
      </c>
      <c r="Q128" s="27"/>
      <c r="R128" s="27"/>
      <c r="S128" s="28">
        <f t="shared" si="4"/>
        <v>0</v>
      </c>
      <c r="T128" s="14"/>
    </row>
    <row r="129" spans="1:20" ht="18.75">
      <c r="A129" s="4" t="s">
        <v>22</v>
      </c>
      <c r="B129" s="10">
        <v>46150</v>
      </c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27">
        <f t="shared" si="3"/>
        <v>0</v>
      </c>
      <c r="Q129" s="27"/>
      <c r="R129" s="27"/>
      <c r="S129" s="28">
        <f t="shared" si="4"/>
        <v>0</v>
      </c>
      <c r="T129" s="14"/>
    </row>
    <row r="130" spans="1:20" ht="18.75">
      <c r="A130" s="4" t="s">
        <v>23</v>
      </c>
      <c r="B130" s="10">
        <v>46151</v>
      </c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27">
        <f t="shared" si="3"/>
        <v>0</v>
      </c>
      <c r="Q130" s="27"/>
      <c r="R130" s="27"/>
      <c r="S130" s="28">
        <f t="shared" si="4"/>
        <v>0</v>
      </c>
      <c r="T130" s="14"/>
    </row>
    <row r="131" spans="1:20" ht="18.75">
      <c r="A131" s="4" t="s">
        <v>17</v>
      </c>
      <c r="B131" s="10">
        <v>46152</v>
      </c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27">
        <f t="shared" si="3"/>
        <v>0</v>
      </c>
      <c r="Q131" s="27"/>
      <c r="R131" s="27"/>
      <c r="S131" s="28">
        <f t="shared" si="4"/>
        <v>0</v>
      </c>
      <c r="T131" s="14"/>
    </row>
    <row r="132" spans="1:20" ht="18.75">
      <c r="A132" s="4" t="s">
        <v>18</v>
      </c>
      <c r="B132" s="10">
        <v>46153</v>
      </c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27">
        <f t="shared" si="3"/>
        <v>0</v>
      </c>
      <c r="Q132" s="27"/>
      <c r="R132" s="27"/>
      <c r="S132" s="28">
        <f t="shared" si="4"/>
        <v>0</v>
      </c>
      <c r="T132" s="14"/>
    </row>
    <row r="133" spans="1:20" ht="18.75">
      <c r="A133" s="4" t="s">
        <v>19</v>
      </c>
      <c r="B133" s="10">
        <v>46154</v>
      </c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27">
        <f t="shared" si="3"/>
        <v>0</v>
      </c>
      <c r="Q133" s="27"/>
      <c r="R133" s="27"/>
      <c r="S133" s="28">
        <f t="shared" si="4"/>
        <v>0</v>
      </c>
      <c r="T133" s="14"/>
    </row>
    <row r="134" spans="1:20" ht="18.75">
      <c r="A134" s="4" t="s">
        <v>20</v>
      </c>
      <c r="B134" s="10">
        <v>46155</v>
      </c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27">
        <f t="shared" si="3"/>
        <v>0</v>
      </c>
      <c r="Q134" s="27"/>
      <c r="R134" s="27"/>
      <c r="S134" s="28">
        <f t="shared" si="4"/>
        <v>0</v>
      </c>
      <c r="T134" s="14"/>
    </row>
    <row r="135" spans="1:20" ht="18.75">
      <c r="A135" s="4" t="s">
        <v>21</v>
      </c>
      <c r="B135" s="10">
        <v>46156</v>
      </c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27">
        <f t="shared" si="3"/>
        <v>0</v>
      </c>
      <c r="Q135" s="27"/>
      <c r="R135" s="27"/>
      <c r="S135" s="28">
        <f t="shared" si="4"/>
        <v>0</v>
      </c>
      <c r="T135" s="14"/>
    </row>
    <row r="136" spans="1:20" ht="18.75">
      <c r="A136" s="4" t="s">
        <v>22</v>
      </c>
      <c r="B136" s="10">
        <v>46157</v>
      </c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27">
        <f t="shared" si="3"/>
        <v>0</v>
      </c>
      <c r="Q136" s="27"/>
      <c r="R136" s="27"/>
      <c r="S136" s="28">
        <f t="shared" si="4"/>
        <v>0</v>
      </c>
      <c r="T136" s="14"/>
    </row>
    <row r="137" spans="1:20" ht="18.75">
      <c r="A137" s="4" t="s">
        <v>23</v>
      </c>
      <c r="B137" s="10">
        <v>46158</v>
      </c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27">
        <f t="shared" si="3"/>
        <v>0</v>
      </c>
      <c r="Q137" s="27"/>
      <c r="R137" s="27"/>
      <c r="S137" s="28">
        <f t="shared" si="4"/>
        <v>0</v>
      </c>
      <c r="T137" s="14"/>
    </row>
    <row r="138" spans="1:20" ht="18.75">
      <c r="A138" s="4" t="s">
        <v>17</v>
      </c>
      <c r="B138" s="10">
        <v>46159</v>
      </c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27">
        <f t="shared" si="3"/>
        <v>0</v>
      </c>
      <c r="Q138" s="27"/>
      <c r="R138" s="27"/>
      <c r="S138" s="28">
        <f t="shared" si="4"/>
        <v>0</v>
      </c>
      <c r="T138" s="14"/>
    </row>
    <row r="139" spans="1:20" ht="18.75">
      <c r="A139" s="4" t="s">
        <v>18</v>
      </c>
      <c r="B139" s="10">
        <v>46160</v>
      </c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27">
        <f t="shared" si="3"/>
        <v>0</v>
      </c>
      <c r="Q139" s="27"/>
      <c r="R139" s="27"/>
      <c r="S139" s="28">
        <f t="shared" si="4"/>
        <v>0</v>
      </c>
      <c r="T139" s="14"/>
    </row>
    <row r="140" spans="1:20" ht="18.75">
      <c r="A140" s="4" t="s">
        <v>19</v>
      </c>
      <c r="B140" s="10">
        <v>46161</v>
      </c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27">
        <f t="shared" si="3"/>
        <v>0</v>
      </c>
      <c r="Q140" s="27"/>
      <c r="R140" s="27"/>
      <c r="S140" s="28">
        <f t="shared" si="4"/>
        <v>0</v>
      </c>
      <c r="T140" s="14"/>
    </row>
    <row r="141" spans="1:20" ht="18.75">
      <c r="A141" s="4" t="s">
        <v>20</v>
      </c>
      <c r="B141" s="10">
        <v>46162</v>
      </c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27">
        <f t="shared" si="3"/>
        <v>0</v>
      </c>
      <c r="Q141" s="27"/>
      <c r="R141" s="27"/>
      <c r="S141" s="28">
        <f t="shared" si="4"/>
        <v>0</v>
      </c>
      <c r="T141" s="14"/>
    </row>
    <row r="142" spans="1:20" ht="18.75">
      <c r="A142" s="4" t="s">
        <v>21</v>
      </c>
      <c r="B142" s="10">
        <v>46163</v>
      </c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27">
        <f t="shared" si="3"/>
        <v>0</v>
      </c>
      <c r="Q142" s="27"/>
      <c r="R142" s="27"/>
      <c r="S142" s="28">
        <f t="shared" si="4"/>
        <v>0</v>
      </c>
      <c r="T142" s="14"/>
    </row>
    <row r="143" spans="1:20" ht="18.75">
      <c r="A143" s="4" t="s">
        <v>22</v>
      </c>
      <c r="B143" s="10">
        <v>46164</v>
      </c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27">
        <f t="shared" si="3"/>
        <v>0</v>
      </c>
      <c r="Q143" s="27"/>
      <c r="R143" s="27"/>
      <c r="S143" s="28">
        <f t="shared" si="4"/>
        <v>0</v>
      </c>
      <c r="T143" s="14"/>
    </row>
    <row r="144" spans="1:20" ht="18.75">
      <c r="A144" s="4" t="s">
        <v>23</v>
      </c>
      <c r="B144" s="10">
        <v>46165</v>
      </c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27">
        <f t="shared" si="3"/>
        <v>0</v>
      </c>
      <c r="Q144" s="27"/>
      <c r="R144" s="27"/>
      <c r="S144" s="28">
        <f t="shared" si="4"/>
        <v>0</v>
      </c>
      <c r="T144" s="14"/>
    </row>
    <row r="145" spans="1:20" ht="18.75">
      <c r="A145" s="4" t="s">
        <v>17</v>
      </c>
      <c r="B145" s="10">
        <v>46166</v>
      </c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27">
        <f t="shared" si="3"/>
        <v>0</v>
      </c>
      <c r="Q145" s="27"/>
      <c r="R145" s="27"/>
      <c r="S145" s="28">
        <f t="shared" si="4"/>
        <v>0</v>
      </c>
      <c r="T145" s="14"/>
    </row>
    <row r="146" spans="1:20" ht="18.75">
      <c r="A146" s="4" t="s">
        <v>18</v>
      </c>
      <c r="B146" s="10">
        <v>46167</v>
      </c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27">
        <f t="shared" si="3"/>
        <v>0</v>
      </c>
      <c r="Q146" s="27"/>
      <c r="R146" s="27"/>
      <c r="S146" s="28">
        <f t="shared" si="4"/>
        <v>0</v>
      </c>
      <c r="T146" s="14"/>
    </row>
    <row r="147" spans="1:20" ht="18.75">
      <c r="A147" s="4" t="s">
        <v>19</v>
      </c>
      <c r="B147" s="10">
        <v>46168</v>
      </c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27">
        <f t="shared" si="3"/>
        <v>0</v>
      </c>
      <c r="Q147" s="27"/>
      <c r="R147" s="27"/>
      <c r="S147" s="28">
        <f t="shared" si="4"/>
        <v>0</v>
      </c>
      <c r="T147" s="14"/>
    </row>
    <row r="148" spans="1:20" ht="18.75">
      <c r="A148" s="4" t="s">
        <v>20</v>
      </c>
      <c r="B148" s="10">
        <v>46169</v>
      </c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27">
        <f t="shared" si="3"/>
        <v>0</v>
      </c>
      <c r="Q148" s="27"/>
      <c r="R148" s="27"/>
      <c r="S148" s="28">
        <f t="shared" si="4"/>
        <v>0</v>
      </c>
      <c r="T148" s="14"/>
    </row>
    <row r="149" spans="1:20" ht="18.75">
      <c r="A149" s="4" t="s">
        <v>21</v>
      </c>
      <c r="B149" s="10">
        <v>46170</v>
      </c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27">
        <f t="shared" si="3"/>
        <v>0</v>
      </c>
      <c r="Q149" s="27"/>
      <c r="R149" s="27"/>
      <c r="S149" s="28">
        <f t="shared" si="4"/>
        <v>0</v>
      </c>
      <c r="T149" s="14"/>
    </row>
    <row r="150" spans="1:20" ht="18.75">
      <c r="A150" s="4" t="s">
        <v>22</v>
      </c>
      <c r="B150" s="10">
        <v>46171</v>
      </c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27">
        <f t="shared" si="3"/>
        <v>0</v>
      </c>
      <c r="Q150" s="27"/>
      <c r="R150" s="27"/>
      <c r="S150" s="28">
        <f t="shared" si="4"/>
        <v>0</v>
      </c>
      <c r="T150" s="14"/>
    </row>
    <row r="151" spans="1:20" ht="18.75">
      <c r="A151" s="4" t="s">
        <v>23</v>
      </c>
      <c r="B151" s="10">
        <v>46172</v>
      </c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27">
        <f t="shared" si="3"/>
        <v>0</v>
      </c>
      <c r="Q151" s="27"/>
      <c r="R151" s="27"/>
      <c r="S151" s="28">
        <f t="shared" si="4"/>
        <v>0</v>
      </c>
      <c r="T151" s="14"/>
    </row>
    <row r="152" spans="1:20" ht="18.75">
      <c r="A152" s="4" t="s">
        <v>17</v>
      </c>
      <c r="B152" s="10">
        <v>46173</v>
      </c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27">
        <f t="shared" si="3"/>
        <v>0</v>
      </c>
      <c r="Q152" s="27"/>
      <c r="R152" s="27"/>
      <c r="S152" s="28">
        <f t="shared" si="4"/>
        <v>0</v>
      </c>
      <c r="T152" s="14"/>
    </row>
    <row r="153" spans="1:20" ht="18.75">
      <c r="A153" s="4" t="s">
        <v>18</v>
      </c>
      <c r="B153" s="10">
        <v>46174</v>
      </c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27"/>
      <c r="Q153" s="27"/>
      <c r="R153" s="27"/>
      <c r="S153" s="28"/>
      <c r="T153" s="14"/>
    </row>
    <row r="154" spans="1:20" ht="18.75">
      <c r="A154" s="4" t="s">
        <v>19</v>
      </c>
      <c r="B154" s="10">
        <v>46175</v>
      </c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27"/>
      <c r="Q154" s="27"/>
      <c r="R154" s="27"/>
      <c r="S154" s="28"/>
      <c r="T154" s="14"/>
    </row>
    <row r="155" spans="1:20" ht="18.75">
      <c r="A155" s="4" t="s">
        <v>20</v>
      </c>
      <c r="B155" s="10">
        <v>46176</v>
      </c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27"/>
      <c r="Q155" s="27"/>
      <c r="R155" s="27"/>
      <c r="S155" s="28"/>
      <c r="T155" s="14"/>
    </row>
    <row r="156" spans="1:20" ht="18.75">
      <c r="A156" s="4" t="s">
        <v>21</v>
      </c>
      <c r="B156" s="10">
        <v>46177</v>
      </c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27"/>
      <c r="Q156" s="27"/>
      <c r="R156" s="27"/>
      <c r="S156" s="28"/>
      <c r="T156" s="14"/>
    </row>
    <row r="157" spans="1:20" ht="18.75">
      <c r="A157" s="4" t="s">
        <v>22</v>
      </c>
      <c r="B157" s="10">
        <v>46178</v>
      </c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27"/>
      <c r="Q157" s="27"/>
      <c r="R157" s="27"/>
      <c r="S157" s="28"/>
      <c r="T157" s="14"/>
    </row>
    <row r="158" spans="1:20" ht="18.75">
      <c r="A158" s="4" t="s">
        <v>23</v>
      </c>
      <c r="B158" s="10">
        <v>46179</v>
      </c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27"/>
      <c r="Q158" s="27"/>
      <c r="R158" s="27"/>
      <c r="S158" s="28"/>
      <c r="T158" s="14"/>
    </row>
    <row r="159" spans="1:20" ht="18.75">
      <c r="A159" s="4" t="s">
        <v>17</v>
      </c>
      <c r="B159" s="10">
        <v>46180</v>
      </c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27"/>
      <c r="Q159" s="27"/>
      <c r="R159" s="27"/>
      <c r="S159" s="28"/>
      <c r="T159" s="14"/>
    </row>
    <row r="160" spans="1:20" ht="18.75">
      <c r="A160" s="4" t="s">
        <v>18</v>
      </c>
      <c r="B160" s="10">
        <v>46181</v>
      </c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27"/>
      <c r="Q160" s="27"/>
      <c r="R160" s="27"/>
      <c r="S160" s="28"/>
      <c r="T160" s="14"/>
    </row>
    <row r="161" spans="1:20" ht="18.75">
      <c r="A161" s="4" t="s">
        <v>19</v>
      </c>
      <c r="B161" s="10">
        <v>46182</v>
      </c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27"/>
      <c r="Q161" s="27"/>
      <c r="R161" s="27"/>
      <c r="S161" s="28"/>
      <c r="T161" s="14"/>
    </row>
    <row r="162" spans="1:20" ht="18.75">
      <c r="A162" s="4" t="s">
        <v>20</v>
      </c>
      <c r="B162" s="10">
        <v>46183</v>
      </c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27"/>
      <c r="Q162" s="27"/>
      <c r="R162" s="27"/>
      <c r="S162" s="28"/>
      <c r="T162" s="14"/>
    </row>
    <row r="163" spans="1:20" ht="18.75">
      <c r="A163" s="4" t="s">
        <v>21</v>
      </c>
      <c r="B163" s="10">
        <v>46184</v>
      </c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27"/>
      <c r="Q163" s="27"/>
      <c r="R163" s="27"/>
      <c r="S163" s="28"/>
      <c r="T163" s="14"/>
    </row>
    <row r="164" spans="1:20" ht="18.75">
      <c r="A164" s="4" t="s">
        <v>22</v>
      </c>
      <c r="B164" s="10">
        <v>46185</v>
      </c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27"/>
      <c r="Q164" s="27"/>
      <c r="R164" s="27"/>
      <c r="S164" s="28"/>
      <c r="T164" s="14"/>
    </row>
    <row r="165" spans="1:20" ht="18.75">
      <c r="A165" s="4" t="s">
        <v>23</v>
      </c>
      <c r="B165" s="10">
        <v>46186</v>
      </c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27"/>
      <c r="Q165" s="27"/>
      <c r="R165" s="27"/>
      <c r="S165" s="28"/>
      <c r="T165" s="14"/>
    </row>
    <row r="166" spans="1:20" ht="18.75">
      <c r="A166" s="4" t="s">
        <v>17</v>
      </c>
      <c r="B166" s="10">
        <v>46187</v>
      </c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27"/>
      <c r="Q166" s="27"/>
      <c r="R166" s="27"/>
      <c r="S166" s="28"/>
      <c r="T166" s="14"/>
    </row>
    <row r="167" spans="1:20" ht="18.75">
      <c r="A167" s="4" t="s">
        <v>18</v>
      </c>
      <c r="B167" s="10">
        <v>46188</v>
      </c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27"/>
      <c r="Q167" s="27"/>
      <c r="R167" s="27"/>
      <c r="S167" s="28"/>
      <c r="T167" s="14"/>
    </row>
    <row r="168" spans="1:20" ht="18.75">
      <c r="A168" s="4" t="s">
        <v>19</v>
      </c>
      <c r="B168" s="10">
        <v>46189</v>
      </c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27"/>
      <c r="Q168" s="27"/>
      <c r="R168" s="27"/>
      <c r="S168" s="28"/>
      <c r="T168" s="14"/>
    </row>
    <row r="169" spans="1:20" ht="18.75">
      <c r="A169" s="4" t="s">
        <v>20</v>
      </c>
      <c r="B169" s="10">
        <v>46190</v>
      </c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27"/>
      <c r="Q169" s="27"/>
      <c r="R169" s="27"/>
      <c r="S169" s="28"/>
      <c r="T169" s="14"/>
    </row>
    <row r="170" spans="1:20" ht="18.75">
      <c r="A170" s="4" t="s">
        <v>21</v>
      </c>
      <c r="B170" s="10">
        <v>46191</v>
      </c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27"/>
      <c r="Q170" s="27"/>
      <c r="R170" s="27"/>
      <c r="S170" s="28"/>
      <c r="T170" s="14"/>
    </row>
    <row r="171" spans="1:20" ht="18.75">
      <c r="A171" s="4" t="s">
        <v>22</v>
      </c>
      <c r="B171" s="10">
        <v>46192</v>
      </c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27"/>
      <c r="Q171" s="27"/>
      <c r="R171" s="27"/>
      <c r="S171" s="28"/>
      <c r="T171" s="14"/>
    </row>
    <row r="172" spans="1:20" ht="18.75">
      <c r="A172" s="4" t="s">
        <v>23</v>
      </c>
      <c r="B172" s="10">
        <v>46193</v>
      </c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27"/>
      <c r="Q172" s="27"/>
      <c r="R172" s="27"/>
      <c r="S172" s="28"/>
      <c r="T172" s="14"/>
    </row>
    <row r="173" spans="1:20" ht="18.75">
      <c r="A173" s="4" t="s">
        <v>17</v>
      </c>
      <c r="B173" s="10">
        <v>46194</v>
      </c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27"/>
      <c r="Q173" s="27"/>
      <c r="R173" s="27"/>
      <c r="S173" s="28"/>
      <c r="T173" s="14"/>
    </row>
    <row r="174" spans="1:20" ht="18.75">
      <c r="A174" s="4" t="s">
        <v>18</v>
      </c>
      <c r="B174" s="10">
        <v>46195</v>
      </c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27"/>
      <c r="Q174" s="27"/>
      <c r="R174" s="27"/>
      <c r="S174" s="28"/>
      <c r="T174" s="14"/>
    </row>
    <row r="175" spans="1:20" ht="18.75">
      <c r="A175" s="4" t="s">
        <v>19</v>
      </c>
      <c r="B175" s="10">
        <v>46196</v>
      </c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27"/>
      <c r="Q175" s="27"/>
      <c r="R175" s="27"/>
      <c r="S175" s="28"/>
      <c r="T175" s="14"/>
    </row>
    <row r="176" spans="1:20" ht="18.75">
      <c r="A176" s="4" t="s">
        <v>20</v>
      </c>
      <c r="B176" s="10">
        <v>46197</v>
      </c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27"/>
      <c r="Q176" s="27"/>
      <c r="R176" s="27"/>
      <c r="S176" s="28"/>
      <c r="T176" s="14"/>
    </row>
    <row r="177" spans="1:20" ht="18.75">
      <c r="A177" s="4" t="s">
        <v>21</v>
      </c>
      <c r="B177" s="10">
        <v>46198</v>
      </c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27"/>
      <c r="Q177" s="27"/>
      <c r="R177" s="27"/>
      <c r="S177" s="28"/>
      <c r="T177" s="14"/>
    </row>
    <row r="178" spans="1:20" ht="18.75">
      <c r="A178" s="4" t="s">
        <v>22</v>
      </c>
      <c r="B178" s="10">
        <v>46199</v>
      </c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27"/>
      <c r="Q178" s="27"/>
      <c r="R178" s="27"/>
      <c r="S178" s="28"/>
      <c r="T178" s="14"/>
    </row>
    <row r="179" spans="1:20" ht="18.75">
      <c r="A179" s="4" t="s">
        <v>23</v>
      </c>
      <c r="B179" s="10">
        <v>46200</v>
      </c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27"/>
      <c r="Q179" s="27"/>
      <c r="R179" s="27"/>
      <c r="S179" s="28"/>
      <c r="T179" s="14"/>
    </row>
    <row r="180" spans="1:20" ht="18.75">
      <c r="A180" s="4" t="s">
        <v>17</v>
      </c>
      <c r="B180" s="10">
        <v>46201</v>
      </c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27"/>
      <c r="Q180" s="27"/>
      <c r="R180" s="27"/>
      <c r="S180" s="28"/>
      <c r="T180" s="14"/>
    </row>
    <row r="181" spans="1:20" ht="18.75">
      <c r="A181" s="4" t="s">
        <v>18</v>
      </c>
      <c r="B181" s="10">
        <v>46202</v>
      </c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27"/>
      <c r="Q181" s="27"/>
      <c r="R181" s="27"/>
      <c r="S181" s="28"/>
      <c r="T181" s="14"/>
    </row>
    <row r="182" spans="1:20" ht="18.75">
      <c r="A182" s="4" t="s">
        <v>19</v>
      </c>
      <c r="B182" s="10">
        <v>46203</v>
      </c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27"/>
      <c r="Q182" s="27"/>
      <c r="R182" s="27"/>
      <c r="S182" s="28"/>
      <c r="T182" s="14"/>
    </row>
    <row r="183" spans="1:20" ht="18.75">
      <c r="A183" s="4" t="s">
        <v>20</v>
      </c>
      <c r="B183" s="10">
        <v>46204</v>
      </c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27"/>
      <c r="Q183" s="27"/>
      <c r="R183" s="27"/>
      <c r="S183" s="28"/>
      <c r="T183" s="14"/>
    </row>
    <row r="184" spans="1:20" ht="18.75">
      <c r="A184" s="4" t="s">
        <v>21</v>
      </c>
      <c r="B184" s="10">
        <v>46205</v>
      </c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27"/>
      <c r="Q184" s="27"/>
      <c r="R184" s="27"/>
      <c r="S184" s="28"/>
      <c r="T184" s="14"/>
    </row>
    <row r="185" spans="1:20" ht="18.75">
      <c r="A185" s="4" t="s">
        <v>22</v>
      </c>
      <c r="B185" s="10">
        <v>46206</v>
      </c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27"/>
      <c r="Q185" s="27"/>
      <c r="R185" s="27"/>
      <c r="S185" s="28"/>
      <c r="T185" s="14"/>
    </row>
    <row r="186" spans="1:20" ht="18.75">
      <c r="A186" s="4" t="s">
        <v>23</v>
      </c>
      <c r="B186" s="10">
        <v>46207</v>
      </c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27"/>
      <c r="Q186" s="27"/>
      <c r="R186" s="27"/>
      <c r="S186" s="28"/>
      <c r="T186" s="14"/>
    </row>
    <row r="187" spans="1:20" ht="18.75">
      <c r="A187" s="4" t="s">
        <v>17</v>
      </c>
      <c r="B187" s="10">
        <v>46208</v>
      </c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27"/>
      <c r="Q187" s="27"/>
      <c r="R187" s="27"/>
      <c r="S187" s="28"/>
      <c r="T187" s="14"/>
    </row>
    <row r="188" spans="1:20" ht="18.75">
      <c r="A188" s="4" t="s">
        <v>18</v>
      </c>
      <c r="B188" s="10">
        <v>46209</v>
      </c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27"/>
      <c r="Q188" s="27"/>
      <c r="R188" s="27"/>
      <c r="S188" s="28"/>
      <c r="T188" s="14"/>
    </row>
    <row r="189" spans="1:20" ht="18.75">
      <c r="A189" s="4" t="s">
        <v>19</v>
      </c>
      <c r="B189" s="10">
        <v>46210</v>
      </c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27"/>
      <c r="Q189" s="27"/>
      <c r="R189" s="27"/>
      <c r="S189" s="28"/>
      <c r="T189" s="14"/>
    </row>
    <row r="190" spans="1:20" ht="18.75">
      <c r="A190" s="4" t="s">
        <v>20</v>
      </c>
      <c r="B190" s="10">
        <v>46211</v>
      </c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27"/>
      <c r="Q190" s="27"/>
      <c r="R190" s="27"/>
      <c r="S190" s="28"/>
      <c r="T190" s="14"/>
    </row>
    <row r="191" spans="1:20" ht="18.75">
      <c r="A191" s="4" t="s">
        <v>21</v>
      </c>
      <c r="B191" s="10">
        <v>46212</v>
      </c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27"/>
      <c r="Q191" s="27"/>
      <c r="R191" s="27"/>
      <c r="S191" s="28"/>
      <c r="T191" s="14"/>
    </row>
    <row r="192" spans="1:20" ht="18.75">
      <c r="A192" s="4" t="s">
        <v>22</v>
      </c>
      <c r="B192" s="10">
        <v>46213</v>
      </c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27"/>
      <c r="Q192" s="27"/>
      <c r="R192" s="27"/>
      <c r="S192" s="28"/>
      <c r="T192" s="14"/>
    </row>
    <row r="193" spans="1:20" ht="18.75">
      <c r="A193" s="4" t="s">
        <v>23</v>
      </c>
      <c r="B193" s="10">
        <v>46214</v>
      </c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27"/>
      <c r="Q193" s="27"/>
      <c r="R193" s="27"/>
      <c r="S193" s="28"/>
      <c r="T193" s="14"/>
    </row>
    <row r="194" spans="1:20" ht="18.75">
      <c r="A194" s="4" t="s">
        <v>17</v>
      </c>
      <c r="B194" s="10">
        <v>46215</v>
      </c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27"/>
      <c r="Q194" s="27"/>
      <c r="R194" s="27"/>
      <c r="S194" s="28"/>
      <c r="T194" s="14"/>
    </row>
    <row r="195" spans="1:20" ht="18.75">
      <c r="A195" s="4" t="s">
        <v>18</v>
      </c>
      <c r="B195" s="10">
        <v>46216</v>
      </c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27"/>
      <c r="Q195" s="27"/>
      <c r="R195" s="27"/>
      <c r="S195" s="28"/>
      <c r="T195" s="14"/>
    </row>
    <row r="196" spans="1:20" ht="18.75">
      <c r="A196" s="4" t="s">
        <v>19</v>
      </c>
      <c r="B196" s="10">
        <v>46217</v>
      </c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27"/>
      <c r="Q196" s="27"/>
      <c r="R196" s="27"/>
      <c r="S196" s="28"/>
      <c r="T196" s="14"/>
    </row>
    <row r="197" spans="1:20" ht="18.75">
      <c r="A197" s="4" t="s">
        <v>20</v>
      </c>
      <c r="B197" s="10">
        <v>46218</v>
      </c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27"/>
      <c r="Q197" s="27"/>
      <c r="R197" s="27"/>
      <c r="S197" s="28"/>
      <c r="T197" s="14"/>
    </row>
    <row r="198" spans="1:20" ht="18.75">
      <c r="A198" s="4" t="s">
        <v>21</v>
      </c>
      <c r="B198" s="10">
        <v>46219</v>
      </c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27"/>
      <c r="Q198" s="27"/>
      <c r="R198" s="27"/>
      <c r="S198" s="28"/>
      <c r="T198" s="14"/>
    </row>
    <row r="199" spans="1:20" ht="18.75">
      <c r="A199" s="4" t="s">
        <v>22</v>
      </c>
      <c r="B199" s="10">
        <v>46220</v>
      </c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27"/>
      <c r="Q199" s="27"/>
      <c r="R199" s="27"/>
      <c r="S199" s="28"/>
      <c r="T199" s="14"/>
    </row>
    <row r="200" spans="1:20" ht="18.75">
      <c r="A200" s="4" t="s">
        <v>23</v>
      </c>
      <c r="B200" s="10">
        <v>46221</v>
      </c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27"/>
      <c r="Q200" s="27"/>
      <c r="R200" s="27"/>
      <c r="S200" s="28"/>
      <c r="T200" s="14"/>
    </row>
    <row r="201" spans="1:20" ht="18.75">
      <c r="A201" s="4" t="s">
        <v>17</v>
      </c>
      <c r="B201" s="10">
        <v>46222</v>
      </c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27"/>
      <c r="Q201" s="27"/>
      <c r="R201" s="27"/>
      <c r="S201" s="28"/>
      <c r="T201" s="14"/>
    </row>
    <row r="202" spans="1:20" ht="18.75">
      <c r="A202" s="4" t="s">
        <v>18</v>
      </c>
      <c r="B202" s="10">
        <v>46223</v>
      </c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27"/>
      <c r="Q202" s="27"/>
      <c r="R202" s="27"/>
      <c r="S202" s="28"/>
      <c r="T202" s="14"/>
    </row>
    <row r="203" spans="1:20" ht="18.75">
      <c r="A203" s="4" t="s">
        <v>19</v>
      </c>
      <c r="B203" s="10">
        <v>46224</v>
      </c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27"/>
      <c r="Q203" s="27"/>
      <c r="R203" s="27"/>
      <c r="S203" s="28"/>
      <c r="T203" s="14"/>
    </row>
    <row r="204" spans="1:20" ht="18.75">
      <c r="A204" s="4" t="s">
        <v>20</v>
      </c>
      <c r="B204" s="10">
        <v>46225</v>
      </c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27"/>
      <c r="Q204" s="27"/>
      <c r="R204" s="27"/>
      <c r="S204" s="28"/>
      <c r="T204" s="14"/>
    </row>
    <row r="205" spans="1:20" ht="18.75">
      <c r="A205" s="4" t="s">
        <v>21</v>
      </c>
      <c r="B205" s="10">
        <v>46226</v>
      </c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27"/>
      <c r="Q205" s="27"/>
      <c r="R205" s="27"/>
      <c r="S205" s="28"/>
      <c r="T205" s="14"/>
    </row>
    <row r="206" spans="1:20" ht="18.75">
      <c r="A206" s="4" t="s">
        <v>22</v>
      </c>
      <c r="B206" s="10">
        <v>46227</v>
      </c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27"/>
      <c r="Q206" s="27"/>
      <c r="R206" s="27"/>
      <c r="S206" s="28"/>
      <c r="T206" s="14"/>
    </row>
    <row r="207" spans="1:20" ht="18.75">
      <c r="A207" s="4" t="s">
        <v>23</v>
      </c>
      <c r="B207" s="10">
        <v>46228</v>
      </c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27"/>
      <c r="Q207" s="27"/>
      <c r="R207" s="27"/>
      <c r="S207" s="28"/>
      <c r="T207" s="14"/>
    </row>
    <row r="208" spans="1:20" ht="18.75">
      <c r="A208" s="4" t="s">
        <v>17</v>
      </c>
      <c r="B208" s="10">
        <v>46229</v>
      </c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27"/>
      <c r="Q208" s="27"/>
      <c r="R208" s="27"/>
      <c r="S208" s="28"/>
      <c r="T208" s="14"/>
    </row>
    <row r="209" spans="1:20" ht="18.75">
      <c r="A209" s="4" t="s">
        <v>18</v>
      </c>
      <c r="B209" s="10">
        <v>46230</v>
      </c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27"/>
      <c r="Q209" s="27"/>
      <c r="R209" s="27"/>
      <c r="S209" s="28"/>
      <c r="T209" s="14"/>
    </row>
    <row r="210" spans="1:20" ht="18.75">
      <c r="A210" s="4" t="s">
        <v>19</v>
      </c>
      <c r="B210" s="10">
        <v>46231</v>
      </c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27"/>
      <c r="Q210" s="27"/>
      <c r="R210" s="27"/>
      <c r="S210" s="28"/>
      <c r="T210" s="14"/>
    </row>
    <row r="211" spans="1:20" ht="18.75">
      <c r="A211" s="4" t="s">
        <v>20</v>
      </c>
      <c r="B211" s="10">
        <v>46232</v>
      </c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27"/>
      <c r="Q211" s="27"/>
      <c r="R211" s="27"/>
      <c r="S211" s="28"/>
      <c r="T211" s="14"/>
    </row>
    <row r="212" spans="1:20" ht="18.75">
      <c r="A212" s="4" t="s">
        <v>21</v>
      </c>
      <c r="B212" s="10">
        <v>46233</v>
      </c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27"/>
      <c r="Q212" s="27"/>
      <c r="R212" s="27"/>
      <c r="S212" s="28"/>
      <c r="T212" s="14"/>
    </row>
    <row r="213" spans="1:20" ht="18.75">
      <c r="A213" s="4" t="s">
        <v>22</v>
      </c>
      <c r="B213" s="10">
        <v>46234</v>
      </c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27"/>
      <c r="Q213" s="27"/>
      <c r="R213" s="27"/>
      <c r="S213" s="28"/>
      <c r="T213" s="14"/>
    </row>
    <row r="214" spans="1:20" ht="18.75">
      <c r="A214" s="4" t="s">
        <v>23</v>
      </c>
      <c r="B214" s="10">
        <v>46235</v>
      </c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27"/>
      <c r="Q214" s="27"/>
      <c r="R214" s="27"/>
      <c r="S214" s="28"/>
      <c r="T214" s="14"/>
    </row>
    <row r="215" spans="1:20" ht="18.75">
      <c r="A215" s="4" t="s">
        <v>17</v>
      </c>
      <c r="B215" s="10">
        <v>46236</v>
      </c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27"/>
      <c r="Q215" s="27"/>
      <c r="R215" s="27"/>
      <c r="S215" s="28"/>
      <c r="T215" s="14"/>
    </row>
    <row r="216" spans="1:20" ht="18.75">
      <c r="A216" s="4" t="s">
        <v>18</v>
      </c>
      <c r="B216" s="10">
        <v>46237</v>
      </c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27"/>
      <c r="Q216" s="27"/>
      <c r="R216" s="27"/>
      <c r="S216" s="28"/>
      <c r="T216" s="14"/>
    </row>
    <row r="217" spans="1:20" ht="18.75">
      <c r="A217" s="4" t="s">
        <v>19</v>
      </c>
      <c r="B217" s="10">
        <v>46238</v>
      </c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27"/>
      <c r="Q217" s="27"/>
      <c r="R217" s="27"/>
      <c r="S217" s="28"/>
      <c r="T217" s="14"/>
    </row>
    <row r="218" spans="1:20" ht="18.75">
      <c r="A218" s="4" t="s">
        <v>20</v>
      </c>
      <c r="B218" s="10">
        <v>46239</v>
      </c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27"/>
      <c r="Q218" s="27"/>
      <c r="R218" s="27"/>
      <c r="S218" s="28"/>
      <c r="T218" s="14"/>
    </row>
    <row r="219" spans="1:20" ht="18.75">
      <c r="A219" s="4" t="s">
        <v>21</v>
      </c>
      <c r="B219" s="10">
        <v>46240</v>
      </c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27"/>
      <c r="Q219" s="27"/>
      <c r="R219" s="27"/>
      <c r="S219" s="28"/>
      <c r="T219" s="14"/>
    </row>
    <row r="220" spans="1:20" ht="18.75">
      <c r="A220" s="4" t="s">
        <v>22</v>
      </c>
      <c r="B220" s="10">
        <v>46241</v>
      </c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27"/>
      <c r="Q220" s="27"/>
      <c r="R220" s="27"/>
      <c r="S220" s="28"/>
      <c r="T220" s="14"/>
    </row>
    <row r="221" spans="1:20" ht="18.75">
      <c r="A221" s="4" t="s">
        <v>23</v>
      </c>
      <c r="B221" s="10">
        <v>46242</v>
      </c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27"/>
      <c r="Q221" s="27"/>
      <c r="R221" s="27"/>
      <c r="S221" s="28"/>
      <c r="T221" s="14"/>
    </row>
    <row r="222" spans="1:20" ht="18.75">
      <c r="A222" s="4" t="s">
        <v>17</v>
      </c>
      <c r="B222" s="10">
        <v>46243</v>
      </c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27"/>
      <c r="Q222" s="27"/>
      <c r="R222" s="27"/>
      <c r="S222" s="28"/>
      <c r="T222" s="14"/>
    </row>
    <row r="223" spans="1:20" ht="18.75">
      <c r="A223" s="4" t="s">
        <v>18</v>
      </c>
      <c r="B223" s="10">
        <v>46244</v>
      </c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27"/>
      <c r="Q223" s="27"/>
      <c r="R223" s="27"/>
      <c r="S223" s="28"/>
      <c r="T223" s="14"/>
    </row>
    <row r="224" spans="1:20" ht="18.75">
      <c r="A224" s="4" t="s">
        <v>19</v>
      </c>
      <c r="B224" s="10">
        <v>46245</v>
      </c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27"/>
      <c r="Q224" s="27"/>
      <c r="R224" s="27"/>
      <c r="S224" s="28"/>
      <c r="T224" s="14"/>
    </row>
    <row r="225" spans="1:20" ht="18.75">
      <c r="A225" s="4" t="s">
        <v>20</v>
      </c>
      <c r="B225" s="10">
        <v>46246</v>
      </c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27"/>
      <c r="Q225" s="27"/>
      <c r="R225" s="27"/>
      <c r="S225" s="28"/>
      <c r="T225" s="14"/>
    </row>
    <row r="226" spans="1:20" ht="18.75">
      <c r="A226" s="4" t="s">
        <v>21</v>
      </c>
      <c r="B226" s="10">
        <v>46247</v>
      </c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27"/>
      <c r="Q226" s="27"/>
      <c r="R226" s="27"/>
      <c r="S226" s="28"/>
      <c r="T226" s="14"/>
    </row>
    <row r="227" spans="1:20" ht="18.75">
      <c r="A227" s="4" t="s">
        <v>22</v>
      </c>
      <c r="B227" s="10">
        <v>46248</v>
      </c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27"/>
      <c r="Q227" s="27"/>
      <c r="R227" s="27"/>
      <c r="S227" s="28"/>
      <c r="T227" s="14"/>
    </row>
    <row r="228" spans="1:20" ht="18.75">
      <c r="A228" s="4" t="s">
        <v>23</v>
      </c>
      <c r="B228" s="10">
        <v>46249</v>
      </c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27"/>
      <c r="Q228" s="27"/>
      <c r="R228" s="27"/>
      <c r="S228" s="28"/>
      <c r="T228" s="14"/>
    </row>
    <row r="229" spans="1:20" ht="18.75">
      <c r="A229" s="4" t="s">
        <v>17</v>
      </c>
      <c r="B229" s="10">
        <v>46250</v>
      </c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27"/>
      <c r="Q229" s="27"/>
      <c r="R229" s="27"/>
      <c r="S229" s="28"/>
      <c r="T229" s="14"/>
    </row>
    <row r="230" spans="1:20" ht="18.75">
      <c r="A230" s="4" t="s">
        <v>18</v>
      </c>
      <c r="B230" s="10">
        <v>46251</v>
      </c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27"/>
      <c r="Q230" s="27"/>
      <c r="R230" s="27"/>
      <c r="S230" s="28"/>
      <c r="T230" s="14"/>
    </row>
    <row r="231" spans="1:20" ht="18.75">
      <c r="A231" s="4" t="s">
        <v>19</v>
      </c>
      <c r="B231" s="10">
        <v>46252</v>
      </c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27"/>
      <c r="Q231" s="27"/>
      <c r="R231" s="27"/>
      <c r="S231" s="28"/>
      <c r="T231" s="14"/>
    </row>
    <row r="232" spans="1:20" ht="18.75">
      <c r="A232" s="4" t="s">
        <v>20</v>
      </c>
      <c r="B232" s="10">
        <v>46253</v>
      </c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27"/>
      <c r="Q232" s="27"/>
      <c r="R232" s="27"/>
      <c r="S232" s="28"/>
      <c r="T232" s="14"/>
    </row>
    <row r="233" spans="1:20" ht="18.75">
      <c r="A233" s="4" t="s">
        <v>21</v>
      </c>
      <c r="B233" s="10">
        <v>46254</v>
      </c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27"/>
      <c r="Q233" s="27"/>
      <c r="R233" s="27"/>
      <c r="S233" s="28"/>
      <c r="T233" s="14"/>
    </row>
    <row r="234" spans="1:20" ht="18.75">
      <c r="A234" s="4" t="s">
        <v>22</v>
      </c>
      <c r="B234" s="10">
        <v>46255</v>
      </c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27"/>
      <c r="Q234" s="27"/>
      <c r="R234" s="27"/>
      <c r="S234" s="28"/>
      <c r="T234" s="14"/>
    </row>
    <row r="235" spans="1:20" ht="18.75">
      <c r="A235" s="4" t="s">
        <v>23</v>
      </c>
      <c r="B235" s="10">
        <v>46256</v>
      </c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27"/>
      <c r="Q235" s="27"/>
      <c r="R235" s="27"/>
      <c r="S235" s="28"/>
      <c r="T235" s="14"/>
    </row>
    <row r="236" spans="1:20" ht="18.75">
      <c r="A236" s="4" t="s">
        <v>17</v>
      </c>
      <c r="B236" s="10">
        <v>46257</v>
      </c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27"/>
      <c r="Q236" s="27"/>
      <c r="R236" s="27"/>
      <c r="S236" s="28"/>
      <c r="T236" s="14"/>
    </row>
    <row r="237" spans="1:20" ht="18.75">
      <c r="A237" s="4" t="s">
        <v>18</v>
      </c>
      <c r="B237" s="10">
        <v>46258</v>
      </c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27"/>
      <c r="Q237" s="27"/>
      <c r="R237" s="27"/>
      <c r="S237" s="28"/>
      <c r="T237" s="14"/>
    </row>
    <row r="238" spans="1:20" ht="18.75">
      <c r="A238" s="4" t="s">
        <v>19</v>
      </c>
      <c r="B238" s="10">
        <v>46259</v>
      </c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27"/>
      <c r="Q238" s="27"/>
      <c r="R238" s="27"/>
      <c r="S238" s="28"/>
      <c r="T238" s="14"/>
    </row>
    <row r="239" spans="1:20" ht="18.75">
      <c r="A239" s="4" t="s">
        <v>20</v>
      </c>
      <c r="B239" s="10">
        <v>46260</v>
      </c>
      <c r="C239" s="13"/>
      <c r="D239" s="13"/>
      <c r="E239" s="13"/>
      <c r="F239" s="13"/>
      <c r="G239" s="13"/>
      <c r="H239" s="13"/>
      <c r="I239" s="13"/>
      <c r="J239" s="13"/>
      <c r="K239" s="13"/>
      <c r="L239" s="13"/>
      <c r="M239" s="13"/>
      <c r="N239" s="13"/>
      <c r="O239" s="13"/>
      <c r="P239" s="27"/>
      <c r="Q239" s="27"/>
      <c r="R239" s="27"/>
      <c r="S239" s="28"/>
      <c r="T239" s="14"/>
    </row>
    <row r="240" spans="1:20" ht="18.75">
      <c r="A240" s="4" t="s">
        <v>21</v>
      </c>
      <c r="B240" s="10">
        <v>46261</v>
      </c>
      <c r="C240" s="13"/>
      <c r="D240" s="13"/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27"/>
      <c r="Q240" s="27"/>
      <c r="R240" s="27"/>
      <c r="S240" s="28"/>
      <c r="T240" s="14"/>
    </row>
    <row r="241" spans="1:20" ht="18.75">
      <c r="A241" s="4" t="s">
        <v>22</v>
      </c>
      <c r="B241" s="10">
        <v>46262</v>
      </c>
      <c r="C241" s="13"/>
      <c r="D241" s="13"/>
      <c r="E241" s="13"/>
      <c r="F241" s="13"/>
      <c r="G241" s="13"/>
      <c r="H241" s="13"/>
      <c r="I241" s="13"/>
      <c r="J241" s="13"/>
      <c r="K241" s="13"/>
      <c r="L241" s="13"/>
      <c r="M241" s="13"/>
      <c r="N241" s="13"/>
      <c r="O241" s="13"/>
      <c r="P241" s="27"/>
      <c r="Q241" s="27"/>
      <c r="R241" s="27"/>
      <c r="S241" s="28"/>
      <c r="T241" s="14"/>
    </row>
    <row r="242" spans="1:20" ht="18.75">
      <c r="A242" s="4" t="s">
        <v>23</v>
      </c>
      <c r="B242" s="10">
        <v>46263</v>
      </c>
      <c r="C242" s="13"/>
      <c r="D242" s="13"/>
      <c r="E242" s="13"/>
      <c r="F242" s="13"/>
      <c r="G242" s="13"/>
      <c r="H242" s="13"/>
      <c r="I242" s="13"/>
      <c r="J242" s="13"/>
      <c r="K242" s="13"/>
      <c r="L242" s="13"/>
      <c r="M242" s="13"/>
      <c r="N242" s="13"/>
      <c r="O242" s="13"/>
      <c r="P242" s="27"/>
      <c r="Q242" s="27"/>
      <c r="R242" s="27"/>
      <c r="S242" s="28"/>
      <c r="T242" s="14"/>
    </row>
    <row r="243" spans="1:20" ht="18.75">
      <c r="A243" s="4" t="s">
        <v>17</v>
      </c>
      <c r="B243" s="10">
        <v>46264</v>
      </c>
      <c r="C243" s="13"/>
      <c r="D243" s="13"/>
      <c r="E243" s="13"/>
      <c r="F243" s="13"/>
      <c r="G243" s="13"/>
      <c r="H243" s="13"/>
      <c r="I243" s="13"/>
      <c r="J243" s="13"/>
      <c r="K243" s="13"/>
      <c r="L243" s="13"/>
      <c r="M243" s="13"/>
      <c r="N243" s="13"/>
      <c r="O243" s="13"/>
      <c r="P243" s="27"/>
      <c r="Q243" s="27"/>
      <c r="R243" s="27"/>
      <c r="S243" s="28"/>
      <c r="T243" s="14"/>
    </row>
    <row r="244" spans="1:20" ht="18.75">
      <c r="A244" s="4" t="s">
        <v>18</v>
      </c>
      <c r="B244" s="10">
        <v>46265</v>
      </c>
      <c r="C244" s="13"/>
      <c r="D244" s="13"/>
      <c r="E244" s="13"/>
      <c r="F244" s="13"/>
      <c r="G244" s="13"/>
      <c r="H244" s="13"/>
      <c r="I244" s="13"/>
      <c r="J244" s="13"/>
      <c r="K244" s="13"/>
      <c r="L244" s="13"/>
      <c r="M244" s="13"/>
      <c r="N244" s="13"/>
      <c r="O244" s="13"/>
      <c r="P244" s="27"/>
      <c r="Q244" s="27"/>
      <c r="R244" s="27"/>
      <c r="S244" s="28"/>
      <c r="T244" s="14"/>
    </row>
    <row r="245" spans="1:20" ht="18.75">
      <c r="A245" s="4" t="s">
        <v>19</v>
      </c>
      <c r="B245" s="10">
        <v>46266</v>
      </c>
      <c r="C245" s="13"/>
      <c r="D245" s="13"/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27"/>
      <c r="Q245" s="27"/>
      <c r="R245" s="27"/>
      <c r="S245" s="28"/>
      <c r="T245" s="14"/>
    </row>
    <row r="246" spans="1:20" ht="18.75">
      <c r="A246" s="4" t="s">
        <v>20</v>
      </c>
      <c r="B246" s="10">
        <v>46267</v>
      </c>
      <c r="C246" s="13"/>
      <c r="D246" s="13"/>
      <c r="E246" s="13"/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27"/>
      <c r="Q246" s="27"/>
      <c r="R246" s="27"/>
      <c r="S246" s="28"/>
      <c r="T246" s="14"/>
    </row>
    <row r="247" spans="1:20" ht="18.75">
      <c r="A247" s="4" t="s">
        <v>21</v>
      </c>
      <c r="B247" s="10">
        <v>46268</v>
      </c>
      <c r="C247" s="13"/>
      <c r="D247" s="13"/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27"/>
      <c r="Q247" s="27"/>
      <c r="R247" s="27"/>
      <c r="S247" s="28"/>
      <c r="T247" s="14"/>
    </row>
    <row r="248" spans="1:20" ht="18.75">
      <c r="A248" s="4" t="s">
        <v>22</v>
      </c>
      <c r="B248" s="10">
        <v>46269</v>
      </c>
      <c r="C248" s="13"/>
      <c r="D248" s="13"/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27"/>
      <c r="Q248" s="27"/>
      <c r="R248" s="27"/>
      <c r="S248" s="28"/>
      <c r="T248" s="14"/>
    </row>
    <row r="249" spans="1:20" ht="18.75">
      <c r="A249" s="4" t="s">
        <v>23</v>
      </c>
      <c r="B249" s="10">
        <v>46270</v>
      </c>
      <c r="C249" s="13"/>
      <c r="D249" s="13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27"/>
      <c r="Q249" s="27"/>
      <c r="R249" s="27"/>
      <c r="S249" s="28"/>
      <c r="T249" s="14"/>
    </row>
    <row r="250" spans="1:20" ht="18.75">
      <c r="A250" s="4" t="s">
        <v>17</v>
      </c>
      <c r="B250" s="10">
        <v>46271</v>
      </c>
      <c r="C250" s="13"/>
      <c r="D250" s="13"/>
      <c r="E250" s="13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27"/>
      <c r="Q250" s="27"/>
      <c r="R250" s="27"/>
      <c r="S250" s="28"/>
      <c r="T250" s="14"/>
    </row>
    <row r="251" spans="1:20" ht="18.75">
      <c r="A251" s="4" t="s">
        <v>18</v>
      </c>
      <c r="B251" s="10">
        <v>46272</v>
      </c>
      <c r="C251" s="13"/>
      <c r="D251" s="13"/>
      <c r="E251" s="13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27"/>
      <c r="Q251" s="27"/>
      <c r="R251" s="27"/>
      <c r="S251" s="28"/>
      <c r="T251" s="14"/>
    </row>
    <row r="252" spans="1:20" ht="18.75">
      <c r="A252" s="4" t="s">
        <v>19</v>
      </c>
      <c r="B252" s="10">
        <v>46273</v>
      </c>
      <c r="C252" s="13"/>
      <c r="D252" s="13"/>
      <c r="E252" s="13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27"/>
      <c r="Q252" s="27"/>
      <c r="R252" s="27"/>
      <c r="S252" s="28"/>
      <c r="T252" s="14"/>
    </row>
    <row r="253" spans="1:20" ht="18.75">
      <c r="A253" s="4" t="s">
        <v>20</v>
      </c>
      <c r="B253" s="10">
        <v>46274</v>
      </c>
      <c r="C253" s="13"/>
      <c r="D253" s="13"/>
      <c r="E253" s="13"/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27"/>
      <c r="Q253" s="27"/>
      <c r="R253" s="27"/>
      <c r="S253" s="28"/>
      <c r="T253" s="14"/>
    </row>
    <row r="254" spans="1:20" ht="18.75">
      <c r="A254" s="4" t="s">
        <v>21</v>
      </c>
      <c r="B254" s="10">
        <v>46275</v>
      </c>
      <c r="C254" s="13"/>
      <c r="D254" s="13"/>
      <c r="E254" s="13"/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27"/>
      <c r="Q254" s="27"/>
      <c r="R254" s="27"/>
      <c r="S254" s="28"/>
      <c r="T254" s="14"/>
    </row>
    <row r="255" spans="1:20" ht="18.75">
      <c r="A255" s="4" t="s">
        <v>22</v>
      </c>
      <c r="B255" s="10">
        <v>46276</v>
      </c>
      <c r="C255" s="13"/>
      <c r="D255" s="13"/>
      <c r="E255" s="13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27"/>
      <c r="Q255" s="27"/>
      <c r="R255" s="27"/>
      <c r="S255" s="28"/>
      <c r="T255" s="14"/>
    </row>
    <row r="256" spans="1:20" ht="18.75">
      <c r="A256" s="4" t="s">
        <v>23</v>
      </c>
      <c r="B256" s="10">
        <v>46277</v>
      </c>
      <c r="C256" s="13"/>
      <c r="D256" s="13"/>
      <c r="E256" s="13"/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27"/>
      <c r="Q256" s="27"/>
      <c r="R256" s="27"/>
      <c r="S256" s="28"/>
      <c r="T256" s="14"/>
    </row>
    <row r="257" spans="1:20" ht="18.75">
      <c r="A257" s="4" t="s">
        <v>17</v>
      </c>
      <c r="B257" s="10">
        <v>46278</v>
      </c>
      <c r="C257" s="13"/>
      <c r="D257" s="13"/>
      <c r="E257" s="13"/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27"/>
      <c r="Q257" s="27"/>
      <c r="R257" s="27"/>
      <c r="S257" s="28"/>
      <c r="T257" s="14"/>
    </row>
    <row r="258" spans="1:20" ht="18.75">
      <c r="A258" s="4" t="s">
        <v>18</v>
      </c>
      <c r="B258" s="10">
        <v>46279</v>
      </c>
      <c r="C258" s="13"/>
      <c r="D258" s="13"/>
      <c r="E258" s="13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27"/>
      <c r="Q258" s="27"/>
      <c r="R258" s="27"/>
      <c r="S258" s="28"/>
      <c r="T258" s="14"/>
    </row>
    <row r="259" spans="1:20" ht="18.75">
      <c r="A259" s="4" t="s">
        <v>19</v>
      </c>
      <c r="B259" s="10">
        <v>46280</v>
      </c>
      <c r="C259" s="13"/>
      <c r="D259" s="13"/>
      <c r="E259" s="13"/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27"/>
      <c r="Q259" s="27"/>
      <c r="R259" s="27"/>
      <c r="S259" s="28"/>
      <c r="T259" s="14"/>
    </row>
    <row r="260" spans="1:20" ht="18.75">
      <c r="A260" s="4" t="s">
        <v>20</v>
      </c>
      <c r="B260" s="10">
        <v>46281</v>
      </c>
      <c r="C260" s="13"/>
      <c r="D260" s="13"/>
      <c r="E260" s="13"/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27"/>
      <c r="Q260" s="27"/>
      <c r="R260" s="27"/>
      <c r="S260" s="28"/>
      <c r="T260" s="14"/>
    </row>
    <row r="261" spans="1:20" ht="18.75">
      <c r="A261" s="4" t="s">
        <v>21</v>
      </c>
      <c r="B261" s="10">
        <v>46282</v>
      </c>
      <c r="C261" s="13"/>
      <c r="D261" s="13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27"/>
      <c r="Q261" s="27"/>
      <c r="R261" s="27"/>
      <c r="S261" s="28"/>
      <c r="T261" s="14"/>
    </row>
    <row r="262" spans="1:20" ht="18.75">
      <c r="A262" s="4" t="s">
        <v>22</v>
      </c>
      <c r="B262" s="10">
        <v>46283</v>
      </c>
      <c r="C262" s="13"/>
      <c r="D262" s="13"/>
      <c r="E262" s="13"/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27"/>
      <c r="Q262" s="27"/>
      <c r="R262" s="27"/>
      <c r="S262" s="28"/>
      <c r="T262" s="14"/>
    </row>
    <row r="263" spans="1:20" ht="18.75">
      <c r="A263" s="4" t="s">
        <v>23</v>
      </c>
      <c r="B263" s="10">
        <v>46284</v>
      </c>
      <c r="C263" s="13"/>
      <c r="D263" s="13"/>
      <c r="E263" s="13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27"/>
      <c r="Q263" s="27"/>
      <c r="R263" s="27"/>
      <c r="S263" s="28"/>
      <c r="T263" s="14"/>
    </row>
    <row r="264" spans="1:20" ht="18.75">
      <c r="A264" s="4" t="s">
        <v>17</v>
      </c>
      <c r="B264" s="10">
        <v>46285</v>
      </c>
      <c r="C264" s="13"/>
      <c r="D264" s="13"/>
      <c r="E264" s="13"/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27"/>
      <c r="Q264" s="27"/>
      <c r="R264" s="27"/>
      <c r="S264" s="28"/>
      <c r="T264" s="14"/>
    </row>
    <row r="265" spans="1:20" ht="18.75">
      <c r="A265" s="4" t="s">
        <v>18</v>
      </c>
      <c r="B265" s="10">
        <v>46286</v>
      </c>
      <c r="C265" s="13"/>
      <c r="D265" s="13"/>
      <c r="E265" s="13"/>
      <c r="F265" s="13"/>
      <c r="G265" s="13"/>
      <c r="H265" s="13"/>
      <c r="I265" s="13"/>
      <c r="J265" s="13"/>
      <c r="K265" s="13"/>
      <c r="L265" s="13"/>
      <c r="M265" s="13"/>
      <c r="N265" s="13"/>
      <c r="O265" s="13"/>
      <c r="P265" s="27"/>
      <c r="Q265" s="27"/>
      <c r="R265" s="27"/>
      <c r="S265" s="28"/>
      <c r="T265" s="14"/>
    </row>
    <row r="266" spans="1:20" ht="18.75">
      <c r="A266" s="4" t="s">
        <v>19</v>
      </c>
      <c r="B266" s="10">
        <v>46287</v>
      </c>
      <c r="C266" s="13"/>
      <c r="D266" s="13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27"/>
      <c r="Q266" s="27"/>
      <c r="R266" s="27"/>
      <c r="S266" s="28"/>
      <c r="T266" s="14"/>
    </row>
    <row r="267" spans="1:20" ht="18.75">
      <c r="A267" s="4" t="s">
        <v>20</v>
      </c>
      <c r="B267" s="10">
        <v>46288</v>
      </c>
      <c r="C267" s="13"/>
      <c r="D267" s="13"/>
      <c r="E267" s="13"/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27"/>
      <c r="Q267" s="27"/>
      <c r="R267" s="27"/>
      <c r="S267" s="28"/>
      <c r="T267" s="14"/>
    </row>
    <row r="268" spans="1:20" ht="18.75">
      <c r="A268" s="4" t="s">
        <v>21</v>
      </c>
      <c r="B268" s="10">
        <v>46289</v>
      </c>
      <c r="C268" s="13"/>
      <c r="D268" s="13"/>
      <c r="E268" s="13"/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27"/>
      <c r="Q268" s="27"/>
      <c r="R268" s="27"/>
      <c r="S268" s="28"/>
      <c r="T268" s="14"/>
    </row>
    <row r="269" spans="1:20" ht="18.75">
      <c r="A269" s="4" t="s">
        <v>22</v>
      </c>
      <c r="B269" s="10">
        <v>46290</v>
      </c>
      <c r="C269" s="13"/>
      <c r="D269" s="13"/>
      <c r="E269" s="13"/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27"/>
      <c r="Q269" s="27"/>
      <c r="R269" s="27"/>
      <c r="S269" s="28"/>
      <c r="T269" s="14"/>
    </row>
    <row r="270" spans="1:20" ht="18.75">
      <c r="A270" s="4" t="s">
        <v>23</v>
      </c>
      <c r="B270" s="10">
        <v>46291</v>
      </c>
      <c r="C270" s="13"/>
      <c r="D270" s="13"/>
      <c r="E270" s="13"/>
      <c r="F270" s="13"/>
      <c r="G270" s="13"/>
      <c r="H270" s="13"/>
      <c r="I270" s="13"/>
      <c r="J270" s="13"/>
      <c r="K270" s="13"/>
      <c r="L270" s="13"/>
      <c r="M270" s="13"/>
      <c r="N270" s="13"/>
      <c r="O270" s="13"/>
      <c r="P270" s="27"/>
      <c r="Q270" s="27"/>
      <c r="R270" s="27"/>
      <c r="S270" s="28"/>
      <c r="T270" s="14"/>
    </row>
    <row r="271" spans="1:20" ht="18.75">
      <c r="A271" s="4" t="s">
        <v>17</v>
      </c>
      <c r="B271" s="10">
        <v>46292</v>
      </c>
      <c r="C271" s="13"/>
      <c r="D271" s="13"/>
      <c r="E271" s="13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27"/>
      <c r="Q271" s="27"/>
      <c r="R271" s="27"/>
      <c r="S271" s="28"/>
      <c r="T271" s="14"/>
    </row>
    <row r="272" spans="1:20" ht="18.75">
      <c r="A272" s="4" t="s">
        <v>18</v>
      </c>
      <c r="B272" s="10">
        <v>46293</v>
      </c>
      <c r="C272" s="13"/>
      <c r="D272" s="13"/>
      <c r="E272" s="13"/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27"/>
      <c r="Q272" s="27"/>
      <c r="R272" s="27"/>
      <c r="S272" s="28"/>
      <c r="T272" s="14"/>
    </row>
    <row r="273" spans="1:20" ht="18.75">
      <c r="A273" s="4" t="s">
        <v>19</v>
      </c>
      <c r="B273" s="10">
        <v>46294</v>
      </c>
      <c r="C273" s="13"/>
      <c r="D273" s="13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27"/>
      <c r="Q273" s="27"/>
      <c r="R273" s="27"/>
      <c r="S273" s="28"/>
      <c r="T273" s="14"/>
    </row>
    <row r="274" spans="1:20" ht="18.75">
      <c r="A274" s="4" t="s">
        <v>20</v>
      </c>
      <c r="B274" s="10">
        <v>46295</v>
      </c>
      <c r="C274" s="13"/>
      <c r="D274" s="13"/>
      <c r="E274" s="13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27"/>
      <c r="Q274" s="27"/>
      <c r="R274" s="27"/>
      <c r="S274" s="28"/>
      <c r="T274" s="14"/>
    </row>
    <row r="275" spans="1:20" ht="18.75">
      <c r="A275" s="4" t="s">
        <v>21</v>
      </c>
      <c r="B275" s="10">
        <v>46296</v>
      </c>
      <c r="C275" s="13"/>
      <c r="D275" s="13"/>
      <c r="E275" s="13"/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27"/>
      <c r="Q275" s="27"/>
      <c r="R275" s="27"/>
      <c r="S275" s="28"/>
      <c r="T275" s="14"/>
    </row>
    <row r="276" spans="1:20" ht="18.75">
      <c r="A276" s="4" t="s">
        <v>22</v>
      </c>
      <c r="B276" s="10">
        <v>46297</v>
      </c>
      <c r="C276" s="13"/>
      <c r="D276" s="13"/>
      <c r="E276" s="13"/>
      <c r="F276" s="13"/>
      <c r="G276" s="13"/>
      <c r="H276" s="13"/>
      <c r="I276" s="13"/>
      <c r="J276" s="13"/>
      <c r="K276" s="13"/>
      <c r="L276" s="13"/>
      <c r="M276" s="13"/>
      <c r="N276" s="13"/>
      <c r="O276" s="13"/>
      <c r="P276" s="27"/>
      <c r="Q276" s="27"/>
      <c r="R276" s="27"/>
      <c r="S276" s="28"/>
      <c r="T276" s="14"/>
    </row>
    <row r="277" spans="1:20" ht="18.75">
      <c r="A277" s="4" t="s">
        <v>23</v>
      </c>
      <c r="B277" s="10">
        <v>46298</v>
      </c>
      <c r="C277" s="13"/>
      <c r="D277" s="13"/>
      <c r="E277" s="13"/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27"/>
      <c r="Q277" s="27"/>
      <c r="R277" s="27"/>
      <c r="S277" s="28"/>
      <c r="T277" s="14"/>
    </row>
    <row r="278" spans="1:20" ht="18.75">
      <c r="A278" s="4" t="s">
        <v>17</v>
      </c>
      <c r="B278" s="10">
        <v>46299</v>
      </c>
      <c r="C278" s="13"/>
      <c r="D278" s="13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27"/>
      <c r="Q278" s="27"/>
      <c r="R278" s="27"/>
      <c r="S278" s="28"/>
      <c r="T278" s="14"/>
    </row>
    <row r="279" spans="1:20" ht="18.75">
      <c r="A279" s="4" t="s">
        <v>18</v>
      </c>
      <c r="B279" s="10">
        <v>46300</v>
      </c>
      <c r="C279" s="13"/>
      <c r="D279" s="13"/>
      <c r="E279" s="13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27"/>
      <c r="Q279" s="27"/>
      <c r="R279" s="27"/>
      <c r="S279" s="28"/>
      <c r="T279" s="14"/>
    </row>
    <row r="280" spans="1:20" ht="18.75">
      <c r="A280" s="4" t="s">
        <v>19</v>
      </c>
      <c r="B280" s="10">
        <v>46301</v>
      </c>
      <c r="C280" s="13"/>
      <c r="D280" s="13"/>
      <c r="E280" s="13"/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27"/>
      <c r="Q280" s="27"/>
      <c r="R280" s="27"/>
      <c r="S280" s="28"/>
      <c r="T280" s="14"/>
    </row>
    <row r="281" spans="1:20" ht="18.75">
      <c r="A281" s="4" t="s">
        <v>20</v>
      </c>
      <c r="B281" s="10">
        <v>46302</v>
      </c>
      <c r="C281" s="13"/>
      <c r="D281" s="13"/>
      <c r="E281" s="13"/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27"/>
      <c r="Q281" s="27"/>
      <c r="R281" s="27"/>
      <c r="S281" s="28"/>
      <c r="T281" s="14"/>
    </row>
    <row r="282" spans="1:20" ht="18.75">
      <c r="A282" s="4" t="s">
        <v>21</v>
      </c>
      <c r="B282" s="10">
        <v>46303</v>
      </c>
      <c r="C282" s="13"/>
      <c r="D282" s="13"/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27"/>
      <c r="Q282" s="27"/>
      <c r="R282" s="27"/>
      <c r="S282" s="28"/>
      <c r="T282" s="14"/>
    </row>
    <row r="283" spans="1:20" ht="18.75">
      <c r="A283" s="4" t="s">
        <v>22</v>
      </c>
      <c r="B283" s="10">
        <v>46304</v>
      </c>
      <c r="C283" s="13"/>
      <c r="D283" s="13"/>
      <c r="E283" s="13"/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27"/>
      <c r="Q283" s="27"/>
      <c r="R283" s="27"/>
      <c r="S283" s="28"/>
      <c r="T283" s="14"/>
    </row>
    <row r="284" spans="1:20" ht="18.75">
      <c r="A284" s="4" t="s">
        <v>23</v>
      </c>
      <c r="B284" s="10">
        <v>46305</v>
      </c>
      <c r="C284" s="13"/>
      <c r="D284" s="13"/>
      <c r="E284" s="13"/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27"/>
      <c r="Q284" s="27"/>
      <c r="R284" s="27"/>
      <c r="S284" s="28"/>
      <c r="T284" s="14"/>
    </row>
    <row r="285" spans="1:20" ht="18.75">
      <c r="A285" s="4" t="s">
        <v>17</v>
      </c>
      <c r="B285" s="10">
        <v>46306</v>
      </c>
      <c r="C285" s="13"/>
      <c r="D285" s="13"/>
      <c r="E285" s="13"/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27"/>
      <c r="Q285" s="27"/>
      <c r="R285" s="27"/>
      <c r="S285" s="28"/>
      <c r="T285" s="14"/>
    </row>
    <row r="286" spans="1:20" ht="18.75">
      <c r="A286" s="4" t="s">
        <v>18</v>
      </c>
      <c r="B286" s="10">
        <v>46307</v>
      </c>
      <c r="C286" s="13"/>
      <c r="D286" s="13"/>
      <c r="E286" s="13"/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27"/>
      <c r="Q286" s="27"/>
      <c r="R286" s="27"/>
      <c r="S286" s="28"/>
      <c r="T286" s="14"/>
    </row>
    <row r="287" spans="1:20" ht="18.75">
      <c r="A287" s="4" t="s">
        <v>19</v>
      </c>
      <c r="B287" s="10">
        <v>46308</v>
      </c>
      <c r="C287" s="13"/>
      <c r="D287" s="13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27"/>
      <c r="Q287" s="27"/>
      <c r="R287" s="27"/>
      <c r="S287" s="28"/>
      <c r="T287" s="14"/>
    </row>
    <row r="288" spans="1:20" ht="18.75">
      <c r="A288" s="4" t="s">
        <v>20</v>
      </c>
      <c r="B288" s="10">
        <v>46309</v>
      </c>
      <c r="C288" s="13"/>
      <c r="D288" s="13"/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27"/>
      <c r="Q288" s="27"/>
      <c r="R288" s="27"/>
      <c r="S288" s="28"/>
      <c r="T288" s="14"/>
    </row>
    <row r="289" spans="1:20" ht="18.75">
      <c r="A289" s="4" t="s">
        <v>21</v>
      </c>
      <c r="B289" s="10">
        <v>46310</v>
      </c>
      <c r="C289" s="13"/>
      <c r="D289" s="13"/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27"/>
      <c r="Q289" s="27"/>
      <c r="R289" s="27"/>
      <c r="S289" s="28"/>
      <c r="T289" s="14"/>
    </row>
    <row r="290" spans="1:20" ht="18.75">
      <c r="A290" s="4" t="s">
        <v>22</v>
      </c>
      <c r="B290" s="10">
        <v>46311</v>
      </c>
      <c r="C290" s="13"/>
      <c r="D290" s="13"/>
      <c r="E290" s="13"/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27"/>
      <c r="Q290" s="27"/>
      <c r="R290" s="27"/>
      <c r="S290" s="28"/>
      <c r="T290" s="14"/>
    </row>
    <row r="291" spans="1:20" ht="18.75">
      <c r="A291" s="4" t="s">
        <v>23</v>
      </c>
      <c r="B291" s="10">
        <v>46312</v>
      </c>
      <c r="C291" s="13"/>
      <c r="D291" s="13"/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27"/>
      <c r="Q291" s="27"/>
      <c r="R291" s="27"/>
      <c r="S291" s="28"/>
      <c r="T291" s="14"/>
    </row>
    <row r="292" spans="1:20" ht="18.75">
      <c r="A292" s="4" t="s">
        <v>17</v>
      </c>
      <c r="B292" s="10">
        <v>46313</v>
      </c>
      <c r="C292" s="13"/>
      <c r="D292" s="13"/>
      <c r="E292" s="13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27"/>
      <c r="Q292" s="27"/>
      <c r="R292" s="27"/>
      <c r="S292" s="28"/>
      <c r="T292" s="14"/>
    </row>
    <row r="293" spans="1:20" ht="18.75">
      <c r="A293" s="4" t="s">
        <v>18</v>
      </c>
      <c r="B293" s="10">
        <v>46314</v>
      </c>
      <c r="C293" s="13"/>
      <c r="D293" s="13"/>
      <c r="E293" s="13"/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27"/>
      <c r="Q293" s="27"/>
      <c r="R293" s="27"/>
      <c r="S293" s="28"/>
      <c r="T293" s="14"/>
    </row>
    <row r="294" spans="1:20" ht="18.75">
      <c r="A294" s="4" t="s">
        <v>19</v>
      </c>
      <c r="B294" s="10">
        <v>46315</v>
      </c>
      <c r="C294" s="13"/>
      <c r="D294" s="13"/>
      <c r="E294" s="13"/>
      <c r="F294" s="13"/>
      <c r="G294" s="13"/>
      <c r="H294" s="13"/>
      <c r="I294" s="13"/>
      <c r="J294" s="13"/>
      <c r="K294" s="13"/>
      <c r="L294" s="13"/>
      <c r="M294" s="13"/>
      <c r="N294" s="13"/>
      <c r="O294" s="13"/>
      <c r="P294" s="27"/>
      <c r="Q294" s="27"/>
      <c r="R294" s="27"/>
      <c r="S294" s="28"/>
      <c r="T294" s="14"/>
    </row>
    <row r="295" spans="1:20" ht="18.75">
      <c r="A295" s="4" t="s">
        <v>20</v>
      </c>
      <c r="B295" s="10">
        <v>46316</v>
      </c>
      <c r="C295" s="13"/>
      <c r="D295" s="13"/>
      <c r="E295" s="13"/>
      <c r="F295" s="13"/>
      <c r="G295" s="13"/>
      <c r="H295" s="13"/>
      <c r="I295" s="13"/>
      <c r="J295" s="13"/>
      <c r="K295" s="13"/>
      <c r="L295" s="13"/>
      <c r="M295" s="13"/>
      <c r="N295" s="13"/>
      <c r="O295" s="13"/>
      <c r="P295" s="27"/>
      <c r="Q295" s="27"/>
      <c r="R295" s="27"/>
      <c r="S295" s="28"/>
      <c r="T295" s="14"/>
    </row>
    <row r="296" spans="1:20" ht="18.75">
      <c r="A296" s="4" t="s">
        <v>21</v>
      </c>
      <c r="B296" s="10">
        <v>46317</v>
      </c>
      <c r="C296" s="13"/>
      <c r="D296" s="13"/>
      <c r="E296" s="13"/>
      <c r="F296" s="13"/>
      <c r="G296" s="13"/>
      <c r="H296" s="13"/>
      <c r="I296" s="13"/>
      <c r="J296" s="13"/>
      <c r="K296" s="13"/>
      <c r="L296" s="13"/>
      <c r="M296" s="13"/>
      <c r="N296" s="13"/>
      <c r="O296" s="13"/>
      <c r="P296" s="27"/>
      <c r="Q296" s="27"/>
      <c r="R296" s="27"/>
      <c r="S296" s="28"/>
      <c r="T296" s="14"/>
    </row>
    <row r="297" spans="1:20" ht="18.75">
      <c r="A297" s="4" t="s">
        <v>22</v>
      </c>
      <c r="B297" s="10">
        <v>46318</v>
      </c>
      <c r="C297" s="13"/>
      <c r="D297" s="13"/>
      <c r="E297" s="13"/>
      <c r="F297" s="13"/>
      <c r="G297" s="13"/>
      <c r="H297" s="13"/>
      <c r="I297" s="13"/>
      <c r="J297" s="13"/>
      <c r="K297" s="13"/>
      <c r="L297" s="13"/>
      <c r="M297" s="13"/>
      <c r="N297" s="13"/>
      <c r="O297" s="13"/>
      <c r="P297" s="27"/>
      <c r="Q297" s="27"/>
      <c r="R297" s="27"/>
      <c r="S297" s="28"/>
      <c r="T297" s="14"/>
    </row>
    <row r="298" spans="1:20" ht="18.75">
      <c r="A298" s="4" t="s">
        <v>23</v>
      </c>
      <c r="B298" s="10">
        <v>46319</v>
      </c>
      <c r="C298" s="13"/>
      <c r="D298" s="13"/>
      <c r="E298" s="13"/>
      <c r="F298" s="13"/>
      <c r="G298" s="13"/>
      <c r="H298" s="13"/>
      <c r="I298" s="13"/>
      <c r="J298" s="13"/>
      <c r="K298" s="13"/>
      <c r="L298" s="13"/>
      <c r="M298" s="13"/>
      <c r="N298" s="13"/>
      <c r="O298" s="13"/>
      <c r="P298" s="27"/>
      <c r="Q298" s="27"/>
      <c r="R298" s="27"/>
      <c r="S298" s="28"/>
      <c r="T298" s="14"/>
    </row>
    <row r="299" spans="1:20" ht="18.75">
      <c r="A299" s="4" t="s">
        <v>17</v>
      </c>
      <c r="B299" s="10">
        <v>46320</v>
      </c>
      <c r="C299" s="13"/>
      <c r="D299" s="13"/>
      <c r="E299" s="13"/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27"/>
      <c r="Q299" s="27"/>
      <c r="R299" s="27"/>
      <c r="S299" s="28"/>
      <c r="T299" s="14"/>
    </row>
    <row r="300" spans="1:20" ht="18.75">
      <c r="A300" s="4" t="s">
        <v>18</v>
      </c>
      <c r="B300" s="10">
        <v>46321</v>
      </c>
      <c r="C300" s="13"/>
      <c r="D300" s="13"/>
      <c r="E300" s="13"/>
      <c r="F300" s="13"/>
      <c r="G300" s="13"/>
      <c r="H300" s="13"/>
      <c r="I300" s="13"/>
      <c r="J300" s="13"/>
      <c r="K300" s="13"/>
      <c r="L300" s="13"/>
      <c r="M300" s="13"/>
      <c r="N300" s="13"/>
      <c r="O300" s="13"/>
      <c r="P300" s="27"/>
      <c r="Q300" s="27"/>
      <c r="R300" s="27"/>
      <c r="S300" s="28"/>
      <c r="T300" s="14"/>
    </row>
    <row r="301" spans="1:20" ht="18.75">
      <c r="A301" s="4" t="s">
        <v>19</v>
      </c>
      <c r="B301" s="10">
        <v>46322</v>
      </c>
      <c r="C301" s="13"/>
      <c r="D301" s="13"/>
      <c r="E301" s="13"/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27"/>
      <c r="Q301" s="27"/>
      <c r="R301" s="27"/>
      <c r="S301" s="28"/>
      <c r="T301" s="14"/>
    </row>
    <row r="302" spans="1:20" ht="18.75">
      <c r="A302" s="4" t="s">
        <v>20</v>
      </c>
      <c r="B302" s="10">
        <v>46323</v>
      </c>
      <c r="C302" s="13"/>
      <c r="D302" s="13"/>
      <c r="E302" s="13"/>
      <c r="F302" s="13"/>
      <c r="G302" s="13"/>
      <c r="H302" s="13"/>
      <c r="I302" s="13"/>
      <c r="J302" s="13"/>
      <c r="K302" s="13"/>
      <c r="L302" s="13"/>
      <c r="M302" s="13"/>
      <c r="N302" s="13"/>
      <c r="O302" s="13"/>
      <c r="P302" s="27"/>
      <c r="Q302" s="27"/>
      <c r="R302" s="27"/>
      <c r="S302" s="28"/>
      <c r="T302" s="14"/>
    </row>
    <row r="303" spans="1:20" ht="18.75">
      <c r="A303" s="4" t="s">
        <v>21</v>
      </c>
      <c r="B303" s="10">
        <v>46324</v>
      </c>
      <c r="C303" s="13"/>
      <c r="D303" s="13"/>
      <c r="E303" s="13"/>
      <c r="F303" s="13"/>
      <c r="G303" s="13"/>
      <c r="H303" s="13"/>
      <c r="I303" s="13"/>
      <c r="J303" s="13"/>
      <c r="K303" s="13"/>
      <c r="L303" s="13"/>
      <c r="M303" s="13"/>
      <c r="N303" s="13"/>
      <c r="O303" s="13"/>
      <c r="P303" s="27"/>
      <c r="Q303" s="27"/>
      <c r="R303" s="27"/>
      <c r="S303" s="28"/>
      <c r="T303" s="14"/>
    </row>
    <row r="304" spans="1:20" ht="18.75">
      <c r="A304" s="4" t="s">
        <v>22</v>
      </c>
      <c r="B304" s="10">
        <v>46325</v>
      </c>
      <c r="C304" s="13"/>
      <c r="D304" s="13"/>
      <c r="E304" s="13"/>
      <c r="F304" s="13"/>
      <c r="G304" s="13"/>
      <c r="H304" s="13"/>
      <c r="I304" s="13"/>
      <c r="J304" s="13"/>
      <c r="K304" s="13"/>
      <c r="L304" s="13"/>
      <c r="M304" s="13"/>
      <c r="N304" s="13"/>
      <c r="O304" s="13"/>
      <c r="P304" s="27"/>
      <c r="Q304" s="27"/>
      <c r="R304" s="27"/>
      <c r="S304" s="28"/>
      <c r="T304" s="14"/>
    </row>
    <row r="305" spans="1:20" ht="18.75">
      <c r="A305" s="4" t="s">
        <v>23</v>
      </c>
      <c r="B305" s="10">
        <v>46326</v>
      </c>
      <c r="C305" s="13"/>
      <c r="D305" s="13"/>
      <c r="E305" s="13"/>
      <c r="F305" s="13"/>
      <c r="G305" s="13"/>
      <c r="H305" s="13"/>
      <c r="I305" s="13"/>
      <c r="J305" s="13"/>
      <c r="K305" s="13"/>
      <c r="L305" s="13"/>
      <c r="M305" s="13"/>
      <c r="N305" s="13"/>
      <c r="O305" s="13"/>
      <c r="P305" s="27"/>
      <c r="Q305" s="27"/>
      <c r="R305" s="27"/>
      <c r="S305" s="28"/>
      <c r="T305" s="14"/>
    </row>
    <row r="306" spans="1:20" ht="18.75">
      <c r="A306" s="4" t="s">
        <v>17</v>
      </c>
      <c r="B306" s="10">
        <v>46327</v>
      </c>
      <c r="C306" s="13"/>
      <c r="D306" s="13"/>
      <c r="E306" s="13"/>
      <c r="F306" s="13"/>
      <c r="G306" s="13"/>
      <c r="H306" s="13"/>
      <c r="I306" s="13"/>
      <c r="J306" s="13"/>
      <c r="K306" s="13"/>
      <c r="L306" s="13"/>
      <c r="M306" s="13"/>
      <c r="N306" s="13"/>
      <c r="O306" s="13"/>
      <c r="P306" s="27"/>
      <c r="Q306" s="27"/>
      <c r="R306" s="27"/>
      <c r="S306" s="28"/>
      <c r="T306" s="14"/>
    </row>
    <row r="307" spans="1:20" ht="18.75">
      <c r="A307" s="4" t="s">
        <v>18</v>
      </c>
      <c r="B307" s="10">
        <v>46328</v>
      </c>
      <c r="C307" s="13"/>
      <c r="D307" s="13"/>
      <c r="E307" s="13"/>
      <c r="F307" s="13"/>
      <c r="G307" s="13"/>
      <c r="H307" s="13"/>
      <c r="I307" s="13"/>
      <c r="J307" s="13"/>
      <c r="K307" s="13"/>
      <c r="L307" s="13"/>
      <c r="M307" s="13"/>
      <c r="N307" s="13"/>
      <c r="O307" s="13"/>
      <c r="P307" s="27"/>
      <c r="Q307" s="27"/>
      <c r="R307" s="27"/>
      <c r="S307" s="28"/>
      <c r="T307" s="14"/>
    </row>
    <row r="308" spans="1:20" ht="18.75">
      <c r="A308" s="4" t="s">
        <v>19</v>
      </c>
      <c r="B308" s="10">
        <v>46329</v>
      </c>
      <c r="C308" s="13"/>
      <c r="D308" s="13"/>
      <c r="E308" s="13"/>
      <c r="F308" s="13"/>
      <c r="G308" s="13"/>
      <c r="H308" s="13"/>
      <c r="I308" s="13"/>
      <c r="J308" s="13"/>
      <c r="K308" s="13"/>
      <c r="L308" s="13"/>
      <c r="M308" s="13"/>
      <c r="N308" s="13"/>
      <c r="O308" s="13"/>
      <c r="P308" s="27"/>
      <c r="Q308" s="27"/>
      <c r="R308" s="27"/>
      <c r="S308" s="28"/>
      <c r="T308" s="14"/>
    </row>
    <row r="309" spans="1:20" ht="18.75">
      <c r="A309" s="4" t="s">
        <v>20</v>
      </c>
      <c r="B309" s="10">
        <v>46330</v>
      </c>
      <c r="C309" s="13"/>
      <c r="D309" s="13"/>
      <c r="E309" s="13"/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27"/>
      <c r="Q309" s="27"/>
      <c r="R309" s="27"/>
      <c r="S309" s="28"/>
      <c r="T309" s="14"/>
    </row>
    <row r="310" spans="1:20" ht="18.75">
      <c r="A310" s="4" t="s">
        <v>21</v>
      </c>
      <c r="B310" s="10">
        <v>46331</v>
      </c>
      <c r="C310" s="13"/>
      <c r="D310" s="13"/>
      <c r="E310" s="13"/>
      <c r="F310" s="13"/>
      <c r="G310" s="13"/>
      <c r="H310" s="13"/>
      <c r="I310" s="13"/>
      <c r="J310" s="13"/>
      <c r="K310" s="13"/>
      <c r="L310" s="13"/>
      <c r="M310" s="13"/>
      <c r="N310" s="13"/>
      <c r="O310" s="13"/>
      <c r="P310" s="27"/>
      <c r="Q310" s="27"/>
      <c r="R310" s="27"/>
      <c r="S310" s="28"/>
      <c r="T310" s="14"/>
    </row>
    <row r="311" spans="1:20" ht="18.75">
      <c r="A311" s="4" t="s">
        <v>22</v>
      </c>
      <c r="B311" s="10">
        <v>46332</v>
      </c>
      <c r="C311" s="13"/>
      <c r="D311" s="13"/>
      <c r="E311" s="13"/>
      <c r="F311" s="13"/>
      <c r="G311" s="13"/>
      <c r="H311" s="13"/>
      <c r="I311" s="13"/>
      <c r="J311" s="13"/>
      <c r="K311" s="13"/>
      <c r="L311" s="13"/>
      <c r="M311" s="13"/>
      <c r="N311" s="13"/>
      <c r="O311" s="13"/>
      <c r="P311" s="27"/>
      <c r="Q311" s="27"/>
      <c r="R311" s="27"/>
      <c r="S311" s="28"/>
      <c r="T311" s="14"/>
    </row>
    <row r="312" spans="1:20" ht="18.75">
      <c r="A312" s="4" t="s">
        <v>23</v>
      </c>
      <c r="B312" s="10">
        <v>46333</v>
      </c>
      <c r="C312" s="13"/>
      <c r="D312" s="13"/>
      <c r="E312" s="13"/>
      <c r="F312" s="13"/>
      <c r="G312" s="13"/>
      <c r="H312" s="13"/>
      <c r="I312" s="13"/>
      <c r="J312" s="13"/>
      <c r="K312" s="13"/>
      <c r="L312" s="13"/>
      <c r="M312" s="13"/>
      <c r="N312" s="13"/>
      <c r="O312" s="13"/>
      <c r="P312" s="27"/>
      <c r="Q312" s="27"/>
      <c r="R312" s="27"/>
      <c r="S312" s="28"/>
      <c r="T312" s="14"/>
    </row>
    <row r="313" spans="1:20" ht="18.75">
      <c r="A313" s="4" t="s">
        <v>17</v>
      </c>
      <c r="B313" s="10">
        <v>46334</v>
      </c>
      <c r="C313" s="13"/>
      <c r="D313" s="13"/>
      <c r="E313" s="13"/>
      <c r="F313" s="13"/>
      <c r="G313" s="13"/>
      <c r="H313" s="13"/>
      <c r="I313" s="13"/>
      <c r="J313" s="13"/>
      <c r="K313" s="13"/>
      <c r="L313" s="13"/>
      <c r="M313" s="13"/>
      <c r="N313" s="13"/>
      <c r="O313" s="13"/>
      <c r="P313" s="27"/>
      <c r="Q313" s="27"/>
      <c r="R313" s="27"/>
      <c r="S313" s="28"/>
      <c r="T313" s="14"/>
    </row>
    <row r="314" spans="1:20" ht="18.75">
      <c r="A314" s="4" t="s">
        <v>18</v>
      </c>
      <c r="B314" s="10">
        <v>46335</v>
      </c>
      <c r="C314" s="13"/>
      <c r="D314" s="13"/>
      <c r="E314" s="13"/>
      <c r="F314" s="13"/>
      <c r="G314" s="13"/>
      <c r="H314" s="13"/>
      <c r="I314" s="13"/>
      <c r="J314" s="13"/>
      <c r="K314" s="13"/>
      <c r="L314" s="13"/>
      <c r="M314" s="13"/>
      <c r="N314" s="13"/>
      <c r="O314" s="13"/>
      <c r="P314" s="27"/>
      <c r="Q314" s="27"/>
      <c r="R314" s="27"/>
      <c r="S314" s="28"/>
      <c r="T314" s="14"/>
    </row>
    <row r="315" spans="1:20" ht="18.75">
      <c r="A315" s="4" t="s">
        <v>19</v>
      </c>
      <c r="B315" s="10">
        <v>46336</v>
      </c>
      <c r="C315" s="13"/>
      <c r="D315" s="13"/>
      <c r="E315" s="13"/>
      <c r="F315" s="13"/>
      <c r="G315" s="13"/>
      <c r="H315" s="13"/>
      <c r="I315" s="13"/>
      <c r="J315" s="13"/>
      <c r="K315" s="13"/>
      <c r="L315" s="13"/>
      <c r="M315" s="13"/>
      <c r="N315" s="13"/>
      <c r="O315" s="13"/>
      <c r="P315" s="27"/>
      <c r="Q315" s="27"/>
      <c r="R315" s="27"/>
      <c r="S315" s="28"/>
      <c r="T315" s="14"/>
    </row>
    <row r="316" spans="1:20" ht="18.75">
      <c r="A316" s="4" t="s">
        <v>20</v>
      </c>
      <c r="B316" s="10">
        <v>46337</v>
      </c>
      <c r="C316" s="13"/>
      <c r="D316" s="13"/>
      <c r="E316" s="13"/>
      <c r="F316" s="13"/>
      <c r="G316" s="13"/>
      <c r="H316" s="13"/>
      <c r="I316" s="13"/>
      <c r="J316" s="13"/>
      <c r="K316" s="13"/>
      <c r="L316" s="13"/>
      <c r="M316" s="13"/>
      <c r="N316" s="13"/>
      <c r="O316" s="13"/>
      <c r="P316" s="27"/>
      <c r="Q316" s="27"/>
      <c r="R316" s="27"/>
      <c r="S316" s="28"/>
      <c r="T316" s="14"/>
    </row>
    <row r="317" spans="1:20" ht="18.75">
      <c r="A317" s="4" t="s">
        <v>21</v>
      </c>
      <c r="B317" s="10">
        <v>46338</v>
      </c>
      <c r="C317" s="13"/>
      <c r="D317" s="13"/>
      <c r="E317" s="13"/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P317" s="27"/>
      <c r="Q317" s="27"/>
      <c r="R317" s="27"/>
      <c r="S317" s="28"/>
      <c r="T317" s="14"/>
    </row>
    <row r="318" spans="1:20" ht="18.75">
      <c r="A318" s="4" t="s">
        <v>22</v>
      </c>
      <c r="B318" s="10">
        <v>46339</v>
      </c>
      <c r="C318" s="13"/>
      <c r="D318" s="13"/>
      <c r="E318" s="13"/>
      <c r="F318" s="13"/>
      <c r="G318" s="13"/>
      <c r="H318" s="13"/>
      <c r="I318" s="13"/>
      <c r="J318" s="13"/>
      <c r="K318" s="13"/>
      <c r="L318" s="13"/>
      <c r="M318" s="13"/>
      <c r="N318" s="13"/>
      <c r="O318" s="13"/>
      <c r="P318" s="27"/>
      <c r="Q318" s="27"/>
      <c r="R318" s="27"/>
      <c r="S318" s="28"/>
      <c r="T318" s="14"/>
    </row>
    <row r="319" spans="1:20" ht="18.75">
      <c r="A319" s="4" t="s">
        <v>23</v>
      </c>
      <c r="B319" s="10">
        <v>46340</v>
      </c>
      <c r="C319" s="13"/>
      <c r="D319" s="13"/>
      <c r="E319" s="13"/>
      <c r="F319" s="13"/>
      <c r="G319" s="13"/>
      <c r="H319" s="13"/>
      <c r="I319" s="13"/>
      <c r="J319" s="13"/>
      <c r="K319" s="13"/>
      <c r="L319" s="13"/>
      <c r="M319" s="13"/>
      <c r="N319" s="13"/>
      <c r="O319" s="13"/>
      <c r="P319" s="27"/>
      <c r="Q319" s="27"/>
      <c r="R319" s="27"/>
      <c r="S319" s="28"/>
      <c r="T319" s="14"/>
    </row>
    <row r="320" spans="1:20" ht="18.75">
      <c r="A320" s="4" t="s">
        <v>17</v>
      </c>
      <c r="B320" s="10">
        <v>46341</v>
      </c>
      <c r="C320" s="13"/>
      <c r="D320" s="13"/>
      <c r="E320" s="13"/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27"/>
      <c r="Q320" s="27"/>
      <c r="R320" s="27"/>
      <c r="S320" s="28"/>
      <c r="T320" s="14"/>
    </row>
    <row r="321" spans="1:20" ht="18.75">
      <c r="A321" s="4" t="s">
        <v>18</v>
      </c>
      <c r="B321" s="10">
        <v>46342</v>
      </c>
      <c r="C321" s="13"/>
      <c r="D321" s="13"/>
      <c r="E321" s="13"/>
      <c r="F321" s="13"/>
      <c r="G321" s="13"/>
      <c r="H321" s="13"/>
      <c r="I321" s="13"/>
      <c r="J321" s="13"/>
      <c r="K321" s="13"/>
      <c r="L321" s="13"/>
      <c r="M321" s="13"/>
      <c r="N321" s="13"/>
      <c r="O321" s="13"/>
      <c r="P321" s="27"/>
      <c r="Q321" s="27"/>
      <c r="R321" s="27"/>
      <c r="S321" s="28"/>
      <c r="T321" s="14"/>
    </row>
    <row r="322" spans="1:20" ht="18.75">
      <c r="A322" s="4" t="s">
        <v>19</v>
      </c>
      <c r="B322" s="10">
        <v>46343</v>
      </c>
      <c r="C322" s="13"/>
      <c r="D322" s="13"/>
      <c r="E322" s="13"/>
      <c r="F322" s="13"/>
      <c r="G322" s="13"/>
      <c r="H322" s="13"/>
      <c r="I322" s="13"/>
      <c r="J322" s="13"/>
      <c r="K322" s="13"/>
      <c r="L322" s="13"/>
      <c r="M322" s="13"/>
      <c r="N322" s="13"/>
      <c r="O322" s="13"/>
      <c r="P322" s="27"/>
      <c r="Q322" s="27"/>
      <c r="R322" s="27"/>
      <c r="S322" s="28"/>
      <c r="T322" s="14"/>
    </row>
    <row r="323" spans="1:20" ht="18.75">
      <c r="A323" s="4" t="s">
        <v>20</v>
      </c>
      <c r="B323" s="10">
        <v>46344</v>
      </c>
      <c r="C323" s="13"/>
      <c r="D323" s="13"/>
      <c r="E323" s="13"/>
      <c r="F323" s="13"/>
      <c r="G323" s="13"/>
      <c r="H323" s="13"/>
      <c r="I323" s="13"/>
      <c r="J323" s="13"/>
      <c r="K323" s="13"/>
      <c r="L323" s="13"/>
      <c r="M323" s="13"/>
      <c r="N323" s="13"/>
      <c r="O323" s="13"/>
      <c r="P323" s="27"/>
      <c r="Q323" s="27"/>
      <c r="R323" s="27"/>
      <c r="S323" s="28"/>
      <c r="T323" s="14"/>
    </row>
    <row r="324" spans="1:20" ht="18.75">
      <c r="A324" s="4" t="s">
        <v>21</v>
      </c>
      <c r="B324" s="10">
        <v>46345</v>
      </c>
      <c r="C324" s="13"/>
      <c r="D324" s="13"/>
      <c r="E324" s="13"/>
      <c r="F324" s="13"/>
      <c r="G324" s="13"/>
      <c r="H324" s="13"/>
      <c r="I324" s="13"/>
      <c r="J324" s="13"/>
      <c r="K324" s="13"/>
      <c r="L324" s="13"/>
      <c r="M324" s="13"/>
      <c r="N324" s="13"/>
      <c r="O324" s="13"/>
      <c r="P324" s="27"/>
      <c r="Q324" s="27"/>
      <c r="R324" s="27"/>
      <c r="S324" s="28"/>
      <c r="T324" s="14"/>
    </row>
    <row r="325" spans="1:20" ht="18.75">
      <c r="A325" s="4" t="s">
        <v>22</v>
      </c>
      <c r="B325" s="10">
        <v>46346</v>
      </c>
      <c r="C325" s="13"/>
      <c r="D325" s="13"/>
      <c r="E325" s="13"/>
      <c r="F325" s="13"/>
      <c r="G325" s="13"/>
      <c r="H325" s="13"/>
      <c r="I325" s="13"/>
      <c r="J325" s="13"/>
      <c r="K325" s="13"/>
      <c r="L325" s="13"/>
      <c r="M325" s="13"/>
      <c r="N325" s="13"/>
      <c r="O325" s="13"/>
      <c r="P325" s="27"/>
      <c r="Q325" s="27"/>
      <c r="R325" s="27"/>
      <c r="S325" s="28"/>
      <c r="T325" s="14"/>
    </row>
    <row r="326" spans="1:20" ht="18.75">
      <c r="A326" s="4" t="s">
        <v>23</v>
      </c>
      <c r="B326" s="10">
        <v>46347</v>
      </c>
      <c r="C326" s="13"/>
      <c r="D326" s="13"/>
      <c r="E326" s="13"/>
      <c r="F326" s="13"/>
      <c r="G326" s="13"/>
      <c r="H326" s="13"/>
      <c r="I326" s="13"/>
      <c r="J326" s="13"/>
      <c r="K326" s="13"/>
      <c r="L326" s="13"/>
      <c r="M326" s="13"/>
      <c r="N326" s="13"/>
      <c r="O326" s="13"/>
      <c r="P326" s="27"/>
      <c r="Q326" s="27"/>
      <c r="R326" s="27"/>
      <c r="S326" s="28"/>
      <c r="T326" s="14"/>
    </row>
    <row r="327" spans="1:20" ht="18.75">
      <c r="A327" s="4" t="s">
        <v>17</v>
      </c>
      <c r="B327" s="10">
        <v>46348</v>
      </c>
      <c r="C327" s="13"/>
      <c r="D327" s="13"/>
      <c r="E327" s="13"/>
      <c r="F327" s="13"/>
      <c r="G327" s="13"/>
      <c r="H327" s="13"/>
      <c r="I327" s="13"/>
      <c r="J327" s="13"/>
      <c r="K327" s="13"/>
      <c r="L327" s="13"/>
      <c r="M327" s="13"/>
      <c r="N327" s="13"/>
      <c r="O327" s="13"/>
      <c r="P327" s="27"/>
      <c r="Q327" s="27"/>
      <c r="R327" s="27"/>
      <c r="S327" s="28"/>
      <c r="T327" s="14"/>
    </row>
    <row r="328" spans="1:20" ht="18.75">
      <c r="A328" s="4" t="s">
        <v>18</v>
      </c>
      <c r="B328" s="10">
        <v>46349</v>
      </c>
      <c r="C328" s="13"/>
      <c r="D328" s="13"/>
      <c r="E328" s="13"/>
      <c r="F328" s="13"/>
      <c r="G328" s="13"/>
      <c r="H328" s="13"/>
      <c r="I328" s="13"/>
      <c r="J328" s="13"/>
      <c r="K328" s="13"/>
      <c r="L328" s="13"/>
      <c r="M328" s="13"/>
      <c r="N328" s="13"/>
      <c r="O328" s="13"/>
      <c r="P328" s="27"/>
      <c r="Q328" s="27"/>
      <c r="R328" s="27"/>
      <c r="S328" s="28"/>
      <c r="T328" s="14"/>
    </row>
    <row r="329" spans="1:20" ht="18.75">
      <c r="A329" s="4" t="s">
        <v>19</v>
      </c>
      <c r="B329" s="10">
        <v>46350</v>
      </c>
      <c r="C329" s="13"/>
      <c r="D329" s="13"/>
      <c r="E329" s="13"/>
      <c r="F329" s="13"/>
      <c r="G329" s="13"/>
      <c r="H329" s="13"/>
      <c r="I329" s="13"/>
      <c r="J329" s="13"/>
      <c r="K329" s="13"/>
      <c r="L329" s="13"/>
      <c r="M329" s="13"/>
      <c r="N329" s="13"/>
      <c r="O329" s="13"/>
      <c r="P329" s="27"/>
      <c r="Q329" s="27"/>
      <c r="R329" s="27"/>
      <c r="S329" s="28"/>
      <c r="T329" s="14"/>
    </row>
    <row r="330" spans="1:20" ht="18.75">
      <c r="A330" s="4" t="s">
        <v>20</v>
      </c>
      <c r="B330" s="10">
        <v>46351</v>
      </c>
      <c r="C330" s="13"/>
      <c r="D330" s="13"/>
      <c r="E330" s="13"/>
      <c r="F330" s="13"/>
      <c r="G330" s="13"/>
      <c r="H330" s="13"/>
      <c r="I330" s="13"/>
      <c r="J330" s="13"/>
      <c r="K330" s="13"/>
      <c r="L330" s="13"/>
      <c r="M330" s="13"/>
      <c r="N330" s="13"/>
      <c r="O330" s="13"/>
      <c r="P330" s="27"/>
      <c r="Q330" s="27"/>
      <c r="R330" s="27"/>
      <c r="S330" s="28"/>
      <c r="T330" s="14"/>
    </row>
    <row r="331" spans="1:20" ht="18.75">
      <c r="A331" s="4" t="s">
        <v>21</v>
      </c>
      <c r="B331" s="10">
        <v>46352</v>
      </c>
      <c r="C331" s="13"/>
      <c r="D331" s="13"/>
      <c r="E331" s="13"/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27"/>
      <c r="Q331" s="27"/>
      <c r="R331" s="27"/>
      <c r="S331" s="28"/>
      <c r="T331" s="14"/>
    </row>
    <row r="332" spans="1:20" ht="18.75">
      <c r="A332" s="4" t="s">
        <v>22</v>
      </c>
      <c r="B332" s="10">
        <v>46353</v>
      </c>
      <c r="C332" s="13"/>
      <c r="D332" s="13"/>
      <c r="E332" s="13"/>
      <c r="F332" s="13"/>
      <c r="G332" s="13"/>
      <c r="H332" s="13"/>
      <c r="I332" s="13"/>
      <c r="J332" s="13"/>
      <c r="K332" s="13"/>
      <c r="L332" s="13"/>
      <c r="M332" s="13"/>
      <c r="N332" s="13"/>
      <c r="O332" s="13"/>
      <c r="P332" s="27"/>
      <c r="Q332" s="27"/>
      <c r="R332" s="27"/>
      <c r="S332" s="28"/>
      <c r="T332" s="14"/>
    </row>
    <row r="333" spans="1:20" ht="18.75">
      <c r="A333" s="4" t="s">
        <v>23</v>
      </c>
      <c r="B333" s="10">
        <v>46354</v>
      </c>
      <c r="C333" s="13"/>
      <c r="D333" s="13"/>
      <c r="E333" s="13"/>
      <c r="F333" s="13"/>
      <c r="G333" s="13"/>
      <c r="H333" s="13"/>
      <c r="I333" s="13"/>
      <c r="J333" s="13"/>
      <c r="K333" s="13"/>
      <c r="L333" s="13"/>
      <c r="M333" s="13"/>
      <c r="N333" s="13"/>
      <c r="O333" s="13"/>
      <c r="P333" s="27"/>
      <c r="Q333" s="27"/>
      <c r="R333" s="27"/>
      <c r="S333" s="28"/>
      <c r="T333" s="14"/>
    </row>
    <row r="334" spans="1:20" ht="18.75">
      <c r="A334" s="4" t="s">
        <v>17</v>
      </c>
      <c r="B334" s="10">
        <v>46355</v>
      </c>
      <c r="C334" s="13"/>
      <c r="D334" s="13"/>
      <c r="E334" s="13"/>
      <c r="F334" s="13"/>
      <c r="G334" s="13"/>
      <c r="H334" s="13"/>
      <c r="I334" s="13"/>
      <c r="J334" s="13"/>
      <c r="K334" s="13"/>
      <c r="L334" s="13"/>
      <c r="M334" s="13"/>
      <c r="N334" s="13"/>
      <c r="O334" s="13"/>
      <c r="P334" s="27"/>
      <c r="Q334" s="27"/>
      <c r="R334" s="27"/>
      <c r="S334" s="28"/>
      <c r="T334" s="14"/>
    </row>
    <row r="335" spans="1:20" ht="18.75">
      <c r="A335" s="4" t="s">
        <v>18</v>
      </c>
      <c r="B335" s="10">
        <v>46356</v>
      </c>
      <c r="C335" s="13"/>
      <c r="D335" s="13"/>
      <c r="E335" s="13"/>
      <c r="F335" s="13"/>
      <c r="G335" s="13"/>
      <c r="H335" s="13"/>
      <c r="I335" s="13"/>
      <c r="J335" s="13"/>
      <c r="K335" s="13"/>
      <c r="L335" s="13"/>
      <c r="M335" s="13"/>
      <c r="N335" s="13"/>
      <c r="O335" s="13"/>
      <c r="P335" s="27"/>
      <c r="Q335" s="27"/>
      <c r="R335" s="27"/>
      <c r="S335" s="28"/>
      <c r="T335" s="14"/>
    </row>
    <row r="336" spans="1:20" ht="18.75">
      <c r="A336" s="4" t="s">
        <v>19</v>
      </c>
      <c r="B336" s="10">
        <v>46357</v>
      </c>
      <c r="C336" s="13"/>
      <c r="D336" s="13"/>
      <c r="E336" s="13"/>
      <c r="F336" s="13"/>
      <c r="G336" s="13"/>
      <c r="H336" s="13"/>
      <c r="I336" s="13"/>
      <c r="J336" s="13"/>
      <c r="K336" s="13"/>
      <c r="L336" s="13"/>
      <c r="M336" s="13"/>
      <c r="N336" s="13"/>
      <c r="O336" s="13"/>
      <c r="P336" s="27"/>
      <c r="Q336" s="27"/>
      <c r="R336" s="27"/>
      <c r="S336" s="28"/>
      <c r="T336" s="14"/>
    </row>
    <row r="337" spans="1:20" ht="18.75">
      <c r="A337" s="4" t="s">
        <v>20</v>
      </c>
      <c r="B337" s="10">
        <v>46358</v>
      </c>
      <c r="C337" s="13"/>
      <c r="D337" s="13"/>
      <c r="E337" s="13"/>
      <c r="F337" s="13"/>
      <c r="G337" s="13"/>
      <c r="H337" s="13"/>
      <c r="I337" s="13"/>
      <c r="J337" s="13"/>
      <c r="K337" s="13"/>
      <c r="L337" s="13"/>
      <c r="M337" s="13"/>
      <c r="N337" s="13"/>
      <c r="O337" s="13"/>
      <c r="P337" s="27"/>
      <c r="Q337" s="27"/>
      <c r="R337" s="27"/>
      <c r="S337" s="28"/>
      <c r="T337" s="14"/>
    </row>
    <row r="338" spans="1:20" ht="18.75">
      <c r="A338" s="4" t="s">
        <v>21</v>
      </c>
      <c r="B338" s="10">
        <v>46359</v>
      </c>
      <c r="C338" s="13"/>
      <c r="D338" s="13"/>
      <c r="E338" s="13"/>
      <c r="F338" s="13"/>
      <c r="G338" s="13"/>
      <c r="H338" s="13"/>
      <c r="I338" s="13"/>
      <c r="J338" s="13"/>
      <c r="K338" s="13"/>
      <c r="L338" s="13"/>
      <c r="M338" s="13"/>
      <c r="N338" s="13"/>
      <c r="O338" s="13"/>
      <c r="P338" s="27"/>
      <c r="Q338" s="27"/>
      <c r="R338" s="27"/>
      <c r="S338" s="28"/>
      <c r="T338" s="14"/>
    </row>
    <row r="339" spans="1:20" ht="18.75">
      <c r="A339" s="4" t="s">
        <v>22</v>
      </c>
      <c r="B339" s="10">
        <v>46360</v>
      </c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13"/>
      <c r="O339" s="2"/>
      <c r="P339" s="3"/>
      <c r="Q339" s="3"/>
      <c r="R339" s="3"/>
      <c r="S339" s="5"/>
    </row>
    <row r="340" spans="1:20" ht="18.75">
      <c r="A340" s="4" t="s">
        <v>23</v>
      </c>
      <c r="B340" s="10">
        <v>46361</v>
      </c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13"/>
      <c r="O340" s="2"/>
      <c r="P340" s="3"/>
      <c r="Q340" s="3"/>
      <c r="R340" s="3"/>
      <c r="S340" s="5"/>
    </row>
    <row r="341" spans="1:20" ht="18.75">
      <c r="A341" s="4" t="s">
        <v>17</v>
      </c>
      <c r="B341" s="10">
        <v>46362</v>
      </c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13"/>
      <c r="O341" s="2"/>
      <c r="P341" s="3"/>
      <c r="Q341" s="3"/>
      <c r="R341" s="3"/>
      <c r="S341" s="5"/>
    </row>
    <row r="342" spans="1:20" ht="18.75">
      <c r="A342" s="4" t="s">
        <v>18</v>
      </c>
      <c r="B342" s="10">
        <v>46363</v>
      </c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13"/>
      <c r="O342" s="2"/>
      <c r="P342" s="3"/>
      <c r="Q342" s="3"/>
      <c r="R342" s="3"/>
      <c r="S342" s="5"/>
    </row>
    <row r="343" spans="1:20" ht="18.75">
      <c r="A343" s="4" t="s">
        <v>19</v>
      </c>
      <c r="B343" s="10">
        <v>46364</v>
      </c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13"/>
      <c r="O343" s="2"/>
      <c r="P343" s="3"/>
      <c r="Q343" s="3"/>
      <c r="R343" s="3"/>
      <c r="S343" s="5"/>
    </row>
    <row r="344" spans="1:20" ht="18.75">
      <c r="A344" s="4" t="s">
        <v>20</v>
      </c>
      <c r="B344" s="10">
        <v>46365</v>
      </c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13"/>
      <c r="O344" s="2"/>
      <c r="P344" s="3"/>
      <c r="Q344" s="3"/>
      <c r="R344" s="3"/>
      <c r="S344" s="5"/>
    </row>
    <row r="345" spans="1:20" ht="18.75">
      <c r="A345" s="4" t="s">
        <v>21</v>
      </c>
      <c r="B345" s="10">
        <v>46366</v>
      </c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13"/>
      <c r="O345" s="2"/>
      <c r="P345" s="3"/>
      <c r="Q345" s="3"/>
      <c r="R345" s="3"/>
      <c r="S345" s="5"/>
    </row>
    <row r="346" spans="1:20" ht="18.75">
      <c r="A346" s="4" t="s">
        <v>22</v>
      </c>
      <c r="B346" s="10">
        <v>46367</v>
      </c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13"/>
      <c r="O346" s="2"/>
      <c r="P346" s="3"/>
      <c r="Q346" s="3"/>
      <c r="R346" s="3"/>
      <c r="S346" s="5"/>
    </row>
    <row r="347" spans="1:20" ht="18.75">
      <c r="A347" s="4" t="s">
        <v>23</v>
      </c>
      <c r="B347" s="10">
        <v>46368</v>
      </c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13"/>
      <c r="O347" s="2"/>
      <c r="P347" s="3"/>
      <c r="Q347" s="3"/>
      <c r="R347" s="3"/>
      <c r="S347" s="5"/>
    </row>
    <row r="348" spans="1:20" ht="18.75">
      <c r="A348" s="4" t="s">
        <v>17</v>
      </c>
      <c r="B348" s="10">
        <v>46369</v>
      </c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13"/>
      <c r="O348" s="2"/>
      <c r="P348" s="3"/>
      <c r="Q348" s="3"/>
      <c r="R348" s="3"/>
      <c r="S348" s="5"/>
    </row>
    <row r="349" spans="1:20" ht="18.75">
      <c r="A349" s="4" t="s">
        <v>18</v>
      </c>
      <c r="B349" s="10">
        <v>46370</v>
      </c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13"/>
      <c r="O349" s="2"/>
      <c r="P349" s="3"/>
      <c r="Q349" s="3"/>
      <c r="R349" s="3"/>
      <c r="S349" s="5"/>
    </row>
    <row r="350" spans="1:20" ht="18.75">
      <c r="A350" s="4" t="s">
        <v>19</v>
      </c>
      <c r="B350" s="10">
        <v>46371</v>
      </c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13"/>
      <c r="O350" s="2"/>
      <c r="P350" s="3"/>
      <c r="Q350" s="3"/>
      <c r="R350" s="3"/>
      <c r="S350" s="5"/>
    </row>
    <row r="351" spans="1:20" ht="18.75">
      <c r="A351" s="4" t="s">
        <v>20</v>
      </c>
      <c r="B351" s="10">
        <v>46372</v>
      </c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13"/>
      <c r="O351" s="2"/>
      <c r="P351" s="3"/>
      <c r="Q351" s="3"/>
      <c r="R351" s="3"/>
      <c r="S351" s="5"/>
    </row>
    <row r="352" spans="1:20" ht="18.75">
      <c r="A352" s="4" t="s">
        <v>21</v>
      </c>
      <c r="B352" s="10">
        <v>46373</v>
      </c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13"/>
      <c r="O352" s="2"/>
      <c r="P352" s="3"/>
      <c r="Q352" s="3"/>
      <c r="R352" s="3"/>
      <c r="S352" s="5"/>
    </row>
    <row r="353" spans="1:19" ht="18.75">
      <c r="A353" s="4" t="s">
        <v>22</v>
      </c>
      <c r="B353" s="10">
        <v>46374</v>
      </c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13"/>
      <c r="O353" s="2"/>
      <c r="P353" s="3"/>
      <c r="Q353" s="3"/>
      <c r="R353" s="3"/>
      <c r="S353" s="5"/>
    </row>
    <row r="354" spans="1:19" ht="18.75">
      <c r="A354" s="4" t="s">
        <v>23</v>
      </c>
      <c r="B354" s="10">
        <v>46375</v>
      </c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13"/>
      <c r="O354" s="2"/>
      <c r="P354" s="3"/>
      <c r="Q354" s="3"/>
      <c r="R354" s="3"/>
      <c r="S354" s="5"/>
    </row>
    <row r="355" spans="1:19" ht="18.75">
      <c r="A355" s="4" t="s">
        <v>17</v>
      </c>
      <c r="B355" s="10">
        <v>46376</v>
      </c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13"/>
      <c r="O355" s="2"/>
      <c r="P355" s="3"/>
      <c r="Q355" s="3"/>
      <c r="R355" s="3"/>
      <c r="S355" s="5"/>
    </row>
    <row r="356" spans="1:19" ht="18.75">
      <c r="A356" s="4" t="s">
        <v>18</v>
      </c>
      <c r="B356" s="10">
        <v>46377</v>
      </c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13"/>
      <c r="O356" s="2"/>
      <c r="P356" s="3"/>
      <c r="Q356" s="3"/>
      <c r="R356" s="3"/>
      <c r="S356" s="5"/>
    </row>
    <row r="357" spans="1:19" ht="18.75">
      <c r="A357" s="4" t="s">
        <v>19</v>
      </c>
      <c r="B357" s="10">
        <v>46378</v>
      </c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13"/>
      <c r="O357" s="2"/>
      <c r="P357" s="3"/>
      <c r="Q357" s="3"/>
      <c r="R357" s="3"/>
      <c r="S357" s="5"/>
    </row>
    <row r="358" spans="1:19" ht="18.75">
      <c r="A358" s="4" t="s">
        <v>20</v>
      </c>
      <c r="B358" s="10">
        <v>46379</v>
      </c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13"/>
      <c r="O358" s="2"/>
      <c r="P358" s="3"/>
      <c r="Q358" s="3"/>
      <c r="R358" s="3"/>
      <c r="S358" s="5"/>
    </row>
    <row r="359" spans="1:19" ht="18.75">
      <c r="A359" s="4" t="s">
        <v>21</v>
      </c>
      <c r="B359" s="10">
        <v>46380</v>
      </c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13"/>
      <c r="O359" s="2"/>
      <c r="P359" s="3"/>
      <c r="Q359" s="3"/>
      <c r="R359" s="3"/>
      <c r="S359" s="5"/>
    </row>
    <row r="360" spans="1:19" ht="18.75">
      <c r="A360" s="4" t="s">
        <v>22</v>
      </c>
      <c r="B360" s="10">
        <v>46381</v>
      </c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13"/>
      <c r="O360" s="2"/>
      <c r="P360" s="3"/>
      <c r="Q360" s="3"/>
      <c r="R360" s="3"/>
      <c r="S360" s="5"/>
    </row>
    <row r="361" spans="1:19" ht="18.75">
      <c r="A361" s="4" t="s">
        <v>23</v>
      </c>
      <c r="B361" s="10">
        <v>46382</v>
      </c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13"/>
      <c r="O361" s="2"/>
      <c r="P361" s="3"/>
      <c r="Q361" s="3"/>
      <c r="R361" s="3"/>
      <c r="S361" s="5"/>
    </row>
    <row r="362" spans="1:19" ht="18.75">
      <c r="A362" s="4" t="s">
        <v>17</v>
      </c>
      <c r="B362" s="10">
        <v>46383</v>
      </c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13"/>
      <c r="O362" s="2"/>
      <c r="P362" s="3"/>
      <c r="Q362" s="3"/>
      <c r="R362" s="3"/>
      <c r="S362" s="5"/>
    </row>
    <row r="363" spans="1:19" ht="18.75">
      <c r="A363" s="4" t="s">
        <v>18</v>
      </c>
      <c r="B363" s="10">
        <v>46384</v>
      </c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13"/>
      <c r="O363" s="2"/>
      <c r="P363" s="3"/>
      <c r="Q363" s="3"/>
      <c r="R363" s="3"/>
      <c r="S363" s="5"/>
    </row>
    <row r="364" spans="1:19" ht="18.75">
      <c r="A364" s="4" t="s">
        <v>19</v>
      </c>
      <c r="B364" s="10">
        <v>46385</v>
      </c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13"/>
      <c r="O364" s="2"/>
      <c r="P364" s="3"/>
      <c r="Q364" s="3"/>
      <c r="R364" s="3"/>
      <c r="S364" s="5"/>
    </row>
    <row r="365" spans="1:19" ht="18.75">
      <c r="A365" s="4" t="s">
        <v>20</v>
      </c>
      <c r="B365" s="10">
        <v>46386</v>
      </c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13"/>
      <c r="O365" s="2"/>
      <c r="P365" s="3"/>
      <c r="Q365" s="3"/>
      <c r="R365" s="3"/>
      <c r="S365" s="5"/>
    </row>
    <row r="366" spans="1:19" ht="18.75">
      <c r="A366" s="4" t="s">
        <v>21</v>
      </c>
      <c r="B366" s="10">
        <v>46387</v>
      </c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13"/>
      <c r="O366" s="2"/>
      <c r="P366" s="3"/>
      <c r="Q366" s="3"/>
      <c r="R366" s="3"/>
      <c r="S366" s="5"/>
    </row>
  </sheetData>
  <conditionalFormatting sqref="S2:S366">
    <cfRule type="cellIs" dxfId="0" priority="1" operator="lessThan">
      <formula>0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DE88854CD153D9499D4C6FAA34CB6FA2" ma:contentTypeVersion="9" ma:contentTypeDescription="Crear nuevo documento." ma:contentTypeScope="" ma:versionID="2a27bcab38c128baa2e34c6d844f66f3">
  <xsd:schema xmlns:xsd="http://www.w3.org/2001/XMLSchema" xmlns:xs="http://www.w3.org/2001/XMLSchema" xmlns:p="http://schemas.microsoft.com/office/2006/metadata/properties" xmlns:ns2="43ada5e0-0326-48b5-9619-05c410fde641" targetNamespace="http://schemas.microsoft.com/office/2006/metadata/properties" ma:root="true" ma:fieldsID="695cc17c67479c9f936fd85d6411ecf7" ns2:_="">
    <xsd:import namespace="43ada5e0-0326-48b5-9619-05c410fde64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3ada5e0-0326-48b5-9619-05c410fde64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cf22f44c-7c28-4e13-8f6c-a8a2223032e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3ada5e0-0326-48b5-9619-05c410fde641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4AC303F-DE84-4C53-AFD4-927A25E3B459}"/>
</file>

<file path=customXml/itemProps2.xml><?xml version="1.0" encoding="utf-8"?>
<ds:datastoreItem xmlns:ds="http://schemas.openxmlformats.org/officeDocument/2006/customXml" ds:itemID="{D4BAE53A-2B90-45DA-A3CA-33D82D6C85C0}"/>
</file>

<file path=customXml/itemProps3.xml><?xml version="1.0" encoding="utf-8"?>
<ds:datastoreItem xmlns:ds="http://schemas.openxmlformats.org/officeDocument/2006/customXml" ds:itemID="{40D965DF-2051-4F5B-8F07-9A8232486E9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Paola</dc:creator>
  <cp:keywords/>
  <dc:description/>
  <cp:lastModifiedBy>Juana  Puente Huerta</cp:lastModifiedBy>
  <cp:revision/>
  <dcterms:created xsi:type="dcterms:W3CDTF">2021-01-16T20:20:48Z</dcterms:created>
  <dcterms:modified xsi:type="dcterms:W3CDTF">2026-05-03T00:06:32Z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0x010100DE88854CD153D9499D4C6FAA34CB6FA2</vt:lpwstr>
  </property>
  <property fmtid="{D5CDD505-2E9C-101B-9397-08002B2CF9AE}" pid="3" name="MediaServiceImageTags">
    <vt:lpwstr/>
  </property>
</Properties>
</file>